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表" sheetId="1" r:id="rId1"/>
    <sheet name="日更监控" sheetId="2" r:id="rId2"/>
    <sheet name="潜力" sheetId="3" r:id="rId3"/>
    <sheet name="链接质量检测" sheetId="4" r:id="rId4"/>
    <sheet name="Sheet6" sheetId="5" r:id="rId5"/>
    <sheet name="竞对表" sheetId="6" r:id="rId6"/>
    <sheet name="库存明细报表10.16" sheetId="7" r:id="rId7"/>
    <sheet name="进销存报表10.16" sheetId="8" r:id="rId8"/>
  </sheets>
  <definedNames>
    <definedName name="_xlnm._FilterDatabase" localSheetId="0" hidden="1">总表!$1:$1048576</definedName>
    <definedName name="_xlnm._FilterDatabase" localSheetId="1" hidden="1">日更监控!$1:$1048576</definedName>
    <definedName name="_xlnm._FilterDatabase" localSheetId="2" hidden="1">潜力!$1:$1048576</definedName>
    <definedName name="_xlnm._FilterDatabase" localSheetId="3" hidden="1">链接质量检测!$1:$1048576</definedName>
    <definedName name="_xlnm._FilterDatabase" localSheetId="5" hidden="1">竞对表!$1:$1048576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S38" authorId="0">
      <text>
        <r>
          <rPr>
            <sz val="10"/>
            <rFont val="宋体"/>
            <charset val="134"/>
          </rPr>
          <t>8月初断货，目前刚到货
  - 林心园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J5" authorId="0">
      <text>
        <r>
          <rPr>
            <sz val="10"/>
            <rFont val="宋体"/>
            <charset val="134"/>
          </rPr>
          <t>由于退款导致红线价上涨
  - 林心园</t>
        </r>
      </text>
    </comment>
    <comment ref="J7" authorId="0">
      <text>
        <r>
          <rPr>
            <sz val="10"/>
            <rFont val="宋体"/>
            <charset val="134"/>
          </rPr>
          <t>当前在价格区间上销量依旧稳定增长，暂不下调
  - 林心园</t>
        </r>
      </text>
    </comment>
    <comment ref="J9" authorId="0">
      <text>
        <r>
          <rPr>
            <sz val="10"/>
            <rFont val="宋体"/>
            <charset val="134"/>
          </rPr>
          <t>2个竞对价格60左右偏高拉高价格上限，其余大多在30左右
  - 林心园</t>
        </r>
      </text>
    </comment>
    <comment ref="J10" authorId="0">
      <text>
        <r>
          <rPr>
            <sz val="10"/>
            <rFont val="宋体"/>
            <charset val="134"/>
          </rPr>
          <t>由于退款红线价上涨，红线价与价格上限相差不大
  - 林心园</t>
        </r>
      </text>
    </comment>
    <comment ref="J14" authorId="0">
      <text>
        <r>
          <rPr>
            <sz val="10"/>
            <rFont val="宋体"/>
            <charset val="134"/>
          </rPr>
          <t>断货，目前VC在售
  - 林心园</t>
        </r>
      </text>
    </comment>
    <comment ref="J17" authorId="0">
      <text>
        <r>
          <rPr>
            <sz val="10"/>
            <rFont val="宋体"/>
            <charset val="134"/>
          </rPr>
          <t>由于退款导致红线价上涨，红线价高于价格上限
  - 林心园</t>
        </r>
      </text>
    </comment>
    <comment ref="J18" authorId="0">
      <text>
        <r>
          <rPr>
            <sz val="10"/>
            <rFont val="宋体"/>
            <charset val="134"/>
          </rPr>
          <t>略高于红线价，当前可售库存偏低
  - 林心园</t>
        </r>
      </text>
    </comment>
    <comment ref="J23" authorId="0">
      <text>
        <r>
          <rPr>
            <sz val="10"/>
            <rFont val="宋体"/>
            <charset val="134"/>
          </rPr>
          <t>①由于退款导致红线价上涨，红线价高于价格上限；
②库存不足
  - 林心园</t>
        </r>
      </text>
    </comment>
    <comment ref="J24" authorId="0">
      <text>
        <r>
          <rPr>
            <sz val="10"/>
            <rFont val="宋体"/>
            <charset val="134"/>
          </rPr>
          <t>高于红线价（当前销量为增长趋势）
  - 林心园</t>
        </r>
      </text>
    </comment>
    <comment ref="J28" authorId="0">
      <text>
        <r>
          <rPr>
            <sz val="10"/>
            <rFont val="宋体"/>
            <charset val="134"/>
          </rPr>
          <t>当前库存偏低，小幅降价中
  - 林心园</t>
        </r>
      </text>
    </comment>
    <comment ref="J29" authorId="0">
      <text>
        <r>
          <rPr>
            <sz val="10"/>
            <rFont val="宋体"/>
            <charset val="134"/>
          </rPr>
          <t>FBA未到货，当前VC在售，且VC链接被提价
  - 林心园</t>
        </r>
      </text>
    </comment>
    <comment ref="J30" authorId="0">
      <text>
        <r>
          <rPr>
            <sz val="10"/>
            <rFont val="宋体"/>
            <charset val="134"/>
          </rPr>
          <t>FBA未到货，且海外仓库存较低
  - 林心园</t>
        </r>
      </text>
    </comment>
    <comment ref="J31" authorId="0">
      <text>
        <r>
          <rPr>
            <sz val="10"/>
            <rFont val="宋体"/>
            <charset val="134"/>
          </rPr>
          <t>VC链接，被提价
  - 林心园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K1" authorId="0">
      <text>
        <r>
          <rPr>
            <sz val="10"/>
            <rFont val="宋体"/>
            <charset val="134"/>
          </rPr>
          <t>已上传品牌视频，开箱视频已提需排队中
  - 林心园</t>
        </r>
      </text>
    </comment>
  </commentList>
</comments>
</file>

<file path=xl/sharedStrings.xml><?xml version="1.0" encoding="utf-8"?>
<sst xmlns="http://schemas.openxmlformats.org/spreadsheetml/2006/main" count="10810" uniqueCount="1981">
  <si>
    <t>商品编码</t>
  </si>
  <si>
    <t>PT品牌asin</t>
  </si>
  <si>
    <t>平台商品编码</t>
  </si>
  <si>
    <t>发货方式</t>
  </si>
  <si>
    <t>平台SKU状态</t>
  </si>
  <si>
    <t>新/老品</t>
  </si>
  <si>
    <t>q2 bcg（asin）</t>
  </si>
  <si>
    <t>q3 bcg（asin）</t>
  </si>
  <si>
    <t>q2 bcg（商编维度）</t>
  </si>
  <si>
    <t>当前界面list price</t>
  </si>
  <si>
    <t>红线价</t>
  </si>
  <si>
    <t>中心价</t>
  </si>
  <si>
    <t>价格下限</t>
  </si>
  <si>
    <t>价格上限</t>
  </si>
  <si>
    <t>4月销量</t>
  </si>
  <si>
    <t>5月销量</t>
  </si>
  <si>
    <t>6月销量</t>
  </si>
  <si>
    <t>7月销量</t>
  </si>
  <si>
    <t>8月销量</t>
  </si>
  <si>
    <t>9月销量</t>
  </si>
  <si>
    <t>10月销量（截至10.14）</t>
  </si>
  <si>
    <t>Q2毛利率</t>
  </si>
  <si>
    <t>Q3毛利率</t>
  </si>
  <si>
    <t>9月毛利率</t>
  </si>
  <si>
    <t>9月退款率</t>
  </si>
  <si>
    <t>9月广告费率</t>
  </si>
  <si>
    <t>9月促销费率</t>
  </si>
  <si>
    <t>9月转化率</t>
  </si>
  <si>
    <t>9月广告转化率</t>
  </si>
  <si>
    <t>FBA可用</t>
  </si>
  <si>
    <t>FBA可售</t>
  </si>
  <si>
    <t>FBA在途</t>
  </si>
  <si>
    <t>海外仓可用库存</t>
  </si>
  <si>
    <t>海外仓在途库存</t>
  </si>
  <si>
    <t>Q2市场月均销量</t>
  </si>
  <si>
    <t>Q3市场月均销量</t>
  </si>
  <si>
    <t>Q2月均销量</t>
  </si>
  <si>
    <t>Q3月均销量</t>
  </si>
  <si>
    <t>PT Q2asin市占</t>
  </si>
  <si>
    <t>PT Q3asin市占</t>
  </si>
  <si>
    <t>OO2EWP09900</t>
  </si>
  <si>
    <t>B0G3LJ7K3X</t>
  </si>
  <si>
    <t>3459EWP099NUS</t>
  </si>
  <si>
    <t>FBA</t>
  </si>
  <si>
    <t>维稳</t>
  </si>
  <si>
    <t>老品</t>
  </si>
  <si>
    <t>瘦狗</t>
  </si>
  <si>
    <t>明星</t>
  </si>
  <si>
    <t>潜力</t>
  </si>
  <si>
    <t>OO2EWP10100</t>
  </si>
  <si>
    <t>B0GWQLK91B</t>
  </si>
  <si>
    <t>8230EWP101JUS</t>
  </si>
  <si>
    <t>OO2EWP11800</t>
  </si>
  <si>
    <t>B0GWQVWRRZ</t>
  </si>
  <si>
    <t>3194EWP118ZUS</t>
  </si>
  <si>
    <t>风险</t>
  </si>
  <si>
    <t>金牛</t>
  </si>
  <si>
    <t>OO2EWP11000</t>
  </si>
  <si>
    <t>B0GWZL1L53</t>
  </si>
  <si>
    <t>6164EWP1104US</t>
  </si>
  <si>
    <t>OO2EWP05700</t>
  </si>
  <si>
    <t>B0GWZGC7Q9</t>
  </si>
  <si>
    <t>5000EWP057FUS</t>
  </si>
  <si>
    <t>OO2EWP07200</t>
  </si>
  <si>
    <t>B0GX5FC5K7</t>
  </si>
  <si>
    <t>3824EWP0720US</t>
  </si>
  <si>
    <t>OO2EWP11100</t>
  </si>
  <si>
    <t>B0GWZBTZQ1</t>
  </si>
  <si>
    <t>1808EWP111ZUS</t>
  </si>
  <si>
    <t>#DIV/0!</t>
  </si>
  <si>
    <t>OO2EWP11200</t>
  </si>
  <si>
    <t>B0GWQXJ3LD</t>
  </si>
  <si>
    <t>8557EWP1125US</t>
  </si>
  <si>
    <t>OO2EWP04400</t>
  </si>
  <si>
    <t>B0GWZBPSDW</t>
  </si>
  <si>
    <t>7785EWP044NUS</t>
  </si>
  <si>
    <t>OO2EWP09800</t>
  </si>
  <si>
    <t>B0GWQPPJ13</t>
  </si>
  <si>
    <t>3544EWP0987US</t>
  </si>
  <si>
    <t>OO2EWP12200</t>
  </si>
  <si>
    <t>B0GWQMTQY9</t>
  </si>
  <si>
    <t>1122EWP122BUS</t>
  </si>
  <si>
    <t>OO2EWP05600</t>
  </si>
  <si>
    <t>B0GWZHYY3T</t>
  </si>
  <si>
    <t>5706EWP0564US</t>
  </si>
  <si>
    <t>OO2EWP12700</t>
  </si>
  <si>
    <t>B0GWQXP1D2</t>
  </si>
  <si>
    <t>1432EWP127JUS</t>
  </si>
  <si>
    <t>OO2EWP10300</t>
  </si>
  <si>
    <t>B0GX52JVGN</t>
  </si>
  <si>
    <t>4061EWP103QUS</t>
  </si>
  <si>
    <t>OO2EWP05100</t>
  </si>
  <si>
    <t>B0GWZR3D55</t>
  </si>
  <si>
    <t>8759EWP051TUS</t>
  </si>
  <si>
    <t>OO2EWP04500</t>
  </si>
  <si>
    <t>B0GYRP5X4D</t>
  </si>
  <si>
    <t>4601EWP045HUS</t>
  </si>
  <si>
    <t>OO2EWP07700</t>
  </si>
  <si>
    <t>B0GYS61TK1</t>
  </si>
  <si>
    <t>2891EWP077AUS</t>
  </si>
  <si>
    <t>OO2EWP07800</t>
  </si>
  <si>
    <t>B0GYRNV2Q2</t>
  </si>
  <si>
    <t>8531EWP078GUS</t>
  </si>
  <si>
    <t>OO2EWP07300</t>
  </si>
  <si>
    <t>B0FZGM1YGD</t>
  </si>
  <si>
    <t>7835EWP073GUS</t>
  </si>
  <si>
    <t>OO2EWP07600</t>
  </si>
  <si>
    <t>B0GWZHV9LG</t>
  </si>
  <si>
    <t>8571EWP076LUS</t>
  </si>
  <si>
    <t>OO2EWP03900</t>
  </si>
  <si>
    <t>B0GWQRKH9G</t>
  </si>
  <si>
    <t>9693EWP0397US</t>
  </si>
  <si>
    <t>OO2EWP02600</t>
  </si>
  <si>
    <t>B0GWZ8Q8L2</t>
  </si>
  <si>
    <t>4673EWP026JUS</t>
  </si>
  <si>
    <t>OO2EWP03100</t>
  </si>
  <si>
    <t>B0GWZNCP7S</t>
  </si>
  <si>
    <t>6070EWP0315US</t>
  </si>
  <si>
    <t>OO2EWP08900</t>
  </si>
  <si>
    <t>B0GWQNW9QC</t>
  </si>
  <si>
    <t>3328EWP089HUS</t>
  </si>
  <si>
    <t>ZC2CLK04900</t>
  </si>
  <si>
    <t>B0GWQVBRBB</t>
  </si>
  <si>
    <t>6936CLK0491US</t>
  </si>
  <si>
    <t>OO2EWP08000</t>
  </si>
  <si>
    <t>B0G3LJ3LGP</t>
  </si>
  <si>
    <t>3150EWP080GUS</t>
  </si>
  <si>
    <t>OO2EWP08600</t>
  </si>
  <si>
    <t>B0GWQTZDGZ</t>
  </si>
  <si>
    <t>4633EWP0866US</t>
  </si>
  <si>
    <t>OO2EWP07900</t>
  </si>
  <si>
    <t>B0DSW8XVPB</t>
  </si>
  <si>
    <t>7900EWP0795US</t>
  </si>
  <si>
    <t>OO2EWP02100</t>
  </si>
  <si>
    <t>B0GWQY9RW4</t>
  </si>
  <si>
    <t>9087EWP021RUS</t>
  </si>
  <si>
    <t>OO2EWP10700</t>
  </si>
  <si>
    <t>B0GWZHZJXQ</t>
  </si>
  <si>
    <t>4417EWP107SUS</t>
  </si>
  <si>
    <t>OO2EWP05000</t>
  </si>
  <si>
    <t>B0GWZKWRT4</t>
  </si>
  <si>
    <t>6571EWP050XUS</t>
  </si>
  <si>
    <t>OO2EWP03000</t>
  </si>
  <si>
    <t>B0GWZPSHM2</t>
  </si>
  <si>
    <t>8131EWP0300US</t>
  </si>
  <si>
    <t>OO2EWP10800</t>
  </si>
  <si>
    <t>B0GX5DMQLL</t>
  </si>
  <si>
    <t>4030EWP108VUS</t>
  </si>
  <si>
    <t>OO2EWP11300</t>
  </si>
  <si>
    <t>B0GWQXQT6R</t>
  </si>
  <si>
    <t>7505EWP1139US</t>
  </si>
  <si>
    <t>OO2EWP11900</t>
  </si>
  <si>
    <t>B0GWZH2JVV</t>
  </si>
  <si>
    <t>1189EWP119BUS</t>
  </si>
  <si>
    <t>OO2EWP06800</t>
  </si>
  <si>
    <t>B0GWR2QQCZ</t>
  </si>
  <si>
    <t>9745EWP0681US</t>
  </si>
  <si>
    <t>OO2EWP01800</t>
  </si>
  <si>
    <t>B0HJ4NTDXG</t>
  </si>
  <si>
    <t>4892EWP018PUS</t>
  </si>
  <si>
    <t>OO2EWP08400</t>
  </si>
  <si>
    <t>B0GWZRG6FQ</t>
  </si>
  <si>
    <t>5033EWP084GUS</t>
  </si>
  <si>
    <t>OO2EWP12000</t>
  </si>
  <si>
    <t>B0GWQSPYL6</t>
  </si>
  <si>
    <t>8948EWP1204US</t>
  </si>
  <si>
    <t>OO2EWP09700</t>
  </si>
  <si>
    <t>B0FLK4C864</t>
  </si>
  <si>
    <t>9920EWP097BUS</t>
  </si>
  <si>
    <t>OO2EWP05900</t>
  </si>
  <si>
    <t>B0GWQLN3LT</t>
  </si>
  <si>
    <t>2193EWP059HUS</t>
  </si>
  <si>
    <t>OO2EWP06600</t>
  </si>
  <si>
    <t>B0GWQY1VKB</t>
  </si>
  <si>
    <t>8525EWP0665US</t>
  </si>
  <si>
    <t>OO2EWP08300</t>
  </si>
  <si>
    <t>B0G3LGYZX4</t>
  </si>
  <si>
    <t>7263EWP083CUS</t>
  </si>
  <si>
    <t>OO2EWP01600</t>
  </si>
  <si>
    <t>B0CKX9959W</t>
  </si>
  <si>
    <t>8703EWP016ZUS</t>
  </si>
  <si>
    <t>OO2EWP02800</t>
  </si>
  <si>
    <t>B0DTSQSBS7</t>
  </si>
  <si>
    <t>3866EWP0286US</t>
  </si>
  <si>
    <t>OO2EWP00400</t>
  </si>
  <si>
    <t>B0CKX9SK3Y</t>
  </si>
  <si>
    <t>8753EWP0043US</t>
  </si>
  <si>
    <t>OO2EWP06700</t>
  </si>
  <si>
    <t>B0GWQWCMPT</t>
  </si>
  <si>
    <t>5900EWP0675US</t>
  </si>
  <si>
    <t>OO2EWP07500</t>
  </si>
  <si>
    <t>B0DSW7XBDY</t>
  </si>
  <si>
    <t>8814EWP075NUS</t>
  </si>
  <si>
    <t>OO2EWP08200</t>
  </si>
  <si>
    <t>B0GWQRW5DS</t>
  </si>
  <si>
    <t>8050EWP082GUS</t>
  </si>
  <si>
    <t>OO2EWP07000</t>
  </si>
  <si>
    <t>B0G3LHFPHD</t>
  </si>
  <si>
    <t>7009EWP070JUS</t>
  </si>
  <si>
    <t>OO2EWP10400</t>
  </si>
  <si>
    <t>B0GWQKHTNJ</t>
  </si>
  <si>
    <t>4702EWP104MUS</t>
  </si>
  <si>
    <t>OO2EWP06000</t>
  </si>
  <si>
    <t>B0GWQFSGVJ</t>
  </si>
  <si>
    <t>3666EWP0603US</t>
  </si>
  <si>
    <t>OO2EWP08700</t>
  </si>
  <si>
    <t>B0GWZLNVH8</t>
  </si>
  <si>
    <t>5409EWP087HUS</t>
  </si>
  <si>
    <t>OO2EWP09500</t>
  </si>
  <si>
    <t>B0FZGM76JK</t>
  </si>
  <si>
    <t>7188EWP0952US</t>
  </si>
  <si>
    <t>VC</t>
  </si>
  <si>
    <t>OO2EWP01300</t>
  </si>
  <si>
    <t>B0CKX85NSB</t>
  </si>
  <si>
    <t>1002EWP0137US</t>
  </si>
  <si>
    <t>ZC2CLK05300</t>
  </si>
  <si>
    <t>B0GWR5G1FG</t>
  </si>
  <si>
    <t>9951CLK053VUS</t>
  </si>
  <si>
    <t>OO2EWP07100</t>
  </si>
  <si>
    <t>B0GWR1GG26</t>
  </si>
  <si>
    <t>8850EWP0710US</t>
  </si>
  <si>
    <t>ZC2CLK04700</t>
  </si>
  <si>
    <t>B0GWQS55JD</t>
  </si>
  <si>
    <t>9206CLK0476US</t>
  </si>
  <si>
    <t>OO2EWP06400</t>
  </si>
  <si>
    <t>B0GWQK6RXF</t>
  </si>
  <si>
    <t>5397EWP064VUS</t>
  </si>
  <si>
    <t>OO2EWP08500</t>
  </si>
  <si>
    <t>B0GWQX2NTR</t>
  </si>
  <si>
    <t>9973EWP085JUS</t>
  </si>
  <si>
    <t>OO2EWP02000</t>
  </si>
  <si>
    <t>B0CKX8PSXX</t>
  </si>
  <si>
    <t>2100EWP020ZUS</t>
  </si>
  <si>
    <t>OO2EWP08100</t>
  </si>
  <si>
    <t>B0DSW8VBT5</t>
  </si>
  <si>
    <t>1753EWP081HUS</t>
  </si>
  <si>
    <t>ZC2CLK02000</t>
  </si>
  <si>
    <t>B0DG2D424T</t>
  </si>
  <si>
    <t>1683CLK020HUS</t>
  </si>
  <si>
    <t>#N/A</t>
  </si>
  <si>
    <t>OO2EWP05500</t>
  </si>
  <si>
    <t>B0FZGMW6VL</t>
  </si>
  <si>
    <t>2427EWP0558US</t>
  </si>
  <si>
    <t>OO2EWP09000</t>
  </si>
  <si>
    <t>B0G3LJNL1N</t>
  </si>
  <si>
    <t>6741EWP090DUS</t>
  </si>
  <si>
    <t>OO2EWP01400</t>
  </si>
  <si>
    <t>B0DG22S4LY</t>
  </si>
  <si>
    <t>5683EWP014UUS</t>
  </si>
  <si>
    <t>OO2EWP04700</t>
  </si>
  <si>
    <t>B0GWZLNY3H</t>
  </si>
  <si>
    <t>9699EWP047ZUS</t>
  </si>
  <si>
    <t>OO2EWP06100</t>
  </si>
  <si>
    <t>B0GWZG6T4W</t>
  </si>
  <si>
    <t>4365EWP061CUS</t>
  </si>
  <si>
    <t>OO2EWP11500</t>
  </si>
  <si>
    <t>B0GWZLHQS3</t>
  </si>
  <si>
    <t>2577EWP115BUS</t>
  </si>
  <si>
    <t>OO2EWP06300</t>
  </si>
  <si>
    <t>B0FZGQ8YH9</t>
  </si>
  <si>
    <t>6783EWP063DUS</t>
  </si>
  <si>
    <t>OO2EWP12500</t>
  </si>
  <si>
    <t>B0FC5MCKB1</t>
  </si>
  <si>
    <t>8957EWP125VUS</t>
  </si>
  <si>
    <t>OO2EWP04800</t>
  </si>
  <si>
    <t>B0GWZR1KQ6</t>
  </si>
  <si>
    <t>1211EWP048CUS</t>
  </si>
  <si>
    <t>OO2EWP09400</t>
  </si>
  <si>
    <t>B0FZGPWVJ6</t>
  </si>
  <si>
    <t>5790EWP0943US</t>
  </si>
  <si>
    <t>OO2EWP11400</t>
  </si>
  <si>
    <t>B0G3LFCLSW</t>
  </si>
  <si>
    <t>8369EWP114UUS</t>
  </si>
  <si>
    <t>OO2EWP05800</t>
  </si>
  <si>
    <t>B0G3LJYFZX</t>
  </si>
  <si>
    <t>6114EWP058CUS</t>
  </si>
  <si>
    <t>OO2EWP06200</t>
  </si>
  <si>
    <t>B0G3LG85VS</t>
  </si>
  <si>
    <t>4146EWP062FUS</t>
  </si>
  <si>
    <t>OO2EWP05400</t>
  </si>
  <si>
    <t>B0FLJW7Y8P</t>
  </si>
  <si>
    <t>7229EWP054RUS</t>
  </si>
  <si>
    <t>OO2EWP01000</t>
  </si>
  <si>
    <t>B0GWZNXH6Z</t>
  </si>
  <si>
    <t>3060EWP0101US</t>
  </si>
  <si>
    <t>OO2EWP10600</t>
  </si>
  <si>
    <t>B0G3LLJK2D</t>
  </si>
  <si>
    <t>9909EWP106UUS</t>
  </si>
  <si>
    <t>未分层</t>
  </si>
  <si>
    <t>OO2EWP04000</t>
  </si>
  <si>
    <t>B0GWR7MW7T</t>
  </si>
  <si>
    <t>7827EWP0401US</t>
  </si>
  <si>
    <t>OO2EWP02700</t>
  </si>
  <si>
    <t>B0GWQNXB9R</t>
  </si>
  <si>
    <t>6490EWP027NUS</t>
  </si>
  <si>
    <t>OO2EWP12400</t>
  </si>
  <si>
    <t>B0GWR2PWNH</t>
  </si>
  <si>
    <t>2549EWP1241US</t>
  </si>
  <si>
    <t>ZC2CLK04100</t>
  </si>
  <si>
    <t>B0GWQXWG5D</t>
  </si>
  <si>
    <t>9147CLK041TUS</t>
  </si>
  <si>
    <t>OO2EWP09600</t>
  </si>
  <si>
    <t>B0GWR6Q3XR</t>
  </si>
  <si>
    <t>9445EWP096LUS</t>
  </si>
  <si>
    <t>OO2EWP12100</t>
  </si>
  <si>
    <t>B0GWR42KD9</t>
  </si>
  <si>
    <t>1623EWP1217US</t>
  </si>
  <si>
    <t>OO2EWP05300</t>
  </si>
  <si>
    <t>B0GWQJRJ41</t>
  </si>
  <si>
    <t>3062EWP053SUS</t>
  </si>
  <si>
    <t>OO2EWP09100</t>
  </si>
  <si>
    <t>B0GWZBW3C4</t>
  </si>
  <si>
    <t>9006EWP091YUS</t>
  </si>
  <si>
    <t>OO2EWP12300</t>
  </si>
  <si>
    <t>B0GWR6FG91</t>
  </si>
  <si>
    <t>5536EWP123HUS</t>
  </si>
  <si>
    <t>OO2EWP10900</t>
  </si>
  <si>
    <t>B0GWQQCTFC</t>
  </si>
  <si>
    <t>1772EWP109KUS</t>
  </si>
  <si>
    <t>OO2EWP09300</t>
  </si>
  <si>
    <t>B0GWZDQ8Q1</t>
  </si>
  <si>
    <t>6131EWP0939US</t>
  </si>
  <si>
    <t>OO2EWP03400</t>
  </si>
  <si>
    <t>B0GWQT6CY9</t>
  </si>
  <si>
    <t>8556EWP034YUS</t>
  </si>
  <si>
    <t>OO2EWP00500</t>
  </si>
  <si>
    <t>B0GYRV9MW3</t>
  </si>
  <si>
    <t>7466EWP0052US</t>
  </si>
  <si>
    <t>OO2EWP01900</t>
  </si>
  <si>
    <t>B0GYRF41VB</t>
  </si>
  <si>
    <t>2990EWP019NUS</t>
  </si>
  <si>
    <t>OO2EWP02400</t>
  </si>
  <si>
    <t>B0GYS648HC</t>
  </si>
  <si>
    <t>2487EWP024ZUS</t>
  </si>
  <si>
    <t>ZC2CLK05000</t>
  </si>
  <si>
    <t>B0HD5FB81R</t>
  </si>
  <si>
    <t>6505CLK050KUS</t>
  </si>
  <si>
    <t>OO2EWP02900</t>
  </si>
  <si>
    <t>B0HD5Q89RG</t>
  </si>
  <si>
    <t>5867EWP029MUS</t>
  </si>
  <si>
    <t>KC2EWP25500</t>
  </si>
  <si>
    <t>B0HD6KL2ZX</t>
  </si>
  <si>
    <t>3443EWP2554US</t>
  </si>
  <si>
    <t>推新</t>
  </si>
  <si>
    <t>新品</t>
  </si>
  <si>
    <t>新品待观察</t>
  </si>
  <si>
    <t>OO2EWP02500</t>
  </si>
  <si>
    <t>B0HD68B8BL</t>
  </si>
  <si>
    <t>9417EWP0256US</t>
  </si>
  <si>
    <t>ZC2CLK02900</t>
  </si>
  <si>
    <t>B0HD68W4G6</t>
  </si>
  <si>
    <t>2515CLK0299US</t>
  </si>
  <si>
    <t>KC2EWP16700</t>
  </si>
  <si>
    <t>B0HD5ZTHD1</t>
  </si>
  <si>
    <t>9111EWP167VUS</t>
  </si>
  <si>
    <t>交付中</t>
  </si>
  <si>
    <t>KC2EWP26400</t>
  </si>
  <si>
    <t>B0HD684QKG</t>
  </si>
  <si>
    <t>7973EWP264YUS</t>
  </si>
  <si>
    <t>KC2EWP27200</t>
  </si>
  <si>
    <t>B0HD63SR81</t>
  </si>
  <si>
    <t>9377EWP2729US</t>
  </si>
  <si>
    <t>KC2EWP25900</t>
  </si>
  <si>
    <t>B0HD6KLS53</t>
  </si>
  <si>
    <t>6214EWP259TUS</t>
  </si>
  <si>
    <t>KC2EWP16800</t>
  </si>
  <si>
    <t>B0H7Z8F943</t>
  </si>
  <si>
    <t>1682EWP168PUS</t>
  </si>
  <si>
    <t>KC2EWP17000</t>
  </si>
  <si>
    <t>B0HBQD13WL</t>
  </si>
  <si>
    <t>5247EWP1706US</t>
  </si>
  <si>
    <t>KC2EWP28100</t>
  </si>
  <si>
    <t>B0HD5ZCWZ3</t>
  </si>
  <si>
    <t>4424EWP281EUS</t>
  </si>
  <si>
    <t>KC2EWP13700</t>
  </si>
  <si>
    <t>B0HD5F5Z54</t>
  </si>
  <si>
    <t>8732EWP137GUS</t>
  </si>
  <si>
    <t>OO2EWP12800</t>
  </si>
  <si>
    <t>B0HD5XFZPQ</t>
  </si>
  <si>
    <t>3775EWP128CUS</t>
  </si>
  <si>
    <t>KC2EWP20400</t>
  </si>
  <si>
    <t>B0HD68V4ZN</t>
  </si>
  <si>
    <t>2965EWP2046US</t>
  </si>
  <si>
    <t>KC2EWP13600</t>
  </si>
  <si>
    <t>B0HD5Q1KDZ</t>
  </si>
  <si>
    <t>5249EWP136XUS</t>
  </si>
  <si>
    <t>KC2EWP27700</t>
  </si>
  <si>
    <t>B0HD5ZPTV3</t>
  </si>
  <si>
    <t>9292EWP2775US</t>
  </si>
  <si>
    <t>KC2EWP25400</t>
  </si>
  <si>
    <t>B0HD67X6H6</t>
  </si>
  <si>
    <t>4335EWP2541US</t>
  </si>
  <si>
    <t>KC2EWP23800</t>
  </si>
  <si>
    <t>B0HBQ6XCLF</t>
  </si>
  <si>
    <t>5638EWP238AUS</t>
  </si>
  <si>
    <t>KC2EWP20900</t>
  </si>
  <si>
    <t>B0HBQD3ZDM</t>
  </si>
  <si>
    <t>5632EWP2096US</t>
  </si>
  <si>
    <t>KC2EWP18900</t>
  </si>
  <si>
    <t>B0H7YS3L6W</t>
  </si>
  <si>
    <t>1455EWP189XUS</t>
  </si>
  <si>
    <t>KC2EWP22800</t>
  </si>
  <si>
    <t>B0HD5F1T8D</t>
  </si>
  <si>
    <t>5316EWP228WUS</t>
  </si>
  <si>
    <t>KC2EWP15500</t>
  </si>
  <si>
    <t>B0HD5TLX7B</t>
  </si>
  <si>
    <t>5337EWP155VUS</t>
  </si>
  <si>
    <t>KC2EWP18700</t>
  </si>
  <si>
    <t>B0HD6H4NN7</t>
  </si>
  <si>
    <t>9337EWP187ZUS</t>
  </si>
  <si>
    <t>KC2EWP24900</t>
  </si>
  <si>
    <t>B0HD6KHH3Z</t>
  </si>
  <si>
    <t>1101EWP249EUS</t>
  </si>
  <si>
    <t>KC2EWP25000</t>
  </si>
  <si>
    <t>B0HD6KCVB5</t>
  </si>
  <si>
    <t>9395EWP250WUS</t>
  </si>
  <si>
    <t>KC2EWP15700</t>
  </si>
  <si>
    <t>B0HD5JZCW5</t>
  </si>
  <si>
    <t>4696EWP157WUS</t>
  </si>
  <si>
    <t>KC2EWP25200</t>
  </si>
  <si>
    <t>B0HBQGF22C</t>
  </si>
  <si>
    <t>2392EWP252PUS</t>
  </si>
  <si>
    <t>KC2EWP16000</t>
  </si>
  <si>
    <t>B0HD6DL9B4</t>
  </si>
  <si>
    <t>9302EWP1601US</t>
  </si>
  <si>
    <t>KC2EWP19400</t>
  </si>
  <si>
    <t>B0HD5MTV7C</t>
  </si>
  <si>
    <t>3020EWP194XUS</t>
  </si>
  <si>
    <t>KC2EWP22500</t>
  </si>
  <si>
    <t>B0HD68RXC2</t>
  </si>
  <si>
    <t>2996EWP225TUS</t>
  </si>
  <si>
    <t>KC2EWP25100</t>
  </si>
  <si>
    <t>B0HD5TJBPN</t>
  </si>
  <si>
    <t>9894EWP251AUS</t>
  </si>
  <si>
    <t>KC2EWP26600</t>
  </si>
  <si>
    <t>B0HD654WB8</t>
  </si>
  <si>
    <t>1402EWP266FUS</t>
  </si>
  <si>
    <t>KC2EWP22900</t>
  </si>
  <si>
    <t>B0HD5YXYGP</t>
  </si>
  <si>
    <t>4895EWP2295US</t>
  </si>
  <si>
    <t>KC2EWP17400</t>
  </si>
  <si>
    <t>B0HD654JBJ</t>
  </si>
  <si>
    <t>2849EWP174HUS</t>
  </si>
  <si>
    <t>KC2EWP13300</t>
  </si>
  <si>
    <t>B0H7YRXS5B</t>
  </si>
  <si>
    <t>6596EWP133VUS</t>
  </si>
  <si>
    <t>KC2EWP27000</t>
  </si>
  <si>
    <t>B0HD5JWTF3</t>
  </si>
  <si>
    <t>2583EWP270HUS</t>
  </si>
  <si>
    <t>KC2EWP24400</t>
  </si>
  <si>
    <t>B0HD5ZFHQ6</t>
  </si>
  <si>
    <t>5173EWP244EUS</t>
  </si>
  <si>
    <t>KC2EWP15400</t>
  </si>
  <si>
    <t>B0H6X152QX</t>
  </si>
  <si>
    <t>1013EWP154YUS</t>
  </si>
  <si>
    <t>KC2EWP22000</t>
  </si>
  <si>
    <t>B0H6X2794Z</t>
  </si>
  <si>
    <t>9297EWP220SUS</t>
  </si>
  <si>
    <t>KC2EWP23200</t>
  </si>
  <si>
    <t>B0H6X437R5</t>
  </si>
  <si>
    <t>4098EWP2328US</t>
  </si>
  <si>
    <t>KC2EWP14100</t>
  </si>
  <si>
    <t>B0H6X5CF42</t>
  </si>
  <si>
    <t>5471EWP141VUS</t>
  </si>
  <si>
    <t>KC2EWP15300</t>
  </si>
  <si>
    <t>B0H6X8YH8G</t>
  </si>
  <si>
    <t>9739EWP153TUS</t>
  </si>
  <si>
    <t>KC2EWP24500</t>
  </si>
  <si>
    <t>B0H6XD3H17</t>
  </si>
  <si>
    <t>1149EWP245XUS</t>
  </si>
  <si>
    <t>KC2EWP17700</t>
  </si>
  <si>
    <t>B0H6XGDKRB</t>
  </si>
  <si>
    <t>5342EWP177FUS</t>
  </si>
  <si>
    <t>ZC2CLK02700</t>
  </si>
  <si>
    <t>B0DSW8RKJV</t>
  </si>
  <si>
    <t>6897CLK027MUS</t>
  </si>
  <si>
    <t>OO2EWP00100</t>
  </si>
  <si>
    <t>B0H7YX236F</t>
  </si>
  <si>
    <t>1780EWP001WUS</t>
  </si>
  <si>
    <t>OO2EWP00200</t>
  </si>
  <si>
    <t>B0H7YVW81T</t>
  </si>
  <si>
    <t>9355EWP002AUS</t>
  </si>
  <si>
    <t>OO2EWP04600</t>
  </si>
  <si>
    <t>B0H7Z1W2DV</t>
  </si>
  <si>
    <t>1858EWP046RUS</t>
  </si>
  <si>
    <t>OO2EWP00600</t>
  </si>
  <si>
    <t>B0H7YP3QL8</t>
  </si>
  <si>
    <t>1101EWP006VUS</t>
  </si>
  <si>
    <t>OO2EWP03600</t>
  </si>
  <si>
    <t>B0H7YX8RQ7</t>
  </si>
  <si>
    <t>2864EWP036QUS</t>
  </si>
  <si>
    <t>OO2EWP04100</t>
  </si>
  <si>
    <t>B0H7Z96PPV</t>
  </si>
  <si>
    <t>4881EWP0410US</t>
  </si>
  <si>
    <t>OO2EWP10200</t>
  </si>
  <si>
    <t>B0H7Z4YNHV</t>
  </si>
  <si>
    <t>2108EWP1026US</t>
  </si>
  <si>
    <t>ZC2CLK03000</t>
  </si>
  <si>
    <t>B0H7Z588Q1</t>
  </si>
  <si>
    <t>9092CLK030JUS</t>
  </si>
  <si>
    <t>OO2EWP00700</t>
  </si>
  <si>
    <t>B0H7Z6CQHD</t>
  </si>
  <si>
    <t>5094EWP007SUS</t>
  </si>
  <si>
    <t>OO2EWP03700</t>
  </si>
  <si>
    <t>B0H7ZGSPBJ</t>
  </si>
  <si>
    <t>1539EWP037NUS</t>
  </si>
  <si>
    <t>OO2EWP00900</t>
  </si>
  <si>
    <t>B0H7ZH3CNK</t>
  </si>
  <si>
    <t>9187EWP009HUS</t>
  </si>
  <si>
    <t>OO2EWP10500</t>
  </si>
  <si>
    <t>B0H7YV3YN8</t>
  </si>
  <si>
    <t>4410EWP1053US</t>
  </si>
  <si>
    <t>OO2EWP01200</t>
  </si>
  <si>
    <t>B0H7Z2GKL3</t>
  </si>
  <si>
    <t>4218EWP0125US</t>
  </si>
  <si>
    <t>OO2EWP03300</t>
  </si>
  <si>
    <t>B0H7YRSLYV</t>
  </si>
  <si>
    <t>9238EWP033JUS</t>
  </si>
  <si>
    <t>OO2EWP06900</t>
  </si>
  <si>
    <t>B0H7ZCXFFX</t>
  </si>
  <si>
    <t>1012EWP069SUS</t>
  </si>
  <si>
    <t>OO2EWP06500</t>
  </si>
  <si>
    <t>B0H7YZ2JNL</t>
  </si>
  <si>
    <t>1001EWP0659US</t>
  </si>
  <si>
    <t>OO2EWP13000</t>
  </si>
  <si>
    <t>B0H7YW21X4</t>
  </si>
  <si>
    <t>5566EWP1307US</t>
  </si>
  <si>
    <t>OO2EWP10000</t>
  </si>
  <si>
    <t>B0H7Z6CQHG</t>
  </si>
  <si>
    <t>5404EWP100VUS</t>
  </si>
  <si>
    <t>OO2EWP09200</t>
  </si>
  <si>
    <t>B0H7Z54Q5Z</t>
  </si>
  <si>
    <t>3551EWP092AUS</t>
  </si>
  <si>
    <t>OO2EWP07400</t>
  </si>
  <si>
    <t>B0H7Z8TN3S</t>
  </si>
  <si>
    <t>6649EWP074PUS</t>
  </si>
  <si>
    <t>OO2EWP05200</t>
  </si>
  <si>
    <t>B0H7Z2LD7B</t>
  </si>
  <si>
    <t>7815EWP052GUS</t>
  </si>
  <si>
    <t>KC2EWP18000</t>
  </si>
  <si>
    <t>B0H7YNMVZY</t>
  </si>
  <si>
    <t>2405EWP180SUS</t>
  </si>
  <si>
    <t>KC2EWP19100</t>
  </si>
  <si>
    <t>B0H7Z8S2K4</t>
  </si>
  <si>
    <t>9173EWP191TUS</t>
  </si>
  <si>
    <t>KC2EWP18500</t>
  </si>
  <si>
    <t>B0H7ZH3NW1</t>
  </si>
  <si>
    <t>9647EWP185YUS</t>
  </si>
  <si>
    <t>KC2EWP14500</t>
  </si>
  <si>
    <t>B0HBQF6SH4</t>
  </si>
  <si>
    <t>2438EWP1452US</t>
  </si>
  <si>
    <t>KC2EWP17500</t>
  </si>
  <si>
    <t>B0HBQD4VTK</t>
  </si>
  <si>
    <t>8378EWP1751US</t>
  </si>
  <si>
    <t>KC2EWP27100</t>
  </si>
  <si>
    <t>B0HBQBBJ38</t>
  </si>
  <si>
    <t>5663EWP271GUS</t>
  </si>
  <si>
    <t>KC2EWP13900</t>
  </si>
  <si>
    <t>B0HBQQS4HZ</t>
  </si>
  <si>
    <t>2602EWP139NUS</t>
  </si>
  <si>
    <t>KC2EWP19200</t>
  </si>
  <si>
    <t>B0HDZGF616</t>
  </si>
  <si>
    <t>9525EWP192AUS</t>
  </si>
  <si>
    <t>KC2EWP16300</t>
  </si>
  <si>
    <t>B0HDZJGX22</t>
  </si>
  <si>
    <t>3881EWP163RUS</t>
  </si>
  <si>
    <t>KC2EWP14600</t>
  </si>
  <si>
    <t>B0HDZK5GJD</t>
  </si>
  <si>
    <t>8261EWP1460US</t>
  </si>
  <si>
    <t>KC2EWP19000</t>
  </si>
  <si>
    <t>B0HDZK68JP</t>
  </si>
  <si>
    <t>6599EWP190TUS</t>
  </si>
  <si>
    <t>KC2EWP19900</t>
  </si>
  <si>
    <t>B0HDZKQH54</t>
  </si>
  <si>
    <t>9851EWP1993US</t>
  </si>
  <si>
    <t>KC2EWP13100</t>
  </si>
  <si>
    <t>B0HDZKRFJN</t>
  </si>
  <si>
    <t>6207EWP131YUS</t>
  </si>
  <si>
    <t>KC2EWP23700</t>
  </si>
  <si>
    <t>B0HDZMYQWK</t>
  </si>
  <si>
    <t>6593EWP237NUS</t>
  </si>
  <si>
    <t>KC2EWP14200</t>
  </si>
  <si>
    <t>B0HDZN953P</t>
  </si>
  <si>
    <t>6373EWP142VUS</t>
  </si>
  <si>
    <t>KC2EWP19800</t>
  </si>
  <si>
    <t>B0HDZNRM3K</t>
  </si>
  <si>
    <t>8518EWP198BUS</t>
  </si>
  <si>
    <t>KC2EWP24000</t>
  </si>
  <si>
    <t>B0HDZNXYXC</t>
  </si>
  <si>
    <t>8396EWP240QUS</t>
  </si>
  <si>
    <t>KC2EWP25300</t>
  </si>
  <si>
    <t>B0HDZPCXVM</t>
  </si>
  <si>
    <t>7155EWP253SUS</t>
  </si>
  <si>
    <t>KC2EWP21500</t>
  </si>
  <si>
    <t>B0HDZPJ7ST</t>
  </si>
  <si>
    <t>4586EWP2150US</t>
  </si>
  <si>
    <t>KC2EWP13200</t>
  </si>
  <si>
    <t>B0HDZQ54SR</t>
  </si>
  <si>
    <t>7497EWP132RUS</t>
  </si>
  <si>
    <t>KC2EWP17900</t>
  </si>
  <si>
    <t>B0HDZQKB2K</t>
  </si>
  <si>
    <t>2040EWP179HUS</t>
  </si>
  <si>
    <t>KC2EWP26700</t>
  </si>
  <si>
    <t>B0HDZS4VMN</t>
  </si>
  <si>
    <t>1107EWP267CUS</t>
  </si>
  <si>
    <t>KC2EWP26900</t>
  </si>
  <si>
    <t>B0HDZSD9C6</t>
  </si>
  <si>
    <t>3292EWP2696US</t>
  </si>
  <si>
    <t>KC2EWP13500</t>
  </si>
  <si>
    <t>B0HH8HFRHB</t>
  </si>
  <si>
    <t>7885EWP135SUS</t>
  </si>
  <si>
    <t>KC2EWP14400</t>
  </si>
  <si>
    <t>B0HH8BBYJF</t>
  </si>
  <si>
    <t>1120EWP1449US</t>
  </si>
  <si>
    <t>KC2EWP14800</t>
  </si>
  <si>
    <t>B0HH87WP7B</t>
  </si>
  <si>
    <t>2326EWP148EUS</t>
  </si>
  <si>
    <t>KC2EWP15000</t>
  </si>
  <si>
    <t>B0HH825SL3</t>
  </si>
  <si>
    <t>7021EWP150YUS</t>
  </si>
  <si>
    <t>KC2EWP16100</t>
  </si>
  <si>
    <t>B0HH8GGBXV</t>
  </si>
  <si>
    <t>6378EWP161JUS</t>
  </si>
  <si>
    <t>KC2EWP16200</t>
  </si>
  <si>
    <t>B0HH8FXKM8</t>
  </si>
  <si>
    <t>4845EWP162AUS</t>
  </si>
  <si>
    <t>KC2EWP16600</t>
  </si>
  <si>
    <t>B0HH8DR18H</t>
  </si>
  <si>
    <t>3917EWP166SUS</t>
  </si>
  <si>
    <t>KC2EWP17100</t>
  </si>
  <si>
    <t>B0HH8751M8</t>
  </si>
  <si>
    <t>6537EWP171UUS</t>
  </si>
  <si>
    <t>KC2EWP17200</t>
  </si>
  <si>
    <t>B0HH88PFPK</t>
  </si>
  <si>
    <t>9030EWP1728US</t>
  </si>
  <si>
    <t>KC2EWP18300</t>
  </si>
  <si>
    <t>B0HH8MG58J</t>
  </si>
  <si>
    <t>8985EWP1831US</t>
  </si>
  <si>
    <t>KC2EWP18400</t>
  </si>
  <si>
    <t>B0HH8LWL2X</t>
  </si>
  <si>
    <t>5864EWP184DUS</t>
  </si>
  <si>
    <t>KC2EWP19500</t>
  </si>
  <si>
    <t>B0HH8MFGKH</t>
  </si>
  <si>
    <t>8139EWP1957US</t>
  </si>
  <si>
    <t>KC2EWP20000</t>
  </si>
  <si>
    <t>B0HH8CKQPQ</t>
  </si>
  <si>
    <t>1889EWP2004US</t>
  </si>
  <si>
    <t>KC2EWP21300</t>
  </si>
  <si>
    <t>B0HH8BSZ55</t>
  </si>
  <si>
    <t>6581EWP2136US</t>
  </si>
  <si>
    <t>KC2EWP21400</t>
  </si>
  <si>
    <t>B0HH8J82RJ</t>
  </si>
  <si>
    <t>6068EWP214ZUS</t>
  </si>
  <si>
    <t>KC2EWP21600</t>
  </si>
  <si>
    <t>B0HH859YQ8</t>
  </si>
  <si>
    <t>5005EWP216FUS</t>
  </si>
  <si>
    <t>KC2EWP21900</t>
  </si>
  <si>
    <t>B0HH8CJN5C</t>
  </si>
  <si>
    <t>4754EWP2192US</t>
  </si>
  <si>
    <t>KC2EWP22200</t>
  </si>
  <si>
    <t>B0HH82K6VW</t>
  </si>
  <si>
    <t>6971EWP222XUS</t>
  </si>
  <si>
    <t>KC2EWP22300</t>
  </si>
  <si>
    <t>B0HH883SM2</t>
  </si>
  <si>
    <t>6007EWP223NUS</t>
  </si>
  <si>
    <t>KC2EWP22700</t>
  </si>
  <si>
    <t>B0HH8D271F</t>
  </si>
  <si>
    <t>9105EWP227ZUS</t>
  </si>
  <si>
    <t>KC2EWP23900</t>
  </si>
  <si>
    <t>B0HH8CTLJ9</t>
  </si>
  <si>
    <t>9387EWP239DUS</t>
  </si>
  <si>
    <t>KC2EWP26100</t>
  </si>
  <si>
    <t>B0HH82GXM8</t>
  </si>
  <si>
    <t>2441EWP2612US</t>
  </si>
  <si>
    <t>KC2EWP26300</t>
  </si>
  <si>
    <t>B0HH8G6BRZ</t>
  </si>
  <si>
    <t>6061EWP263JUS</t>
  </si>
  <si>
    <t>KC2EWP27500</t>
  </si>
  <si>
    <t>B0HH8HMK4S</t>
  </si>
  <si>
    <t>2397EWP2752US</t>
  </si>
  <si>
    <t>KC2EWP27900</t>
  </si>
  <si>
    <t>B0HH82LDXL</t>
  </si>
  <si>
    <t>8007EWP2796US</t>
  </si>
  <si>
    <t>KC2EWP28000</t>
  </si>
  <si>
    <t>B0HH8CFZ2R</t>
  </si>
  <si>
    <t>6865EWP2802US</t>
  </si>
  <si>
    <t>KC2EWP29300</t>
  </si>
  <si>
    <t>B0HH86RRQS</t>
  </si>
  <si>
    <t>5221EWP2931US</t>
  </si>
  <si>
    <t>OO2EWP00300</t>
  </si>
  <si>
    <t>B0H7Z1G6VQ</t>
  </si>
  <si>
    <t>5518EWP003LUS</t>
  </si>
  <si>
    <t>OO2EWP01500</t>
  </si>
  <si>
    <t>B0H7YKPJSW</t>
  </si>
  <si>
    <t>5998EWP0159US</t>
  </si>
  <si>
    <t>OO2EWP12600</t>
  </si>
  <si>
    <t>B0H7YXDXBV</t>
  </si>
  <si>
    <t>3825EWP126FUS</t>
  </si>
  <si>
    <t>更新时间</t>
  </si>
  <si>
    <t>商编</t>
  </si>
  <si>
    <t>ASIN</t>
  </si>
  <si>
    <t>分组</t>
  </si>
  <si>
    <t>开始推广月份</t>
  </si>
  <si>
    <t>状态</t>
  </si>
  <si>
    <t>近7日</t>
  </si>
  <si>
    <t>前7日</t>
  </si>
  <si>
    <t>环比%</t>
  </si>
  <si>
    <t>日均</t>
  </si>
  <si>
    <t>海外仓可用</t>
  </si>
  <si>
    <t>海外仓在途</t>
  </si>
  <si>
    <t>本地仓可用</t>
  </si>
  <si>
    <t>采购在途</t>
  </si>
  <si>
    <t>全链路库存</t>
  </si>
  <si>
    <t>库销比(月)※</t>
  </si>
  <si>
    <t>FBA可售天数</t>
  </si>
  <si>
    <t>9月累计</t>
  </si>
  <si>
    <t>月目标</t>
  </si>
  <si>
    <t>达成率%</t>
  </si>
  <si>
    <t>目标进度%</t>
  </si>
  <si>
    <t>10%市占月目标</t>
  </si>
  <si>
    <t>近30日销量(FBA)</t>
  </si>
  <si>
    <t>近30日销量(全渠道)</t>
  </si>
  <si>
    <t>10%目标达成%</t>
  </si>
  <si>
    <t>是否已完成10%</t>
  </si>
  <si>
    <t>上月销量</t>
  </si>
  <si>
    <t>成交价$(折算)</t>
  </si>
  <si>
    <t>界面LP$</t>
  </si>
  <si>
    <t>红线价$</t>
  </si>
  <si>
    <t>价格下限$</t>
  </si>
  <si>
    <t>价格上限$</t>
  </si>
  <si>
    <t>可降幅度%</t>
  </si>
  <si>
    <t>降到底毛利率%</t>
  </si>
  <si>
    <t>毛利率%(近30d FBA)</t>
  </si>
  <si>
    <t>促销费率%</t>
  </si>
  <si>
    <t>近30日PV</t>
  </si>
  <si>
    <t>转化率%</t>
  </si>
  <si>
    <t>前28日日均</t>
  </si>
  <si>
    <t>诊断类型</t>
  </si>
  <si>
    <t>等级</t>
  </si>
  <si>
    <t>改善动作</t>
  </si>
  <si>
    <t>DRI</t>
  </si>
  <si>
    <t>预警</t>
  </si>
  <si>
    <t>2026-10-16</t>
  </si>
  <si>
    <t>⚠️ 本页由脚本每日自动覆盖刷新｜销量=FBA口径(该商编下发货模式=FBA的链接出库销量)｜库存=BI日终快照全渠道｜毛利率/成交价=BI损益明细(finance) ASIN级｜成交价=出库销售单价(￥)÷结算汇率6.70，已含coupon/促销｜库销比(月)※=全链路库存÷近30日销量(全渠道)</t>
  </si>
  <si>
    <t>大组</t>
  </si>
  <si>
    <t>9月</t>
  </si>
  <si>
    <t>正常</t>
  </si>
  <si>
    <t>3.0</t>
  </si>
  <si>
    <t>4.0</t>
  </si>
  <si>
    <t>-25.0</t>
  </si>
  <si>
    <t>0.43</t>
  </si>
  <si>
    <t>87</t>
  </si>
  <si>
    <t>60</t>
  </si>
  <si>
    <t>8</t>
  </si>
  <si>
    <t>27</t>
  </si>
  <si>
    <t>24</t>
  </si>
  <si>
    <t>120</t>
  </si>
  <si>
    <t>326</t>
  </si>
  <si>
    <t>9.06</t>
  </si>
  <si>
    <t>203.0</t>
  </si>
  <si>
    <t>7.0</t>
  </si>
  <si>
    <t>15</t>
  </si>
  <si>
    <t>46.7</t>
  </si>
  <si>
    <t>53.3</t>
  </si>
  <si>
    <t>95</t>
  </si>
  <si>
    <t>13.0</t>
  </si>
  <si>
    <t>36.0</t>
  </si>
  <si>
    <t>13.7</t>
  </si>
  <si>
    <t>未完成</t>
  </si>
  <si>
    <t>9.0</t>
  </si>
  <si>
    <t>25.13</t>
  </si>
  <si>
    <t>22.99</t>
  </si>
  <si>
    <t>21.21</t>
  </si>
  <si>
    <t>18.14</t>
  </si>
  <si>
    <t>22.17</t>
  </si>
  <si>
    <t>27.8</t>
  </si>
  <si>
    <t>-10.9</t>
  </si>
  <si>
    <t>19.9</t>
  </si>
  <si>
    <t>8.0</t>
  </si>
  <si>
    <t>581</t>
  </si>
  <si>
    <t>2.24</t>
  </si>
  <si>
    <t>0.39</t>
  </si>
  <si>
    <t>高浏览低转化</t>
  </si>
  <si>
    <t>P3</t>
  </si>
  <si>
    <t>产品端：竞对与市场价格核查；运营端：看页面承接与评价</t>
  </si>
  <si>
    <t>林心园</t>
  </si>
  <si>
    <t>小组</t>
  </si>
  <si>
    <t>—</t>
  </si>
  <si>
    <t>A-零销量</t>
  </si>
  <si>
    <t>0.0</t>
  </si>
  <si>
    <t>2</t>
  </si>
  <si>
    <t>35</t>
  </si>
  <si>
    <t>64</t>
  </si>
  <si>
    <t>12</t>
  </si>
  <si>
    <t>128</t>
  </si>
  <si>
    <t>256</t>
  </si>
  <si>
    <t>20</t>
  </si>
  <si>
    <t>71.7</t>
  </si>
  <si>
    <t>54.74</t>
  </si>
  <si>
    <t>52.46</t>
  </si>
  <si>
    <t>64.11</t>
  </si>
  <si>
    <t>82</t>
  </si>
  <si>
    <t>⚫近7日0销量 / 🎯进度落后(0%/53%)</t>
  </si>
  <si>
    <t>D-掉量</t>
  </si>
  <si>
    <t>1.0</t>
  </si>
  <si>
    <t>-75.0</t>
  </si>
  <si>
    <t>0.14</t>
  </si>
  <si>
    <t>44</t>
  </si>
  <si>
    <t>52</t>
  </si>
  <si>
    <t>23</t>
  </si>
  <si>
    <t>29</t>
  </si>
  <si>
    <t>288</t>
  </si>
  <si>
    <t>19.2</t>
  </si>
  <si>
    <t>308.0</t>
  </si>
  <si>
    <t>6.0</t>
  </si>
  <si>
    <t>40.0</t>
  </si>
  <si>
    <t>33</t>
  </si>
  <si>
    <t>12.0</t>
  </si>
  <si>
    <t>15.0</t>
  </si>
  <si>
    <t>36.4</t>
  </si>
  <si>
    <t>16.0</t>
  </si>
  <si>
    <t>25.91</t>
  </si>
  <si>
    <t>22.07</t>
  </si>
  <si>
    <t>19.39</t>
  </si>
  <si>
    <t>19.66</t>
  </si>
  <si>
    <t>24.03</t>
  </si>
  <si>
    <t>24.1</t>
  </si>
  <si>
    <t>4.2</t>
  </si>
  <si>
    <t>27.3</t>
  </si>
  <si>
    <t>127</t>
  </si>
  <si>
    <t>9.45</t>
  </si>
  <si>
    <t>0.46</t>
  </si>
  <si>
    <t>销量明显下降</t>
  </si>
  <si>
    <t>P2</t>
  </si>
  <si>
    <t>运营：查转化与价格、竞对；广告端：查投放是否缩减</t>
  </si>
  <si>
    <t>🟡掉量-75%</t>
  </si>
  <si>
    <t>-66.7</t>
  </si>
  <si>
    <t>4</t>
  </si>
  <si>
    <t>0</t>
  </si>
  <si>
    <t>11</t>
  </si>
  <si>
    <t>16</t>
  </si>
  <si>
    <t>18</t>
  </si>
  <si>
    <t>57</t>
  </si>
  <si>
    <t>8.14</t>
  </si>
  <si>
    <t>28.0</t>
  </si>
  <si>
    <t>200.0</t>
  </si>
  <si>
    <t>26</t>
  </si>
  <si>
    <t>26.9</t>
  </si>
  <si>
    <t>48.01</t>
  </si>
  <si>
    <t>42.31</t>
  </si>
  <si>
    <t>42.15</t>
  </si>
  <si>
    <t>34.59</t>
  </si>
  <si>
    <t>42.28</t>
  </si>
  <si>
    <t>-18.3</t>
  </si>
  <si>
    <t>14.8</t>
  </si>
  <si>
    <t>100</t>
  </si>
  <si>
    <t>0.21</t>
  </si>
  <si>
    <t>断货中风险</t>
  </si>
  <si>
    <t>P1</t>
  </si>
  <si>
    <t>运营：确认调价与节奏；供应链：确认最近一批到货时间与数量</t>
  </si>
  <si>
    <t>🟡掉量-67%</t>
  </si>
  <si>
    <t>2.0</t>
  </si>
  <si>
    <t>5.0</t>
  </si>
  <si>
    <t>-60.0</t>
  </si>
  <si>
    <t>0.29</t>
  </si>
  <si>
    <t>46</t>
  </si>
  <si>
    <t>83</t>
  </si>
  <si>
    <t>59</t>
  </si>
  <si>
    <t>240</t>
  </si>
  <si>
    <t>530</t>
  </si>
  <si>
    <t>20.38</t>
  </si>
  <si>
    <t>161.0</t>
  </si>
  <si>
    <t>7</t>
  </si>
  <si>
    <t>100.0</t>
  </si>
  <si>
    <t>19.0</t>
  </si>
  <si>
    <t>26.0</t>
  </si>
  <si>
    <t>41.3</t>
  </si>
  <si>
    <t>20.0</t>
  </si>
  <si>
    <t>22.14</t>
  </si>
  <si>
    <t>18.42</t>
  </si>
  <si>
    <t>20.54</t>
  </si>
  <si>
    <t>25.11</t>
  </si>
  <si>
    <t>7.2</t>
  </si>
  <si>
    <t>7.7</t>
  </si>
  <si>
    <t>14.4</t>
  </si>
  <si>
    <t>7.6</t>
  </si>
  <si>
    <t>525</t>
  </si>
  <si>
    <t>3.62</t>
  </si>
  <si>
    <t>0.71</t>
  </si>
  <si>
    <t>🟡掉量-60%</t>
  </si>
  <si>
    <t>-100.0</t>
  </si>
  <si>
    <t>5</t>
  </si>
  <si>
    <t>66</t>
  </si>
  <si>
    <t>16.5</t>
  </si>
  <si>
    <t>3</t>
  </si>
  <si>
    <t>33.3</t>
  </si>
  <si>
    <t>19</t>
  </si>
  <si>
    <t>15.8</t>
  </si>
  <si>
    <t>18.08</t>
  </si>
  <si>
    <t>24.43</t>
  </si>
  <si>
    <t>22.59</t>
  </si>
  <si>
    <t>16.72</t>
  </si>
  <si>
    <t>20.44</t>
  </si>
  <si>
    <t>7.5</t>
  </si>
  <si>
    <t>24.5</t>
  </si>
  <si>
    <t>30.2</t>
  </si>
  <si>
    <t>47</t>
  </si>
  <si>
    <t>6.38</t>
  </si>
  <si>
    <t>0.11</t>
  </si>
  <si>
    <t>低浏览高转化</t>
  </si>
  <si>
    <t>广告端：放量（加大投放/拓词）</t>
  </si>
  <si>
    <t>⚫近7日0销量 / 🟡掉量-100% / 🎯进度落后(33%/53%)</t>
  </si>
  <si>
    <t>9</t>
  </si>
  <si>
    <t>175</t>
  </si>
  <si>
    <t>43.75</t>
  </si>
  <si>
    <t>35.87</t>
  </si>
  <si>
    <t>32.05</t>
  </si>
  <si>
    <t>34.19</t>
  </si>
  <si>
    <t>41.79</t>
  </si>
  <si>
    <t>51</t>
  </si>
  <si>
    <t>滞销风险</t>
  </si>
  <si>
    <t>运营+推广：促销/降价换量；供应链：缩减海外仓发货计划</t>
  </si>
  <si>
    <t>B-断货风险</t>
  </si>
  <si>
    <t>56</t>
  </si>
  <si>
    <t>96</t>
  </si>
  <si>
    <t>181</t>
  </si>
  <si>
    <t>36.2</t>
  </si>
  <si>
    <t>50.0</t>
  </si>
  <si>
    <t>125.0</t>
  </si>
  <si>
    <t>✅ 已完成</t>
  </si>
  <si>
    <t>10.0</t>
  </si>
  <si>
    <t>20.39</t>
  </si>
  <si>
    <t>46.99</t>
  </si>
  <si>
    <t>35.67</t>
  </si>
  <si>
    <t>40.76</t>
  </si>
  <si>
    <t>49.81</t>
  </si>
  <si>
    <t>-99.9</t>
  </si>
  <si>
    <t>33.2</t>
  </si>
  <si>
    <t>126</t>
  </si>
  <si>
    <t>3.97</t>
  </si>
  <si>
    <t>断货高风险</t>
  </si>
  <si>
    <t>P0</t>
  </si>
  <si>
    <t>运营：调价控销；供应链：海外仓发货加倍 + 同步最近一批到货时间</t>
  </si>
  <si>
    <t>🔴断货风险(0.0天)</t>
  </si>
  <si>
    <t>0.86</t>
  </si>
  <si>
    <t>14</t>
  </si>
  <si>
    <t>40</t>
  </si>
  <si>
    <t>58</t>
  </si>
  <si>
    <t>3.41</t>
  </si>
  <si>
    <t>4.7</t>
  </si>
  <si>
    <t>300.0</t>
  </si>
  <si>
    <t>17.0</t>
  </si>
  <si>
    <t>188.9</t>
  </si>
  <si>
    <t>22.88</t>
  </si>
  <si>
    <t>21.15</t>
  </si>
  <si>
    <t>20.85</t>
  </si>
  <si>
    <t>15.81</t>
  </si>
  <si>
    <t>19.33</t>
  </si>
  <si>
    <t>30.9</t>
  </si>
  <si>
    <t>-43.4</t>
  </si>
  <si>
    <t>0.9</t>
  </si>
  <si>
    <t>6.7</t>
  </si>
  <si>
    <t>20.73</t>
  </si>
  <si>
    <t>运营：控销节奏、暂停加码；供应链：确认在途批量与到货时间</t>
  </si>
  <si>
    <t>🔴断货风险(4.7天)</t>
  </si>
  <si>
    <t>98</t>
  </si>
  <si>
    <t>216</t>
  </si>
  <si>
    <t>142.9</t>
  </si>
  <si>
    <t>52.91</t>
  </si>
  <si>
    <t>45.99</t>
  </si>
  <si>
    <t>43.65</t>
  </si>
  <si>
    <t>45.97</t>
  </si>
  <si>
    <t>56.19</t>
  </si>
  <si>
    <t>13.1</t>
  </si>
  <si>
    <t>14.2</t>
  </si>
  <si>
    <t>25.5</t>
  </si>
  <si>
    <t>166</t>
  </si>
  <si>
    <t>6.02</t>
  </si>
  <si>
    <t>0.32</t>
  </si>
  <si>
    <t>1</t>
  </si>
  <si>
    <t>36</t>
  </si>
  <si>
    <t>34</t>
  </si>
  <si>
    <t>135</t>
  </si>
  <si>
    <t>45.0</t>
  </si>
  <si>
    <t>12.5</t>
  </si>
  <si>
    <t>43.63</t>
  </si>
  <si>
    <t>42.99</t>
  </si>
  <si>
    <t>31.01</t>
  </si>
  <si>
    <t>30.86</t>
  </si>
  <si>
    <t>37.71</t>
  </si>
  <si>
    <t>29.3</t>
  </si>
  <si>
    <t>14.0</t>
  </si>
  <si>
    <t>39.2</t>
  </si>
  <si>
    <t>91</t>
  </si>
  <si>
    <t>1.1</t>
  </si>
  <si>
    <t>0.07</t>
  </si>
  <si>
    <t>F-进度落后</t>
  </si>
  <si>
    <t>43</t>
  </si>
  <si>
    <t>191</t>
  </si>
  <si>
    <t>63.67</t>
  </si>
  <si>
    <t>150.5</t>
  </si>
  <si>
    <t>16.7</t>
  </si>
  <si>
    <t>10</t>
  </si>
  <si>
    <t>30.0</t>
  </si>
  <si>
    <t>20.03</t>
  </si>
  <si>
    <t>18.98</t>
  </si>
  <si>
    <t>20.24</t>
  </si>
  <si>
    <t>24.74</t>
  </si>
  <si>
    <t>-1.1</t>
  </si>
  <si>
    <t>37.8</t>
  </si>
  <si>
    <t>5.6</t>
  </si>
  <si>
    <t>67</t>
  </si>
  <si>
    <t>4.48</t>
  </si>
  <si>
    <t>🎯进度落后(17%/53%)</t>
  </si>
  <si>
    <t>79</t>
  </si>
  <si>
    <t>7.9</t>
  </si>
  <si>
    <t>600.0</t>
  </si>
  <si>
    <t>27.06</t>
  </si>
  <si>
    <t>31.99</t>
  </si>
  <si>
    <t>23.41</t>
  </si>
  <si>
    <t>49.46</t>
  </si>
  <si>
    <t>60.46</t>
  </si>
  <si>
    <t>-82.8</t>
  </si>
  <si>
    <t>23.2</t>
  </si>
  <si>
    <t>2.8</t>
  </si>
  <si>
    <t>6.9</t>
  </si>
  <si>
    <t>🎯进度落后(20%/53%)</t>
  </si>
  <si>
    <t>45</t>
  </si>
  <si>
    <t>80</t>
  </si>
  <si>
    <t>168</t>
  </si>
  <si>
    <t>33.6</t>
  </si>
  <si>
    <t>38.5</t>
  </si>
  <si>
    <t>66.7</t>
  </si>
  <si>
    <t>13</t>
  </si>
  <si>
    <t>28.45</t>
  </si>
  <si>
    <t>26.67</t>
  </si>
  <si>
    <t>21.08</t>
  </si>
  <si>
    <t>22.08</t>
  </si>
  <si>
    <t>26.99</t>
  </si>
  <si>
    <t>22.4</t>
  </si>
  <si>
    <t>25.6</t>
  </si>
  <si>
    <t>7.3</t>
  </si>
  <si>
    <t>61</t>
  </si>
  <si>
    <t>8.2</t>
  </si>
  <si>
    <t>28</t>
  </si>
  <si>
    <t>76</t>
  </si>
  <si>
    <t>236</t>
  </si>
  <si>
    <t>33.71</t>
  </si>
  <si>
    <t>98.0</t>
  </si>
  <si>
    <t>54.5</t>
  </si>
  <si>
    <t>11.0</t>
  </si>
  <si>
    <t>23.16</t>
  </si>
  <si>
    <t>25.37</t>
  </si>
  <si>
    <t>22.15</t>
  </si>
  <si>
    <t>27.07</t>
  </si>
  <si>
    <t>4.4</t>
  </si>
  <si>
    <t>18.5</t>
  </si>
  <si>
    <t>3.1</t>
  </si>
  <si>
    <t>8.96</t>
  </si>
  <si>
    <t>-50.0</t>
  </si>
  <si>
    <t>31</t>
  </si>
  <si>
    <t>176</t>
  </si>
  <si>
    <t>14.67</t>
  </si>
  <si>
    <t>217.0</t>
  </si>
  <si>
    <t>25.0</t>
  </si>
  <si>
    <t>21</t>
  </si>
  <si>
    <t>24.08</t>
  </si>
  <si>
    <t>18.44</t>
  </si>
  <si>
    <t>20.51</t>
  </si>
  <si>
    <t>25.07</t>
  </si>
  <si>
    <t>9.2</t>
  </si>
  <si>
    <t>22.6</t>
  </si>
  <si>
    <t>143</t>
  </si>
  <si>
    <t>🟡掉量-50% / 🎯进度落后(25%/53%)</t>
  </si>
  <si>
    <t>-20.0</t>
  </si>
  <si>
    <t>0.57</t>
  </si>
  <si>
    <t>53</t>
  </si>
  <si>
    <t>54</t>
  </si>
  <si>
    <t>140</t>
  </si>
  <si>
    <t>294</t>
  </si>
  <si>
    <t>11.76</t>
  </si>
  <si>
    <t>21.0</t>
  </si>
  <si>
    <t>325.0</t>
  </si>
  <si>
    <t>166.7</t>
  </si>
  <si>
    <t>29.09</t>
  </si>
  <si>
    <t>29.43</t>
  </si>
  <si>
    <t>23.39</t>
  </si>
  <si>
    <t>23.08</t>
  </si>
  <si>
    <t>28.2</t>
  </si>
  <si>
    <t>20.7</t>
  </si>
  <si>
    <t>-2.1</t>
  </si>
  <si>
    <t>195</t>
  </si>
  <si>
    <t>10.26</t>
  </si>
  <si>
    <t>0.61</t>
  </si>
  <si>
    <t>138</t>
  </si>
  <si>
    <t>69.0</t>
  </si>
  <si>
    <t>32.16</t>
  </si>
  <si>
    <t>20.32</t>
  </si>
  <si>
    <t>29.91</t>
  </si>
  <si>
    <t>36.56</t>
  </si>
  <si>
    <t>237</t>
  </si>
  <si>
    <t>11.85</t>
  </si>
  <si>
    <t>245.0</t>
  </si>
  <si>
    <t>18.2</t>
  </si>
  <si>
    <t>44.4</t>
  </si>
  <si>
    <t>25.96</t>
  </si>
  <si>
    <t>20.43</t>
  </si>
  <si>
    <t>19.12</t>
  </si>
  <si>
    <t>23.37</t>
  </si>
  <si>
    <t>26.4</t>
  </si>
  <si>
    <t>2.3</t>
  </si>
  <si>
    <t>147</t>
  </si>
  <si>
    <t>5.44</t>
  </si>
  <si>
    <t>0.36</t>
  </si>
  <si>
    <t>🎯进度落后(18%/53%)</t>
  </si>
  <si>
    <t>32</t>
  </si>
  <si>
    <t>105</t>
  </si>
  <si>
    <t>17.5</t>
  </si>
  <si>
    <t>49.0</t>
  </si>
  <si>
    <t>71.4</t>
  </si>
  <si>
    <t>29.73</t>
  </si>
  <si>
    <t>21.48</t>
  </si>
  <si>
    <t>25.32</t>
  </si>
  <si>
    <t>30.95</t>
  </si>
  <si>
    <t>27.6</t>
  </si>
  <si>
    <t>6.25</t>
  </si>
  <si>
    <t>🎯进度落后(36%/53%)</t>
  </si>
  <si>
    <t>22</t>
  </si>
  <si>
    <t>84</t>
  </si>
  <si>
    <t>158</t>
  </si>
  <si>
    <t>14.36</t>
  </si>
  <si>
    <t>133.0</t>
  </si>
  <si>
    <t>6</t>
  </si>
  <si>
    <t>83.3</t>
  </si>
  <si>
    <t>63.6</t>
  </si>
  <si>
    <t>54.21</t>
  </si>
  <si>
    <t>49.67</t>
  </si>
  <si>
    <t>45.43</t>
  </si>
  <si>
    <t>41.88</t>
  </si>
  <si>
    <t>51.19</t>
  </si>
  <si>
    <t>22.7</t>
  </si>
  <si>
    <t>3.3</t>
  </si>
  <si>
    <t>25.3</t>
  </si>
  <si>
    <t>5.83</t>
  </si>
  <si>
    <t>0.25</t>
  </si>
  <si>
    <t>17</t>
  </si>
  <si>
    <t>68</t>
  </si>
  <si>
    <t>11.33</t>
  </si>
  <si>
    <t>70.0</t>
  </si>
  <si>
    <t>26.3</t>
  </si>
  <si>
    <t>23.91</t>
  </si>
  <si>
    <t>20.13</t>
  </si>
  <si>
    <t>23.22</t>
  </si>
  <si>
    <t>28.38</t>
  </si>
  <si>
    <t>11.7</t>
  </si>
  <si>
    <t>34.0</t>
  </si>
  <si>
    <t>41.7</t>
  </si>
  <si>
    <t>49</t>
  </si>
  <si>
    <t>10.2</t>
  </si>
  <si>
    <t>🎯进度落后(33%/53%)</t>
  </si>
  <si>
    <t>42.0</t>
  </si>
  <si>
    <t>6.2</t>
  </si>
  <si>
    <t>24.99</t>
  </si>
  <si>
    <t>19.05</t>
  </si>
  <si>
    <t>21.59</t>
  </si>
  <si>
    <t>26.39</t>
  </si>
  <si>
    <t>13.6</t>
  </si>
  <si>
    <t>7.8</t>
  </si>
  <si>
    <t>20.3</t>
  </si>
  <si>
    <t>2.17</t>
  </si>
  <si>
    <t>0.04</t>
  </si>
  <si>
    <t>⚫近7日0销量 / 🎯进度落后(33%/53%)</t>
  </si>
  <si>
    <t>156</t>
  </si>
  <si>
    <t>245</t>
  </si>
  <si>
    <t>15.31</t>
  </si>
  <si>
    <t>266.7</t>
  </si>
  <si>
    <t>84.6</t>
  </si>
  <si>
    <t>33.76</t>
  </si>
  <si>
    <t>34.03</t>
  </si>
  <si>
    <t>26.05</t>
  </si>
  <si>
    <t>33.22</t>
  </si>
  <si>
    <t>40.6</t>
  </si>
  <si>
    <t>1.6</t>
  </si>
  <si>
    <t>31.5</t>
  </si>
  <si>
    <t>32.6</t>
  </si>
  <si>
    <t>7.4</t>
  </si>
  <si>
    <t>69</t>
  </si>
  <si>
    <t>7.67</t>
  </si>
  <si>
    <t>133.3</t>
  </si>
  <si>
    <t>58.74</t>
  </si>
  <si>
    <t>59.79</t>
  </si>
  <si>
    <t>54.13</t>
  </si>
  <si>
    <t>49.3</t>
  </si>
  <si>
    <t>60.25</t>
  </si>
  <si>
    <t>16.1</t>
  </si>
  <si>
    <t>-3.7</t>
  </si>
  <si>
    <t>12.9</t>
  </si>
  <si>
    <t>13.33</t>
  </si>
  <si>
    <t>111</t>
  </si>
  <si>
    <t>22.2</t>
  </si>
  <si>
    <t>29.99</t>
  </si>
  <si>
    <t>22.42</t>
  </si>
  <si>
    <t>25.52</t>
  </si>
  <si>
    <t>31.19</t>
  </si>
  <si>
    <t>14.9</t>
  </si>
  <si>
    <t>5.8</t>
  </si>
  <si>
    <t>19.8</t>
  </si>
  <si>
    <t>1.15</t>
  </si>
  <si>
    <t>⚫近7日0销量 / 🟡掉量-100%</t>
  </si>
  <si>
    <t>38</t>
  </si>
  <si>
    <t>33.29</t>
  </si>
  <si>
    <t>16.23</t>
  </si>
  <si>
    <t>77</t>
  </si>
  <si>
    <t>77.0</t>
  </si>
  <si>
    <t>21.64</t>
  </si>
  <si>
    <t>18.16</t>
  </si>
  <si>
    <t>133</t>
  </si>
  <si>
    <t>7.1</t>
  </si>
  <si>
    <t>38.99</t>
  </si>
  <si>
    <t>35.05</t>
  </si>
  <si>
    <t>42.84</t>
  </si>
  <si>
    <t>10.1</t>
  </si>
  <si>
    <t>31.4</t>
  </si>
  <si>
    <t>38.3</t>
  </si>
  <si>
    <t>113</t>
  </si>
  <si>
    <t>0.88</t>
  </si>
  <si>
    <t>215</t>
  </si>
  <si>
    <t>23.89</t>
  </si>
  <si>
    <t>23.1</t>
  </si>
  <si>
    <t>35.9</t>
  </si>
  <si>
    <t>44.15</t>
  </si>
  <si>
    <t>36.03</t>
  </si>
  <si>
    <t>40.58</t>
  </si>
  <si>
    <t>-42.5</t>
  </si>
  <si>
    <t>-31.8</t>
  </si>
  <si>
    <t>161</t>
  </si>
  <si>
    <t>1.86</t>
  </si>
  <si>
    <t>【近14日销量矩阵】出库口径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</si>
  <si>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</si>
  <si>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</si>
  <si>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</si>
  <si>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</si>
  <si>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</si>
  <si>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</si>
  <si>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</si>
  <si>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</si>
  <si>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</si>
  <si>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</si>
  <si>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</si>
  <si>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</si>
  <si>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</si>
  <si>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合计</t>
  </si>
  <si>
    <t>【ASIN 经营异常闭环台账】诊断顺序：库存→流量→转化→价格｜DRI=林心园｜状态机：待通知→已通知→已回复→处理中→已验证→CLOSED/REOPENED</t>
  </si>
  <si>
    <t>异常ID</t>
  </si>
  <si>
    <t>异常类型</t>
  </si>
  <si>
    <t>异常事实</t>
  </si>
  <si>
    <t>基准值</t>
  </si>
  <si>
    <t>当前值</t>
  </si>
  <si>
    <t>经营影响</t>
  </si>
  <si>
    <t>原因判断</t>
  </si>
  <si>
    <t>置信度</t>
  </si>
  <si>
    <t>截止时间</t>
  </si>
  <si>
    <t>验收标准</t>
  </si>
  <si>
    <t>当前状态</t>
  </si>
  <si>
    <t>ASIN-001</t>
  </si>
  <si>
    <t>FBA可售仅 4.7 天（FBA可用 4 件，近7日卖 6 件）</t>
  </si>
  <si>
    <t>≥ 14 天</t>
  </si>
  <si>
    <t>4.7 天</t>
  </si>
  <si>
    <t>一周内断货，推广会断档</t>
  </si>
  <si>
    <t>补货不足 / 销量突增</t>
  </si>
  <si>
    <t>置信度A</t>
  </si>
  <si>
    <t>当天</t>
  </si>
  <si>
    <t>FBA可售 ≥ 14 天</t>
  </si>
  <si>
    <t>待通知</t>
  </si>
  <si>
    <t>ASIN-002</t>
  </si>
  <si>
    <t>FBA可用=0，近30日仍卖 5 件</t>
  </si>
  <si>
    <t>FBA可用 ≥ 7日销量</t>
  </si>
  <si>
    <t>FBA可用=0</t>
  </si>
  <si>
    <t>需求在但无货可卖，推广投入打水漂</t>
  </si>
  <si>
    <t>断货（非需求问题）</t>
  </si>
  <si>
    <t>ASIN-003</t>
  </si>
  <si>
    <t>FBA可用仅 12 件（可售 21.0 天），近30日卖 20 件</t>
  </si>
  <si>
    <t>FBA可用 ≥ 30日销量(20)</t>
  </si>
  <si>
    <t>FBA可用 12 件</t>
  </si>
  <si>
    <t>库存跟不上当前动销，随时断货</t>
  </si>
  <si>
    <t>补货节奏滞后 / 动销超预期</t>
  </si>
  <si>
    <t>本周内</t>
  </si>
  <si>
    <t>ASIN-004</t>
  </si>
  <si>
    <t>FBA可用仅 9 件（可售 21.0 天），近30日卖 11 件</t>
  </si>
  <si>
    <t>FBA可用 ≥ 30日销量(11)</t>
  </si>
  <si>
    <t>FBA可用 9 件</t>
  </si>
  <si>
    <t>ASIN-005</t>
  </si>
  <si>
    <t>FBA可用仅 6 件（可售 21.0 天），近30日卖 8 件</t>
  </si>
  <si>
    <t>FBA可用 ≥ 30日销量(8)</t>
  </si>
  <si>
    <t>FBA可用 6 件</t>
  </si>
  <si>
    <t>ASIN-006</t>
  </si>
  <si>
    <t>FBA可用仅 4 件（可售 28.0 天），近30日卖 7 件</t>
  </si>
  <si>
    <t>FBA可用 ≥ 30日销量(7)</t>
  </si>
  <si>
    <t>FBA可用 4 件</t>
  </si>
  <si>
    <t>ASIN-007</t>
  </si>
  <si>
    <t>FBA可用仅 4 件（可售 28.0 天），近30日卖 6 件</t>
  </si>
  <si>
    <t>FBA可用 ≥ 30日销量(6)</t>
  </si>
  <si>
    <t>ASIN-008</t>
  </si>
  <si>
    <t>近7日 0 销量，近30日仅 1 件，库销比 45.0 月</t>
  </si>
  <si>
    <t>近7日 ≥ 1 件</t>
  </si>
  <si>
    <t>0 件</t>
  </si>
  <si>
    <t>库存占用，仓储费累积</t>
  </si>
  <si>
    <t>推广未起量（待验证：价格 / 流量 / 转化）</t>
  </si>
  <si>
    <t>ASIN-009</t>
  </si>
  <si>
    <t>近7日 0 销量，近30日仅 1 件，库销比 22.17 月</t>
  </si>
  <si>
    <t>ASIN-010</t>
  </si>
  <si>
    <t>近7日 0 销量，近30日仅 1 件，库销比 42.0 月</t>
  </si>
  <si>
    <t>ASIN-011</t>
  </si>
  <si>
    <t>近7日 0 销量，近30日仅 1 件，库销比 22.2 月</t>
  </si>
  <si>
    <t>ASIN-012</t>
  </si>
  <si>
    <t>近7日 0 销量，近30日仅 0 件，库销比 43.75 月</t>
  </si>
  <si>
    <t>ASIN-013</t>
  </si>
  <si>
    <t>近7日 0 销量，近30日仅 0 件，库销比 69.0 月</t>
  </si>
  <si>
    <t>ASIN-014</t>
  </si>
  <si>
    <t>近7日 0 销量，近30日仅 0 件，库销比 77.0 月</t>
  </si>
  <si>
    <t>ASIN-015</t>
  </si>
  <si>
    <t>近7日日均 0.29 件 vs 前28日日均 0.71 件（-59%）</t>
  </si>
  <si>
    <t>前28日日均 0.71</t>
  </si>
  <si>
    <t>近7日日均 0.29</t>
  </si>
  <si>
    <t>推广效果退化</t>
  </si>
  <si>
    <t>待验证：价格动作 / 广告变化 / 库存中断 / 竞品</t>
  </si>
  <si>
    <t>置信度B</t>
  </si>
  <si>
    <t>近7日日均回升至基线 80% 以上</t>
  </si>
  <si>
    <t>ASIN-016</t>
  </si>
  <si>
    <t>近7日日均 0.14 件 vs 前28日日均 0.46 件（-70%）</t>
  </si>
  <si>
    <t>前28日日均 0.46</t>
  </si>
  <si>
    <t>近7日日均 0.14</t>
  </si>
  <si>
    <t>ASIN-017</t>
  </si>
  <si>
    <t>近7日日均 0.14 件 vs 前28日日均 0.36 件（-61%）</t>
  </si>
  <si>
    <t>前28日日均 0.36</t>
  </si>
  <si>
    <t>ASIN-018</t>
  </si>
  <si>
    <t>近30日PV 581（≥中位 87），转化率 2.2%（&lt; 中位×0.6 = 3.6%）</t>
  </si>
  <si>
    <t>转化率中位 6.0%</t>
  </si>
  <si>
    <t>2.2%</t>
  </si>
  <si>
    <t>流量没被承接，浪费曝光</t>
  </si>
  <si>
    <t>待验证：价格偏高 / 页面承接 / 评价</t>
  </si>
  <si>
    <t>持续观察</t>
  </si>
  <si>
    <t>转化率 ≥ 品类中位</t>
  </si>
  <si>
    <t>ASIN-019</t>
  </si>
  <si>
    <t>近30日PV 49（&lt; 中位×0.6 = 52），转化率 10.2%（≥ 中位 6.0%）</t>
  </si>
  <si>
    <t>PV中位 87</t>
  </si>
  <si>
    <t>PV 49</t>
  </si>
  <si>
    <t>需求明确但曝光不足</t>
  </si>
  <si>
    <t>流量入口不足</t>
  </si>
  <si>
    <t>PV 达品类中位</t>
  </si>
  <si>
    <t>ASIN-020</t>
  </si>
  <si>
    <t>近30日PV 143（≥中位 87），转化率 2.8%（&lt; 中位×0.6 = 3.6%）</t>
  </si>
  <si>
    <t>2.8%</t>
  </si>
  <si>
    <t>ASIN-021</t>
  </si>
  <si>
    <t>近30日PV 47（&lt; 中位×0.6 = 52），转化率 6.4%（≥ 中位 6.0%）</t>
  </si>
  <si>
    <t>PV 47</t>
  </si>
  <si>
    <t>ASIN-022</t>
  </si>
  <si>
    <t>近30日PV 161（≥中位 87），转化率 1.9%（&lt; 中位×0.6 = 3.6%）</t>
  </si>
  <si>
    <t>1.9%</t>
  </si>
  <si>
    <t>【降价换量机会】低销 · 高毛 · 未达10%市占目标｜成交价=BI出库销售单价(￥)÷6.70（已含coupon/促销）｜建议降幅=min(守住毛利底线18%可降幅度， 距价格下限空间)｜降后毛利率=(m−p)/(1−p)</t>
  </si>
  <si>
    <t>当前成交价$(折算)</t>
  </si>
  <si>
    <t>建议价$</t>
  </si>
  <si>
    <t>建议降幅%</t>
  </si>
  <si>
    <t>当前毛利率%</t>
  </si>
  <si>
    <t>降后毛利率%</t>
  </si>
  <si>
    <t>约束</t>
  </si>
  <si>
    <t>近30日</t>
  </si>
  <si>
    <t>32.36</t>
  </si>
  <si>
    <t>25.8</t>
  </si>
  <si>
    <t>18.0</t>
  </si>
  <si>
    <t>⚠️受毛利底线约束</t>
  </si>
  <si>
    <t>22.79</t>
  </si>
  <si>
    <t>12.2</t>
  </si>
  <si>
    <t>26.24</t>
  </si>
  <si>
    <t>22.97</t>
  </si>
  <si>
    <t>11.3</t>
  </si>
  <si>
    <t>可降到下限</t>
  </si>
  <si>
    <t>9.3</t>
  </si>
  <si>
    <t>49.41</t>
  </si>
  <si>
    <t>8.8</t>
  </si>
  <si>
    <t>22.72</t>
  </si>
  <si>
    <t>5.7</t>
  </si>
  <si>
    <t>Q2 bcg（asin）</t>
  </si>
  <si>
    <t>Q3 bcg（asin）</t>
  </si>
  <si>
    <t>bcg（商编维度）</t>
  </si>
  <si>
    <t>10月销量（截至10.4）</t>
  </si>
  <si>
    <t>p1考核销量目标</t>
  </si>
  <si>
    <t>9月销量达标进度</t>
  </si>
  <si>
    <t>销量目标到10%</t>
  </si>
  <si>
    <t>202609目标</t>
  </si>
  <si>
    <t>202610目标</t>
  </si>
  <si>
    <t>202611目标</t>
  </si>
  <si>
    <t>202612目标</t>
  </si>
  <si>
    <t>202701目标</t>
  </si>
  <si>
    <t>202702目标</t>
  </si>
  <si>
    <t>分组（以组销200分界）</t>
  </si>
  <si>
    <t>链接质量检测得分</t>
  </si>
  <si>
    <t>备注（实际执行情况）</t>
  </si>
  <si>
    <t>8月下滑-8月初即将断货，降低促销后销量下滑</t>
  </si>
  <si>
    <t>8月下滑-8月库存不足有小幅涨价，期间coupon中断过</t>
  </si>
  <si>
    <t>6、7月份大多是PO出单，价格和利润相对较低，后期转FBA价格相对较高，销量有所下滑</t>
  </si>
  <si>
    <t>7月底库存较低有进行过涨价操作，8月销量下滑，目前库存恢复</t>
  </si>
  <si>
    <t>8月初断货，目前刚到货，且库存较低</t>
  </si>
  <si>
    <t>历史销量较低，6.7月份均只出一单</t>
  </si>
  <si>
    <t>目前FBA可用库存较低</t>
  </si>
  <si>
    <t>新增的VC转FBA链接，目前VC在售但海外仓库存3，库存不足</t>
  </si>
  <si>
    <t>新增的VC转FBA链接，目前VC在售，海外仓库存6，在途17，可先VC推</t>
  </si>
  <si>
    <t>Fitment前台生效</t>
  </si>
  <si>
    <t>定价符合要求（折后价）</t>
  </si>
  <si>
    <t>星级/评论≥4.3</t>
  </si>
  <si>
    <t>标题/亮点规范</t>
  </si>
  <si>
    <t>标题亮点卖点适配</t>
  </si>
  <si>
    <t>OE件号</t>
  </si>
  <si>
    <t>套图≥7张</t>
  </si>
  <si>
    <t>首图彩盒</t>
  </si>
  <si>
    <t>SKU维度细节图</t>
  </si>
  <si>
    <t>视频（开箱、安装、品牌）</t>
  </si>
  <si>
    <t>超级A+</t>
  </si>
  <si>
    <t>品牌故事</t>
  </si>
  <si>
    <t>属性栏OE号精简（唯一）</t>
  </si>
  <si>
    <t>后台搜索词</t>
  </si>
  <si>
    <t>购物车/可售</t>
  </si>
  <si>
    <t>产品描述</t>
  </si>
  <si>
    <t>类目节点</t>
  </si>
  <si>
    <t>属性字段合规</t>
  </si>
  <si>
    <t>首页差评</t>
  </si>
  <si>
    <t>高退货标签</t>
  </si>
  <si>
    <t>加权总分</t>
  </si>
  <si>
    <t>最终等级</t>
  </si>
  <si>
    <t>权重</t>
  </si>
  <si>
    <t>一个扣3分</t>
  </si>
  <si>
    <t>扣8分</t>
  </si>
  <si>
    <t>平台销售编码</t>
  </si>
  <si>
    <t>sku</t>
  </si>
  <si>
    <t>业务分类</t>
  </si>
  <si>
    <t>品牌</t>
  </si>
  <si>
    <t>流量</t>
  </si>
  <si>
    <t>页面浏览量</t>
  </si>
  <si>
    <t>销量</t>
  </si>
  <si>
    <t>销售额</t>
  </si>
  <si>
    <t>转化率</t>
  </si>
  <si>
    <t>展示量</t>
  </si>
  <si>
    <t>点击数</t>
  </si>
  <si>
    <t>广告花费</t>
  </si>
  <si>
    <t>CPC</t>
  </si>
  <si>
    <t>ACOS</t>
  </si>
  <si>
    <t>广告sku销售额</t>
  </si>
  <si>
    <t>广告sku销量</t>
  </si>
  <si>
    <t>毛利润-实际</t>
  </si>
  <si>
    <t>毛利率</t>
  </si>
  <si>
    <t>推广占比</t>
  </si>
  <si>
    <t>退款率</t>
  </si>
  <si>
    <t>促销折扣</t>
  </si>
  <si>
    <t>coupon使用费</t>
  </si>
  <si>
    <t>水泵</t>
  </si>
  <si>
    <t>PHILTOP</t>
  </si>
  <si>
    <t>全量链接</t>
  </si>
  <si>
    <t>B00NPVK3I0:24.48/74.93/1835.15/AISIN
B097XHTBWH:16.48/46.01/759.63/A-Premium
B017AFSYHS:13.99/34.94/487.24/OAW
B0G3LJ7K3X:13.33/29.22/389.66/Philtop
B0F3D562DY:12.67/22.32/282.72/Kax
B0D99DF8NB:10.39/37.37/390.05/BDFHYK
B001FJE49S:9.12/61.92/563.0/Gates
B0FC6N3DYG:7.18/23.99/172.14/ECCPP
B0B42GWRZC:7.12/34.37/244.79/Vipcar
B0DNLX8HBK:4.64/29.99/139.14/ADIGARAUTO
B0D9NG1NPB:4.35/32.81/142.75/zayody
B0DG5B9HFM:1.72/28.88/49.79/UNITHUB
B0G1BLHT4C:0.33/23.13/7.71/Torchbeam
B00BFDFT0M:0.23/313.19/70.81/Honda</t>
  </si>
  <si>
    <t>B0CX1HWZT5:14.54/48.85/706.9/AULINK
B09JNW6DMF:7.47/48.19/359.99/TUCAREST
B0F3P58B1H:3.98/51.39/203.97/CUGANO
B0GWQLK91B:3.67/49.81/182.63/Philtop
B0143PZOJO:1.42/49.22/69.45/OAW
B0F3D7DNRX:1.0/51.99/51.99/Kax
B0C77G85VD:0.7/17.09/36.11/ADIGARAUTO
B01CR451DC:0.05/59.22/2.74/MTC</t>
  </si>
  <si>
    <t>B097XSWQPQ:15.88/38.36/605.33/A-Premium
B01D0JYZV2:9.36/57.44/537.76/AISIN
B0GWQVWRRZ:9.33/25.19/235.14/Philtop
B019ND400K:2.9/30.33/150.82/OAW
B0F9F27FSF:1.26/9.66/36.45/EMTMOUN
B086WXMW16:0.85/64.91/55.2/TRQ
B0H25WXF4W:0.67/19.99/13.33/Kax
B0H46B78NL:0.33/21.99/7.33/Kax
B00GVIP8HU:0.2/67.45/13.58/Gates
B06WWHVB8L:0.08/18.66/4.47/DNJ</t>
  </si>
  <si>
    <t>B0B7X75MRR:21.76/27.63/600.21/A-Premium
B0C3G5JV3N:14.52/40.99/594.99/NewYall
B0FLX4C3CN:13.91/39.64/552.12/BRTEC
B00EPPS986:12.56/78.71/986.89/Gates
B0DC6CJZNZ:8.67/23.98/207.53/CUGANO
B07RYVXSG3:4.51/61.62/391.63/Beck/Arnley
B0C77F7GCC:4.51/25.61/113.2/ADIGARAUTO
B0BYNQNN58:3.78/41.0/155.39/MPLUS OE SOLUTION AUTOPARTS
B0GWZL1L53:3.67/23.94/87.76/Philtop
B09J1JKHL7:3.64/159.99/582.04/A.A
B0178JV8ZQ:3.1/29.13/172.42/OAW
B0F38C8FW5:2.67/19.99/53.31/Kax
B0DXZJYB83:1.15/134.3/148.34/QNCKJZV
B07KXYTBKY:0.8/79.99/63.7/Marine Engines 4 Less
B0FJL88228:0.67/20.87/13.91/Torchbeam
B0G3LJ159C:0.67/21.99/14.66/Philtop
B01KHL4GTC:0.64/42.1/81.45/Motorcraft
B0BZ4445NB:0.09/14.0/3.61/WINBEST
B0C826KFHW:0.0/57.4/0.59/Rareelectrical</t>
  </si>
  <si>
    <t>B097XSJZB6:34.35/32.17/1106.48/A-Premium
B0CX17V3LB:10.77/22.81/240.67/AULINK
B08VDLYQYD:8.99/24.1/216.89/AUQDD
B0GWZGC7Q9:8.67/23.19/200.97/Philtop
B096VP5SD7:8.1/27.62/223.7/TUCAREST
B09GXMV3FP:4.62/26.08/120.42/KEYOOG
B0066TLSR8:3.34/46.97/157.05/URO Parts
B0F3D7RGMB:1.67/24.73/41.22/Kax
B093GLRJGX:1.11/85.0/94.02/MAC
B09HX9S3LN:0.92/59.92/55.39/TRQ
B00TM2CE3S:0.52/62.97/32.74/DNJ
B003YMRL12:0.45/81.09/35.57/Gates
B0C77GG22F:0.29/9.16/8.08/ADIGARAUTO
B0B27VY8JG:0.17/27.8/4.78/MOCA AUTOPARTS
B00LTL0SU6:0.13/53.18/10.49/Beck/Arnley
B07SSTZVJL:0.12/21.19/3.82/Carock</t>
  </si>
  <si>
    <t>B0B7X9Z65V:21.32/24.74/525.94/A-Premium
B096VNHM42:8.19/23.71/194.71/TUCAREST
B0F3D6YL65:3.33/21.78/72.59/Kax
B0GX5FC5K7:2.67/23.61/62.97/Philtop
B01F5XN1VG:2.27/28.69/65.04/OAW
B0G3LGZNV3:1.67/22.79/37.98/Philtop
B0C77FLRDR:1.64/16.99/41.24/ADIGARAUTO
B07MX9RWPN:1.35/21.96/46.46/ECCPP
B0CJ919JRJ:1.32/20.41/40.7/SCITOO
B09HX93W6M:0.84/60.95/51.47/TRQ
B01KHLJTSK:0.81/22.88/55.85/ACDelco
B00IU70JCE:0.75/70.78/52.85/Gates
B07MXTG884:0.72/6.66/14.41/SCITOO
B0FZGTSBSZ:0.67/13.77/9.18/Philtop
B013EI96KE:0.1/74.54/21.89/Gates
B006DZBRIK:0.08/27.88/7.01/Motorcraft
B00TM2AA8O:0.04/44.07/1.55/DNJ</t>
  </si>
  <si>
    <t>B000C9IJBQ:11.72/39.66/464.29/ACDelco
B0B7X8ZCXM:6.4/34.76/222.97/A-Premium
B0DX19L9L8:4.79/34.6/164.98/KAYULONE
B0D9PZQC3R:4.18/32.31/134.87/UNITHUB
B08SMNCP4C:4.03/23.93/144.61/TUUMOND
B0GWZBTZQ1:3.0/31.77/95.3/Philtop
B000C2S666:2.96/42.99/127.23/Gates
B0F387N5D3:1.67/23.05/38.42/Kax
B0BTVMLD5P:1.5/35.31/53.35/CUGANO
B07G96Z9CS:0.31/13.33/12.3/ECCPP
B09HX7VTBZ:0.24/19.98/14.34/TRQ</t>
  </si>
  <si>
    <t>B0BCQSX2HM:12.77/26.81/341.88/A-Premium
B0G3LKS8KV:3.67/19.5/71.49/Philtop
B000C2U7OU:1.78/41.22/73.42/Gates
B0GWQXJ3LD:0.33/32.99/11.0/Philtop
B08D3K6J8Q:0.02/8.66/0.54/MPLUS OE SOLUTION AUTOPARTS</t>
  </si>
  <si>
    <t>B08L38GRLT:10.56/43.25/456.3/TUUMOND
B097XS8TZ6:6.81/57.17/389.72/A-Premium
B0FZGR1J14:5.67/34.75/196.92/Philtop
B0GWZBPSDW:5.33/37.36/199.24/Philtop
B08HXXYVRK:5.3/43.31/227.74/ADIGARAUTO
B000C2W8HE:4.84/53.76/260.26/Gates
B0B42FNKRH:3.58/56.51/202.42/Vipcar
B0143Q07O0:0.96/50.29/48.42/OAW
B000C9IJ2A:0.94/77.29/72.04/ACDelco
B0G1BRF5NH:0.67/34.75/23.17/Torchbeam
B00U0TPFXS:0.19/63.14/12.18/DNJ
B0BW89NBMZ:0.16/40.99/6.66/PartsFlow
B09KC1J59Z:0.01/26.71/0.46/TOM</t>
  </si>
  <si>
    <t>B097XP7NC8:59.73/29.25/1752.19/A-Premium
B07X6JG7H8:26.02/25.07/648.03/IRONTREE
B001C97VUU:9.99/55.07/550.33/Gates
B0CFPTFN19:8.13/24.16/197.88/TUUMOND
B096VQ39BL:7.94/24.17/192.23/TUCAREST
B0DKXQ8J32:7.75/22.51/174.64/Autodevil
B0DX19MJN9:7.69/23.29/179.18/KAYULONE
B0B1PMH8ZT:7.58/32.57/247.02/Vipcar
B0178DOMSW:5.25/35.21/185.43/OAW
B0F3D43NHV:3.67/23.08/84.63/Kax
B0CPS87LWW:2.65/25.92/68.81/UCUT
B0D6R7998H:2.59/23.59/61.04/UNITHUB
B0BFHDBJNQ:2.39/15.99/57.37/ADIGARAUTO
B00T3MIXAU:2.23/26.41/176.33/Hitachi
B00GTIHIAC:1.41/33.37/44.91/Hitachi
B0GWQPPJ13:1.33/29.99/39.99/Philtop
B08VDGYPL1:1.07/23.61/25.24/AUQDD
B078HS6FZQ:0.88/8.59/22.6/MOCA AUTOPARTS
B0CM5LWCW1:0.83/15.94/19.78/CUGANO
B09HWW8F8X:0.59/19.98/35.37/TRQ
B07NPHGRXS:0.57/11.33/19.37/ECCPP
B08SQNTRF5:0.08/11.95/2.79/MPLUS OE SOLUTION AUTOPARTS
B0CW3CYQJ5:0.07/13.88/3.12/SCITOO
B0CJDV1BV8:0.06/7.99/1.54/SCITOO</t>
  </si>
  <si>
    <t>B097XTLD2X:37.42/63.81/2386.18/A-Premium
B07TCJL3LC:20.25/61.55/1245.3/OAW
B001C9G3D6:16.71/73.07/1224.73/Gates
B08HXZ1KRT:5.98/54.75/322.54/ADIGARAUTO
B096VMJ24Q:5.13/31.88/245.33/TUCAREST
B0GWQMTQY9:3.67/59.16/216.93/Philtop
B0B42FS6D7:3.5/75.99/265.71/Vipcar
B0049EL80E:3.15/251.81/778.66/Mopar
B0FZGP7XFB:2.0/49.91/99.82/Philtop
B0049OPB3Y:1.08/75.57/81.47/DNJ
B0F3D3S7VG:0.67/57.99/38.66/Kax
B0CJRG4MXK:0.54/56.79/30.76/MPLUS OE SOLUTION AUTOPARTS
B0FC6N91BF:0.02/62.69/1.28/ECCPP</t>
  </si>
  <si>
    <t>B08VDD7BV5:12.58/31.81/400.04/AUQDD
B097XR96VL:11.24/51.57/581.19/A-Premium
B008EEYY9C:6.97/57.27/539.98/AISIN
B0031GRO5Y:6.7/59.7/400.07/Gates
B0C77GK8R4:6.52/35.31/229.51/ADIGARAUTO
B0B42DTXKJ:4.17/41.22/171.69/Vipcar
B0F3D4L144:3.33/29.99/99.97/Kax
B019ND3WKE:2.75/48.61/132.97/OAW
B09JKFNCXX:1.17/35.21/41.22/BOXI
B0FC5WJYDX:0.33/43.99/14.66/Philtop
B0G3LHYVT1:0.33/3.61/1.2/Philtop
B0GWZHYY3T:0.33/38.99/13.0/Philtop
B00F57JRQQ:0.1/154.39/16.18/Subaru</t>
  </si>
  <si>
    <t>B097XMSBJH:88.72/58.94/5223.22/A-Premium
B0BRVN2BLL:13.66/34.43/1410.71/Dayco
B0DC691FRB:7.92/44.75/354.99/CUGANO
B0BPMJSL6Z:7.61/56.99/433.95/Vipcar
B0FDFR3N4Z:5.2/25.87/403.31/YOMALL
B0GWQXP1D2:5.0/46.12/230.58/Philtop
B0C77HPKH1:4.91/41.95/338.54/ADIGARAUTO
B0BH4XVT4J:2.27/132.32/287.86/Newparts
B0D1V4R6C1:2.03/37.95/77.34/JDMON
B09TRDKY4Y:1.7/119.04/201.57/Motorcraft
B0H26142R2:1.67/50.99/84.98/Kax
B01G5E8358:1.61/67.85/109.35/GMB
B01L4YD37C:1.53/43.19/99.03/Gates
B0G1BSYNNP:0.33/36.19/12.06/Torchbeam
B0CWXQM2D5:0.1/16.33/5.06/TUUMOND</t>
  </si>
  <si>
    <t>B0B7X9XDNL:2.08/26.56/55.37/A-Premium
B0F3D4JR6N:0.33/24.99/8.33/Kax
B0GX52JVGN:0.33/26.99/9.0/Philtop</t>
  </si>
  <si>
    <t>B09Q8WVC57:13.79/55.3/763.33/A-Premium
B0CZDCK79H:9.97/35.59/353.28/AULINK
B0BBLDZM2P:8.14/44.99/366.11/Vipcar
B0GWZR3D55:3.67/37.53/137.6/Philtop
B0F3D58BWY:2.67/29.11/77.63/Kax
B0DK5R9FNM:1.25/33.09/39.3/JDMON
B01COAA6BQ:0.31/34.13/31.64/Gates</t>
  </si>
  <si>
    <t>B09Q8VKV26:24.22/41.26/997.59/A-Premium
B08L38WV7M:7.61/30.89/235.16/TUUMOND
B000C2Y0CA:4.79/55.76/267.11/Gates
B000C9RJDK:2.57/59.07/151.8/ACDelco
B0GYRP5X4D:1.67/32.79/54.65/Philtop
B0H25QYB2D:1.33/29.99/39.99/Kax
B08MVXG6LD:1.04/46.99/46.2/TRQ
B07BDJ79JK:0.87/30.92/26.27/ECCPP
B0FJKLR6XG:0.33/32.28/10.76/Torchbeam
B0D7C2MGLJ:0.28/36.63/10.28/MOCA AUTOPARTS</t>
  </si>
  <si>
    <t>B0BB9Q8YGM:131.82/27.46/3603.29/AULINK
B097XC42N7:31.04/34.87/1080.79/A-Premium
B0DJQYXCRS:14.59/25.87/378.59/TUUMOND
B0CYT56KY8:11.17/25.26/281.37/BRTEC
B0CV4W5Y31:11.01/21.55/237.37/ApplianPar
B09V14G9WX:4.89/23.09/113.09/KEYOOG
B0D9K9JQP7:4.34/29.58/123.49/JDMON
B019ND42PI:4.02/28.22/113.52/OAW
B096VMDYRQ:3.38/15.08/76.41/TUCAREST
B0BPMHHF5K:2.92/24.43/70.73/Vipcar
B0F8V7WTXK:2.02/22.99/46.53/HY-SPEED
B00FZPP15Y:1.6/115.14/178.43/Toyota
B0DSW9F87J:1.33/25.99/34.65/Philtop
B0C77F213M:1.02/28.17/28.62/ADIGARAUTO
B0H2659RLX:1.0/24.99/24.99/Kax
B00KTIQNFE:0.81/112.21/91.96/Toyota
B0CW961421:0.77/15.26/35.22/IRONTREE
B0GYS61TK1:0.67/26.49/17.66/Philtop
B00HDQQ80A:0.31/19.87/18.45/ACDelco
B00FYF0R22:0.31/18.97/17.52/Gates
B09HX1TFQ8:0.24/21.65/15.54/TRQ
B0CJ91Y93F:0.18/19.79/5.22/SCITOO
B006D23KJM:0.01/15.47/0.69/GMB
B07MX2VZRT:0.01/8.33/0.31/ECCPP</t>
  </si>
  <si>
    <t>B097XV25HF:29.41/62.18/1830.82/A-Premium
B0D53ZBHBF:11.36/34.07/383.82/UNITHUB
B0D99PWNQ6:10.14/42.43/431.72/BDFHYK
B0D9PZTXVB:7.01/40.66/284.52/UNITHUB
B0DK8Z8CN6:4.19/21.09/265.01/IRONTREE
B0GYRNV2Q2:1.67/41.79/69.65/Philtop
B0F3886RWG:1.0/31.99/31.99/Kax
B00M37WQ6Y:0.4/69.56/41.21/Ford
B016FIPT4W:0.2/18.71/5.71/GMB</t>
  </si>
  <si>
    <t>B0CY8K5KTF:9.36/75.95/711.71/AULINK
B09Q8WP8LJ:6.38/112.73/720.3/A-Premium
B0844FCMF4:6.25/89.31/555.79/OAW
B0FZGM1YGD:2.67/65.4/174.4/Philtop
B0H25RBQ7M:0.67/89.99/59.99/Kax
B013EI9N66:0.04/100.71/4.03/Gates</t>
  </si>
  <si>
    <t>B0BR145856:86.24/36.13/3124.01/AULINK
B097XT5W5N:31.16/42.59/1332.81/A-Premium
B01KHLL9A6:16.65/68.54/1140.69/ACDelco
B0DG5F7C5C:13.56/31.69/429.65/UNITHUB
B004A2D45C:12.18/75.57/891.29/Motorcraft
B0CCCJCBQ4:6.88/44.99/309.43/ADIGARAUTO
B0CZRMW6K4:6.39/34.13/217.05/DRIVESTAR
B0GWZHV9LG:6.0/33.73/202.37/Philtop
B0F38852GY:4.33/28.67/124.24/Kax
B0BPMHBW77:3.63/31.71/115.78/Vipcar
B0F3P4Y2Y9:2.81/39.05/109.82/CUGANO
B09TR24RZN:2.52/123.0/309.52/Motorcraft
B09J7TDCPQ:1.02/89.92/92.62/TRQ
B0H69H16FH:0.33/46.99/15.66/Torchbeam
B0D14J633D:0.24/29.98/7.12/DOCAS
B07HMGQGMY:0.08/18.65/4.34/Us Motor Works</t>
  </si>
  <si>
    <t>B008EEZ02M:63.16/74.83/4718.2/AISIN
B08ZL3P5WY:44.14/25.31/1116.39/AULINK
B097XTVDCM:37.23/45.06/1675.9/A-Premium
B0CM5LMQ78:10.7/35.02/374.49/TUUMOND
B00HDQO9J2:10.27/58.55/603.02/ACDelco
B096VLMBMW:9.36/24.82/232.2/TUCAREST
B0BPMMNDZR:9.03/34.99/315.95/Vipcar
B0FKSYLNJ9:8.99/24.7/221.06/BRTEC
B017AFSXVU:7.49/35.01/261.01/OAW
B0FSZ2ZFZK:6.74/35.7/243.64/MOCA AUTOPARTS
B0BFHD1WM5:4.86/26.24/126.33/ADIGARAUTO
B001C9E4PU:4.23/69.78/295.42/Gates
B0D9KBSW4J:4.06/36.07/148.45/JDMON
B0GWQRKH9G:3.33/25.54/85.14/Philtop
B00TM2BTAM:2.95/49.22/145.26/DNJ
B00TM2CMZI:2.6/47.67/124.11/DNJ
B0DG5G3XDL:2.49/15.85/118.34/UNITHUB
B0CSDHCNB4:2.33/21.99/51.31/Kax
B0FN46VV7D:1.93/26.5/51.08/REVO
B001KSGMY4:1.91/57.97/110.3/Beck/Arnley
B0CM5KXBD4:1.9/26.99/51.98/CUGANO
B09T8VW9Q6:0.93/30.38/28.28/MOCA AUTOPARTS
B086WXCR7Q:0.66/43.3/43.01/TRQ
B09K3C45VR:0.6/41.3/24.85/Garage-Pro
B09T93D95Q:0.36/30.14/11.04/MPLUS OE SOLUTION AUTOPARTS
B0G3LHMSW9:0.33/19.99/6.66/Philtop
B00FZRMEOS:0.14/213.8/29.19/Honda
B08GZXRMKM:0.07/15.65/3.08/Marketplace Auto Parts</t>
  </si>
  <si>
    <t>B0CZ9F6KJB:104.83/22.5/2363.51/AULINK
B01KHLDYPY:31.52/66.84/2102.67/ACDelco
B0F4WDJG44:22.52/19.9/448.59/GZYQPDZ
B07D3Z1KFG:21.75/25.05/542.41/A-Premium
B096VMYF3R:9.74/23.07/225.24/TUCAREST
B0BPMH2MWV:8.73/25.71/224.39/Vipcar
B005OVINRC:7.79/79.31/618.43/GM GENUINE PARTS
B0GWZ8Q8L2:7.0/22.94/160.55/Philtop
B0143PZZZW:5.0/28.0/139.82/OAW
B0CSDHLTWY:4.33/16.58/71.83/Kax
B01LZJWC4C:2.53/17.24/131.07/AISIN
B00BNX7BQY:2.4/68.42/164.08/Gates
B006D1WTFO:1.36/31.77/43.34/GMB
B015NEGIRG:1.11/146.26/162.6/General Motors
B0G3LGZ91H:1.0/20.61/20.61/Philtop
B0CKXB5HGT:0.33/20.0/6.67/Philtop
B09K3SK78T:0.24/32.06/7.63/Garage-Pro
B0F8HT99RK:0.23/19.99/4.57/REVO
B0CJ92FWY7:0.17/14.29/3.62/SCITOO</t>
  </si>
  <si>
    <t>B0CX1353NG:47.23/40.6/1908.74/AULINK
B097XLRGWT:26.85/56.33/1510.97/A-Premium
B0C38VCCF4:8.99/36.05/325.33/TUCAREST
B0BBLFKS3N:8.13/34.99/284.33/Vipcar
B0FKT1939R:7.01/35.4/248.87/BRTEC
B0D31MKQTD:6.73/35.8/237.9/ApplianPar
B0F3V4DZRK:3.92/37.65/147.61/KAYULONE
B0CSDHG9GT:3.67/35.48/130.09/Kax
B0GWZNCP7S:3.33/39.98/133.27/Philtop
B0F8QP3SJ7:3.09/48.29/149.58/HY-SPEED
B0D22RFL3X:1.98/62.29/125.01/A-Premium
B01N21JWNP:1.64/116.16/216.36/Gates
B0DNM216DQ:0.85/37.93/32.28/ADIGARAUTO
B086WXK89W:0.55/63.3/51.87/TRQ
B0844FRYNJ:0.02/46.0/0.77/OAW</t>
  </si>
  <si>
    <t>B085BFBDTB:30.47/23.42/713.74/IRONTREE
B097XS5V9C:27.01/32.9/892.01/A-Premium
B08SMNGJNG:12.64/19.03/335.37/TUUMOND
B0D53WBQVX:11.08/23.26/256.11/UNITHUB
B0DHV4VH3S:9.72/22.49/218.54/LDMINDA
B000EQ7274:6.83/39.24/269.03/Gates
B096VMZZ3K:6.24/29.1/157.32/TUCAREST
B0B42JQNL1:3.91/26.99/105.62/Vipcar
B000C9KJIW:2.28/38.7/88.15/ACDelco
B085DRGVGT:1.58/16.34/39.18/ADIGARAUTO
B0GWQNW9QC:1.33/24.99/33.32/Philtop
B0143Q00NS:0.78/24.89/19.3/OAW
B09XV1WNWF:0.68/49.95/34.17/TRQ
B0F3882Y83:0.33/20.89/6.96/Kax
B07KMSXZH7:0.31/21.31/6.61/OCPTY
B072MJLRY4:0.03/96.92/3.83/Mopar</t>
  </si>
  <si>
    <t>B097XJ9H8X:20.32/51.26/1039.88/A-Premium
B0C9P8C46F:12.25/29.31/357.8/TUUMOND
B08VDYXFCK:9.94/29.94/298.52/AUQDD
B096VNQMYG:8.54/31.62/270.76/TUCAREST
B000IYZHNI:8.43/69.84/587.56/ACDelco
B002K3Y48Y:5.38/37.93/204.15/GMB
B0F1FK2769:5.3/26.92/143.59/Orceed
B000UOAIS0:3.3/74.78/246.01/Gates
B0DTTMVK65:3.0/34.06/102.17/Kax
B0FKT4RZ5Q:2.78/28.44/78.53/BRTEC
B0D2NFWTN7:2.76/25.14/67.0/REVO
B0DFTW5T2H:2.04/29.48/60.19/ADIGARAUTO
B0GWQVBRBB:1.67/37.77/62.95/Philtop
B000CB543A:1.6/63.34/100.69/Beck/Arnley
B0FG282FQ6:1.13/29.65/34.11/maXpeedingrods
B086WZ3R4P:0.93/65.95/61.25/TRQ
B0DFM372D4:0.67/25.66/17.11/Philtop
B0FJLYVK86:0.33/29.09/9.7/Torchbeam
B07DKN5XXK:0.02/55.99/1.54/Britpart for Land Rover
B099T7THD8:0.01/29.01/0.9/Miami British</t>
  </si>
  <si>
    <t>B0CKNGCHG2:148.88/40.32/5988.19/AULINK
B07DKQQKFF:84.81/90.95/7711.14/ACDelco
B0B7XBS4CR:38.95/46.12/1798.83/A-Premium
B08D7J7BYZ:34.2/71.74/2452.17/Gates
B07JBBDSLY:26.76/276.32/7277.4/GM GENUINE PARTS
B0DHWTJP5H:20.6/35.67/735.14/IRONTREE
B0FL216FWV:14.64/39.56/580.07/C-Tzu
B0F389QNRW:12.33/25.99/320.54/Kax
B0F6MGVZY1:9.96/145.95/1454.27/Dasbecan
B08VDLDMG7:9.24/38.71/357.79/AUQDD
B0F2MGQTVG:8.86/133.36/1204.17/NewYall
B0FRM79LKC:7.99/42.99/343.61/Roneeson
B0CT5DPDYZ:7.14/149.0/1064.03/Enocos
B0D17VVD5C:6.14/54.3/324.27/JAVOUKA
B0B5G8T72D:5.24/22.31/177.43/TUCAREST
B0D3N55QSM:5.21/66.33/345.83/GMB
B0G3LJ3LGP:5.0/37.59/187.95/Philtop
B0F1TNZDNQ:4.47/145.72/656.12/AULINK
B0DC68GCCD:2.84/38.62/107.46/CUGANO
B0DRFWXT5Q:2.71/136.95/356.39/TEKKOAUTO
B0DNTSLKNL:2.34/221.02/501.65/Gates
B0DWZVX8VH:2.31/41.99/97.06/KAYULONE
B07CJ9KSCF:2.24/125.6/275.05/GM GENUINE PARTS
B0FJQRB6DF:2.19/36.0/79.05/bansdans
B0F987L57B:2.11/105.83/670.89/DYRDINSHOW
B0F2FD1487:1.63/144.09/234.87/MPLUS OE SOLUTION AUTOPARTS
B0F8QHHHJG:1.4/145.66/203.87/MOCA AUTOPARTS
B0C77GMQRQ:0.85/13.29/33.82/ADIGARAUTO
B0DJS9QC7F:0.8/29.51/26.74/ELSOON
B0FR1W6FJJ:0.49/145.99/70.94/Carock
B0FDK6QCGR:0.25/155.99/38.43/Maxfavor</t>
  </si>
  <si>
    <t>B0B7X65W4W:22.87/62.42/1425.0/A-Premium
B0CLLWNCMD:20.14/49.22/984.87/AULINK
B09XTG3XGH:15.31/53.62/820.78/OAW
B0GWQTZDGZ:6.67/55.79/371.93/Philtop
B0DNLY88M9:6.4/53.47/339.38/ADIGARAUTO
B0F3P4JNZV:5.36/48.2/257.6/CUGANO
B09ZVLXGN1:4.49/76.78/344.37/Gates
B0F3881LT2:2.67/47.37/126.31/Kax
B0FN4511Y9:1.75/53.99/94.41/REVO
B0FZGRKJ35:0.33/41.34/13.78/Philtop</t>
  </si>
  <si>
    <t>B0D14KXQ2L:160.1/50.35/8041.92/AULINK
B0D56FCGR5:36.6/54.37/1993.14/Baxzl
B097XNZQSL:33.68/78.63/2649.09/A-Premium
B01E96ZUSW:22.99/111.07/2554.34/ACDelco
B08NWFJKKZ:15.78/53.49/843.95/OAW
B07V4NZ4S5:10.65/207.04/2206.55/Mopar
B0D9985F9X:10.21/67.38/687.07/BDFHYK
B0B5G8NBD6:10.14/44.82/454.26/TUCAREST
B0CCJFRD8C:8.8/41.07/361.46/MOTOKU
B0DSW8XVPB:5.33/57.18/304.95/Philtop
B0F388S3FJ:4.0/51.75/207.01/Kax
B0FLDPM7DH:3.99/40.95/159.21/REVO
B0CH4DSZTX:2.9/40.61/112.91/YQABLE
B0D56PTSMD:2.87/56.98/163.68/TUUMOND
B08C6WGXLP:1.94/51.4/99.24/BOXI
B01KHLFQ64:1.88/38.93/219.57/Gates
B0FKT5564R:0.99/47.05/46.7/BRTEC
B0DRKDGY9V:0.62/44.21/26.26/JDMON
B0C77GKXLY:0.1/13.39/3.95/ADIGARAUTO
B01DTE44DC:0.06/387.64/24.87/Mopar</t>
  </si>
  <si>
    <t>B000C9KAY0:101.45/36.31/3674.1/ACDelco
B000C2S6DY:21.99/25.53/559.91/Gates
B0CPJ93C4K:16.98/24.77/419.32/LDMINDA
B097XN4ZJ1:13.7/24.86/340.53/A-Premium
B0GWQY9RW4:4.67/22.87/106.72/Philtop
B0D6R5XV8C:1.41/23.26/32.81/UNITHUB
B08HXY4JXB:1.26/25.59/32.18/ADIGARAUTO
B0DFM2WQDL:1.0/24.11/24.11/Philtop
B0FY6CVJV9:1.0/19.12/19.12/Kax
B0B42HBF6R:0.72/18.9/20.28/Vipcar
B07B9R3XS4:0.09/7.33/2.05/ECCPP</t>
  </si>
  <si>
    <t>B000C9KAZO:22.61/36.78/831.61/ACDelco
B0C77GWN9R:11.95/22.98/272.95/ADIGARAUTO
B097XWBLVZ:7.32/25.47/186.58/A-Premium
B0F3D5ZR7B:6.33/19.99/126.6/Kax
B0GWZHZJXQ:6.0/26.41/158.45/Philtop
B000C2W8MO:2.93/39.94/113.91/Gates
B0FC6NBV8X:2.29/24.8/56.9/ECCPP
B0G3LJ9YYP:1.0/21.99/21.99/Philtop
B09HX84XZB:0.91/43.91/39.79/TRQ
B0D8T6V3Y1:0.21/13.99/4.39/TUUMOND
B000P4S8HI:0.01/9.99/0.31/GMB</t>
  </si>
  <si>
    <t>B097XKBVM6:22.59/24.45/547.83/A-Premium
B000UOE1WY:19.07/69.07/1317.63/Gates
B07M9LGG5L:5.13/7.66/118.0/IRONTREE
B0C77DPFTQ:4.92/25.86/128.05/ADIGARAUTO
B0GWZKWRT4:4.67/23.99/111.95/Philtop
B0DFTJKWS6:3.03/26.28/78.78/TUUMOND
B0B42KNPVZ:2.09/27.6/57.8/Vipcar
B0F3D9FQHR:0.33/21.99/7.33/Kax
B096VMP74W:0.26/23.22/6.14/TUCAREST
B00TM2DM1Q:0.09/15.66/4.29/DNJ
B08QHTLP57:0.02/10.14/0.68/MOCA AUTOPARTS</t>
  </si>
  <si>
    <t>B0D3PPS3L2:278.39/65.12/18051.79/AULINK
B097XLFBSY:82.38/85.22/7006.97/A-Premium
B08PFG2XFB:34.87/61.14/2125.09/IRONTREE
B07TBH8MLR:27.99/81.63/2285.47/OAW
B0CXSRN89H:18.76/60.5/1134.74/EvTok
B0CXT1NR2B:16.33/35.26/1727.74/LEAPTIGER
B0B5G8FGCV:10.45/60.35/634.14/TUCAREST
B0BKL5JHDB:9.14/73.23/664.2/BRTEC
B0DKFJVDKH:8.58/60.87/519.7/EMTMOUN
B0DJVXC99Y:7.26/49.75/355.99/keuyyap
B0BBLBXV75:6.09/71.22/433.59/Vipcar
B00QX3572E:5.35/107.74/576.83/Gates
B08BJ72NN9:3.66/55.2/193.85/NICEKE
B0F3P7CJKQ:3.31/66.21/223.9/CUGANO
B01MF9FJ4N:2.46/118.94/296.36/DNJ
B0CKXBV8WD:1.67/63.0/105.0/Philtop
B0GWZPSHM2:1.67/58.17/96.94/Philtop
B0F8GWT9C2:1.42/38.18/81.9/REVO
B0CSDFRCZ2:1.33/73.74/98.32/Kax
B0BXSSTJ6D:0.98/59.99/58.71/IRONTEK
B0C77BQZRS:0.29/24.07/21.22/ADIGARAUTO
B01LZMIOA5:0.03/112.76/4.48/Derale</t>
  </si>
  <si>
    <t>B097XVYMNB:15.75/35.91/565.99/A-Premium
B0CPXQM46S:8.04/23.79/189.63/AULINK
B0GX5DMQLL:4.33/22.32/96.73/Philtop
B0DJQXG4BJ:3.73/17.97/100.23/ADIGARAUTO
B0FZGT9GQP:3.0/13.45/40.35/Philtop
B015R1EH64:2.69/29.65/239.2/AISIN
B0F3D9PG3S:2.67/24.99/66.64/Kax
B0DN6G21LK:1.97/29.99/59.07/JDMON
B000C2W92I:1.78/50.78/90.42/Gates
B08LH6QWH1:1.33/59.99/79.58/BIG TIGER PARTS
B00TM29S8M:0.87/41.23/35.11/DNJ
B08VNNCFWT:0.36/16.65/17.91/TRQ
B0H699ZDK5:0.33/42.99/14.33/Torchbeam
B017AFT31Y:0.09/9.96/2.64/OAW</t>
  </si>
  <si>
    <t>B0143R0WP8:22.07/57.8/1268.41/OAW
B001C9E4SM:15.74/69.96/1203.65/Gates
B07D3YK1MM:13.6/46.19/627.67/A-Premium
B00CEJXYLM:9.5/170.04/1607.68/Alliant Power
B0GWQXQT6R:9.33/38.14/356.01/Philtop
B0F387LHFB:4.33/33.84/146.62/Kax
B001KSDZNA:4.03/46.24/280.2/ACDelco
B08HXY8V83:3.83/52.07/182.92/ADIGARAUTO
B001TZS77S:0.29/42.43/37.1/Motorcraft
B08SMPW1VB:0.11/13.31/4.34/TUUMOND
B0BH4ZG7CZ:0.02/43.21/1.96/Newparts</t>
  </si>
  <si>
    <t>B0B5G8PW4Z:8.3/62.42/518.38/TUCAREST
B0F3V92SQ1:7.67/59.85/462.39/KAYULONE
B0B7XBGHSJ:7.31/74.04/538.42/A-Premium
B0GWZH2JVV:4.0/64.1/256.41/Philtop
B0BBLDKHVZ:3.69/74.77/276.16/Vipcar
B00QX35G66:2.9/105.83/313.99/Gates
B0F3883D6L:2.33/66.76/155.78/Kax
B0D46Z9CFB:1.61/59.2/96.04/MOCA AUTOPARTS
B0C77H9R15:1.15/44.09/75.93/ADIGARAUTO
B09HX3PJV1:0.24/42.65/30.61/TRQ
B00ZS7OJGQ:0.05/319.78/15.74/Chrysler</t>
  </si>
  <si>
    <t>B0GWR2QQCZ:9.0/53.06/477.56/Philtop
B0B7X8MS1T:5.81/50.33/462.01/A-Premium
B0F3D5FKCD:5.67/47.25/267.78/Kax
B0D3DT8XJR:2.15/43.83/94.38/TEKKOAUTO
B0G3LFH826:1.33/37.59/50.12/Philtop
B0DCBB57X7:1.23/39.34/48.0/YINAVAGAD
B004IZYM1Q:0.13/77.64/14.01/GMB</t>
  </si>
  <si>
    <t>B097XYSSMK:41.35/64.05/2588.26/A-Premium
B0792GF7Q3:29.04/72.51/2107.01/ACDelco
B000C2S63E:28.14/64.25/1796.56/Gates
B0DWW617QM:10.8/42.99/464.08/AULINK
B096VMTLWG:9.81/44.03/432.9/TUCAREST
B085CFDBKJ:8.92/47.14/418.09/ADIGARAUTO
B0D17V48C4:8.02/37.55/317.78/AUTOSTARSHIP
B0B1PJFMT4:5.5/66.49/365.78/Vipcar
B08JCDJ6NP:3.87/50.04/193.91/TUUMOND
B0BXWTMSL2:2.98/29.49/130.73/IRONTEK
B000JYHFPA:2.62/94.57/247.54/GMB
B0792P76GN:2.39/48.62/116.42/MOCA AUTOPARTS
B0143R0HOE:2.33/53.99/127.52/OAW
B0HJ4NTDXG:2.0/42.15/84.3/Philtop
B0DTT3JGMW:1.0/65.28/65.28/Kax
B0882C27LB:0.88/74.04/65.34/ACDelco
B00TM29DM8:0.82/71.97/58.74/DNJ
B0G3LHT6YR:0.67/50.1/33.4/Philtop
B0B9ZB61V3:0.19/31.65/17.77/TRQ
B000P4SA1M:0.05/19.41/2.63/GMB</t>
  </si>
  <si>
    <t>B0B7XBF6ZR:47.78/37.29/1782.16/A-Premium
B0D9PZZ27Z:21.53/23.91/514.79/UNITHUB
B0CYCB62KR:13.71/22.32/306.09/AULINK
B01E970Q12:11.65/52.49/611.7/ACDelco
B015R1EJVC:10.77/44.0/473.53/AISIN
B0F3D92T1W:10.0/24.92/249.18/Kax
B0GWZRG6FQ:9.33/25.63/239.23/Philtop
B0DNJRR6X7:6.35/22.21/141.0/ApplianPar
B0DJQXBLF3:3.99/30.3/120.3/ADIGARAUTO
B01KHLFTI4:3.18/64.94/206.38/Gates
B0FCLM1857:1.39/22.49/31.24/REVO
B0D9KC6RMR:1.34/27.88/37.39/JDMON
B0FD3L5JPH:1.14/25.7/28.44/maXpeedingrods
B086N2FTLC:0.31/83.21/24.68/BIG TIGER PARTS</t>
  </si>
  <si>
    <t>B0B7X8MWS2:21.5/32.82/705.41/A-Premium
B0F389BXLW:4.33/22.59/97.89/Kax
B0GWQSPYL6:2.0/27.99/55.98/Philtop</t>
  </si>
  <si>
    <t>B00829I25Q:71.71/40.39/2876.09/AISIN
B0DG5FKBZH:55.57/19.1/1062.1/UNITHUB
B08VDQ5HY4:13.78/19.82/273.71/AUQDD
B0BFHF7PL8:11.41/20.4/232.32/ADIGARAUTO
B0D997GS55:10.58/23.12/243.96/BDFHYK
B00FZPPIYI:8.63/67.1/580.21/Toyota
B0C4GKCCTL:8.23/20.12/165.41/TUUMOND
B096VKY5QW:7.94/19.44/154.72/TUCAREST
B000C2U85I:6.54/47.41/298.97/Gates
B097XLH2ST:4.67/26.6/126.88/A-Premium
B019ND3OT8:2.56/23.97/60.29/OAW
B0F3P2LKHN:2.29/22.75/52.11/CUGANO
B0FLK4C864:1.67/13.75/22.92/Philtop
B000CB30AE:1.47/29.5/39.22/Beck/Arnley
B09HWRFKPJ:1.05/49.95/52.31/TRQ
B0F387673F:1.0/20.01/20.01/Kax
B0FJL44PNY:0.33/15.76/5.25/Torchbeam
B00TM2ACWS:0.07/41.37/2.86/DNJ
B07MR1L8W5:0.04/16.1/1.09/cciyu</t>
  </si>
  <si>
    <t>B0B7X6ZFSB:38.08/44.84/1707.27/A-Premium
B0GWQLN3LT:9.67/41.0/396.35/Philtop
B0BBLB7C2Z:7.13/56.99/406.5/Vipcar
B0C3T197HG:2.64/30.95/80.84/MOCA AUTOPARTS
B0F3D7QYS3:2.33/37.53/87.58/Kax
B0G3LGTC8Y:0.33/39.99/13.33/Philtop
B0C4GDJ6WQ:0.11/10.81/3.56/MPLUS OE SOLUTION AUTOPARTS</t>
  </si>
  <si>
    <t>B097XX8XMP:28.29/31.86/897.76/A-Premium
B0DG5FWBSQ:25.76/22.51/582.98/UNITHUB
B0C38VC8YL:8.78/27.24/239.91/TUCAREST
B0C2XW9SR7:8.6/26.19/225.3/AUQDD
B0DJQWPPFK:7.04/26.05/181.99/ADIGARAUTO
B07TFKRDD5:5.95/39.23/257.69/OAW
B0GWQY1VKB:4.33/28.3/122.62/Philtop
B0BBL8HWQL:3.92/30.83/120.74/Vipcar
B0F3D6R26N:3.33/18.09/60.3/Kax
B00498HRAU:0.68/35.91/36.5/Gates
B09QX2R3G9:0.63/59.95/37.92/TRQ</t>
  </si>
  <si>
    <t>B0CYBK5YLK:41.61/30.23/1246.14/AULINK
B0BCQMW8S9:31.58/82.12/2590.11/A-Premium
B0G3LGYZX4:12.33/32.14/396.34/Philtop
B073ZQT54F:3.15/78.35/247.3/ACDelco
B0BQX1HW46:3.1/195.17/603.79/GM GENUINE PARTS
B0F3D6TVVW:2.0/25.99/51.98/Kax
B0H265B5XC:1.67/29.99/49.98/Kax
B0B294FMF6:1.57/46.15/108.45/Gates
B0DSWBXYG5:1.0/29.99/29.99/Philtop</t>
  </si>
  <si>
    <t>B097XJV1NF:36.81/35.18/1314.28/A-Premium
B0BR128PCV:27.11/22.25/599.0/AULINK
B0DBQ86WGZ:20.74/62.13/1299.81/A-Premium
B0CKX9959W:19.67/25.9/509.27/Philtop
B0CYT42DH5:18.99/22.33/418.95/BRTEC
B0DFTBL9S3:15.92/27.26/433.04/TUUMOND
B0BPMJP7HF:15.83/30.87/490.49/Vipcar
B003YMM8K6:15.21/47.74/720.84/Gates
B005OVGNAQ:14.42/42.91/620.44/ACDelco
B08VDTHWS5:11.65/27.41/320.28/AUQDD
B0D9PZ49D8:8.67/22.73/198.63/UNITHUB
B0FCLP5538:7.43/33.58/249.27/Roneeson
B08Q7SZLQ2:7.19/24.39/175.54/MOCA AUTOPARTS
B0CZRMPGXB:5.95/24.08/142.31/DRIVESTAR
B01F5XN5GM:4.98/29.89/148.72/OAW
B0BFHGG133:4.14/27.57/112.83/ADIGARAUTO
B0CZRMVY99:2.08/22.33/44.58/DRIVESTAR
B0DTTH2TBH:2.0/23.88/47.77/Kax
B00ZSAFVMY:0.62/83.77/38.03/Chrysler
B0CBC3CR3F:0.06/25.18/1.64/MAXWIN
B00TM2AW64:0.06/43.79/2.8/DNJ</t>
  </si>
  <si>
    <t>B008EEZ93M:75.99/93.01/7056.29/AISIN
B07D3YFT1M:17.19/41.49/712.76/A-Premium
B0D99L4JL3:11.61/36.68/427.94/BDFHYK
B0099AQP5G:9.35/160.75/1502.98/Toyota
B0FBRD86V3:9.29/32.69/302.73/ADIGARAUTO
B0DTSQSBS7:8.0/41.66/333.24/Philtop
B0827ZXRDJ:6.29/126.5/795.54/Sixity Auto
B019ND3XJ4:4.4/46.89/206.02/OAW
B0F8TLYB2B:1.7/30.82/51.79/HY-SPEED
B0H68ZP885:1.67/63.99/106.65/Torchbeam
B09HX1MFZW:1.43/75.42/108.75/TRQ
B0CSDGDP63:1.33/34.54/46.05/Kax
B0DFM1YP3G:1.33/30.08/40.11/Philtop
B06WW7K2P2:0.98/62.07/61.12/DNJ
B0BYMLG6FN:0.72/39.15/28.44/MOCA AUTOPARTS
B0G3LGXDNJ:0.33/31.99/10.66/Philtop
B0FF9KV7HZ:0.19/32.99/5.86/REVO
B0DRWCG93W:0.14/74.37/15.64/Sixity Auto
B0BZCXTH86:0.08/16.06/3.74/MOCA AUTOPARTS
B0BYNPM4Y7:0.07/35.43/2.64/MPLUS OE SOLUTION AUTOPARTS
B0836GGLRM:0.06/77.93/6.58/Sixity Auto
B005VNWFPE:0.03/46.48/1.9/Beck/Arnley
B0D46GZVG2:0.01/98.98/1.27/Rareelectrical</t>
  </si>
  <si>
    <t>B088895Q9P:248.66/29.08/7233.37/A-Premium
B0D9NHFSSK:137.64/28.22/3828.95/BDELI
B010GNW332:120.27/97.09/11644.5/ACDelco
B09LMN8CWB:81.31/22.73/1828.62/AULINK
B0BNH4PC6V:61.88/21.21/1312.87/RADHLBNIU
B004XNQ8KQ:22.54/66.36/1473.64/Gates
B0CG38MH3R:15.46/19.49/451.98/Tomanic
B07WWYXMH5:15.38/24.82/381.28/MACEL
B08LPQ7K7W:14.03/23.04/449.49/BRTEC
B0CKX9SK3Y:13.33/24.74/329.91/Philtop
B0CSDJ57MR:10.67/19.65/209.64/Kax
B0CB12812W:10.47/26.79/287.31/KARCOCA
B096VLHCJP:9.86/26.1/257.81/TUCAREST
B0DNYLJN9K:9.13/23.44/216.58/VANUODA
B07WV8X379:7.81/13.45/154.33/BOXI
B07BC7D44F:7.71/16.68/166.35/SCITOO
B0D53ZD1YZ:6.98/22.06/154.01/UNITHUB
B006R4C24A:6.88/57.31/396.42/Beck/Arnley
B0F23LT9C1:6.31/22.18/140.19/LLNSEAUTO
B08L398F88:5.93/28.07/158.72/TUUMOND
B08NJJQ9YG:5.85/8.23/144.54/Autoround
B0B24KRR6Q:5.65/27.22/153.63/Vipcar
B0DLKPSMXJ:5.16/15.19/235.14/LEAPTIGER
B0C9PM7WZY:1.96/26.77/52.41/CUGANO
B0H465XNLN:1.67/19.99/33.32/Kax
B08QD2N63P:1.49/25.17/37.49/JDMON
B0FJLKWYJF:1.0/21.35/21.35/Philtop
B0H6978L3J:0.67/23.99/15.99/Torchbeam
B00TM2EF0S:0.61/45.97/28.03/DNJ
B007QBP71S:0.44/332.52/144.4/GM GENUINE PARTS
B01MS0DG7I:0.35/28.09/9.78/OAW
B0CJ8XMH9K:0.31/7.99/7.42/SCITOO
B085CFJ7L2:0.31/8.52/7.82/ADIGARAUTO
B008P52HM6:0.17/28.99/7.51/Us Motor Works
B08GZQQYC8:0.16/29.93/7.34/KarParts360</t>
  </si>
  <si>
    <t>B0B7X77331:21.99/32.32/709.83/A-Premium
B01ANDF7HY:14.02/57.42/806.32/AISIN
B0GWQWCMPT:13.0/25.69/333.98/Philtop
B0BBLPYH3Y:7.34/27.92/204.89/Vipcar
B00HDQOJNS:6.07/56.56/344.6/ACDelco
B0F3P5GZXM:4.79/17.06/122.63/CUGANO
B0DFTV66VR:4.7/26.29/125.49/TUUMOND
B00498822W:4.55/50.15/228.98/Gates
B0F3D7HQ7W:3.0/24.85/74.55/Kax
B0C77GM9YG:2.27/8.83/60.01/ADIGARAUTO
B09VK14Z85:0.96/59.95/57.55/TRQ
B084LDTKNY:0.06/69.85/4.29/Sixity Auto
B00FZRMD7Q:0.02/39.2/2.75/Honda</t>
  </si>
  <si>
    <t>B0B7X8W7QJ:10.86/48.59/529.53/A-Premium
B076C1NJ91:9.28/47.55/441.13/AISIN
B0CX55FCS4:4.69/43.06/200.27/AULINK
B0DSW7XBDY:3.67/47.13/172.81/Philtop
B0DNLZXRZ5:3.65/49.18/178.21/ADIGARAUTO
B0F3D69XZS:2.67/41.99/111.97/Kax
B07GXBB6S4:0.9/79.92/71.32/DNJ
B0D2LFMQ1N:0.58/62.71/37.48/INFINAUTO
B07W4S6HWJ:0.01/37.26/1.67/Beck/Arnley</t>
  </si>
  <si>
    <t>B0B7X6ZZZW:29.54/36.19/1069.44/A-Premium
B0F3V3FR7N:8.88/28.99/257.5/KAYULONE
B09V14LT3P:4.68/27.33/127.89/KEYOOG
B0GWQRW5DS:3.33/27.79/92.63/Philtop
B0F3D6WP8G:2.33/24.87/58.02/Kax
B09GLWK6RP:0.79/16.79/39.9/TUCAREST
B00HFKEVOE:0.7/26.33/55.62/AISIN
B0C77HM6TH:0.56/10.0/16.66/ADIGARAUTO
B0G1BW9GR9:0.33/20.6/6.87/Philtop
B01L4YD7B4:0.08/18.26/4.57/Gates
B083PZH9LS:0.02/18.56/1.16/Beck/Arnley</t>
  </si>
  <si>
    <t>B09Q8X2Z83:31.62/31.49/992.17/A-Premium
B09525PZGN:31.48/24.36/765.97/AULINK
B0G3LHFPHD:11.0/22.1/243.11/Philtop
B096VPH9CH:9.87/25.1/248.34/TUCAREST
B0DCYWR4WX:8.53/50.84/435.78/YINAVAGAD
B0F3D6W2KL:5.33/21.95/117.07/Kax
B0BFHD7WXG:4.85/24.23/112.39/ADIGARAUTO
B0CKT4R8DK:4.57/21.68/99.0/MOCA AUTOPARTS
B0BXSS2MTX:3.36/21.41/72.12/IRONTEK
B0156AHWJU:3.3/67.34/222.46/Beck/Arnley
B0D99WGJGQ:2.43/19.21/45.87/BDFHYK
B086WWR5GN:1.25/54.95/68.71/TRQ
B01KHLCOMI:1.08/29.8/32.18/GMB
B0DSW8ZLTR:0.33/25.99/8.66/Philtop
B09KZG2DXQ:0.29/19.66/17.15/DNJ
B0D5DHP5QR:0.06/37.02/2.37/VekAuto</t>
  </si>
  <si>
    <t>B017AFT8JQ:30.91/37.81/1165.46/OAW
B08VDTL7VP:11.98/33.28/399.33/AUQDD
B0D99H2CJV:10.54/35.92/378.24/BDFHYK
B0F3D6RQJC:8.0/26.57/212.56/Kax
B0GWQKHTNJ:8.0/32.92/263.38/Philtop
B0FWJYYFRC:7.52/30.99/233.17/Roneeson
B008EEZ43W:7.02/58.48/358.66/AISIN
B0049CHEGI:6.55/68.05/445.76/ACDelco
B001C9G3FY:6.54/58.05/378.35/Gates
B0F3P2RYWS:5.48/31.99/175.21/CUGANO
B097XYWYBS:4.55/49.99/227.29/A-Premium
B0D8T3F2WZ:4.32/10.0/129.58/TUUMOND
B07JKSB8W5:4.13/34.33/141.36/MOCA AUTOPARTS
B096VMDSHQ:3.38/19.08/96.67/TUCAREST
B0G1BFGKXS:1.67/22.38/37.3/Torchbeam
B00GTIHW08:0.11/19.59/6.4/Hitachi
B00KWG2ZRS:0.06/193.2/11.76/Nissan</t>
  </si>
  <si>
    <t>B0B7X8FSF8:20.78/28.9/588.51/A-Premium
B0DNLYFG3Z:8.17/33.59/272.26/ADIGARAUTO
B0C3QSL6R7:7.86/44.89/352.95/ThpeMakcr
B0GWQFSGVJ:7.67/26.1/200.09/Philtop
B0F3P3Z7HC:7.3/29.39/216.09/CUGANO
B0F3D5WYFH:4.0/25.77/103.09/Kax
B00498GM10:3.36/66.63/393.44/Gates
B0D9K4HLTT:2.91/38.88/113.33/JDMON
B00U0WTVWQ:2.01/30.37/182.87/URO Parts
B0DYD5C64Z:0.46/92.0/42.62/YFANTPA
B0G1BWTC38:0.33/26.27/8.76/Torchbeam
B0BYMJYVN4:0.07/9.09/1.92/MOCA AUTOPARTS</t>
  </si>
  <si>
    <t>B0B42JYXQZ:3.97/28.27/112.24/Vipcar
B0B7X9611J:3.12/28.34/88.1/A-Premium
B0GWZLNVH8:3.0/24.75/74.24/Philtop
B000C9KAEK:1.49/22.14/33.53/ACDelco
B085CF217C:1.23/6.86/25.35/ADIGARAUTO
B000C2W892:0.93/34.78/32.41/Gates
B0F387P9QK:0.33/23.99/8.0/Kax</t>
  </si>
  <si>
    <t>B08VDST3HG:9.42/38.03/358.98/AUQDD
B0CY5C78B2:6.03/32.99/198.94/AULINK
B09V13WNSY:3.05/29.91/123.09/KEYOOG
B0FZGM76JK:2.0/31.57/63.14/Philtop
B097XYSHN4:1.17/74.11/110.53/A-Premium
B0B9YQC56X:0.72/65.87/47.35/TRQ
B0F3873C6H:0.33/31.99/10.66/Kax
B0B42GG2HC:0.16/17.14/7.99/Vipcar
B0C77HXK19:0.03/12.06/1.15/ADIGARAUTO
B08HCJMM8Y:0.02/14.16/0.67/MPLUS OE SOLUTION AUTOPARTS
B09NLNKGZP:0.01/18.58/0.81/MOCA AUTOPARTS</t>
  </si>
  <si>
    <t>B0143PZP2U:43.85/84.46/3702.12/OAW
B001FDS5FS:29.65/97.38/2880.41/Gates
B0CZ9FB2DM:27.99/68.34/1976.3/AULINK
B07D3Y45D2:14.4/79.21/1140.92/A-Premium
B09JGBKHSN:8.84/79.62/700.29/BRTEC
B0CKX85NSB:8.33/69.0/575.0/Philtop
B0BKSM7KLQ:6.83/75.98/518.08/DRIVESTAR
B0CCCGJ1MM:6.68/71.8/461.11/ADIGARAUTO
B07DPHJ8SV:0.83/79.89/66.21/YHTAUTO
B0BXWWFZ5P:0.69/75.47/52.79/IRONTEK
B0G3LJ3RK6:0.67/74.99/49.99/Philtop
B0DTSWMY43:0.33/120.99/40.33/Kax
B09XR199TM:0.07/22.48/4.88/OCPTY
B08CG2TSL6:0.07/104.64/6.94/Dayco</t>
  </si>
  <si>
    <t>B097XMWT6Z:26.86/49.23/1311.56/A-Premium
B0GWR5G1FG:9.33/45.06/420.59/Philtop
B096VMVSGM:8.48/38.72/328.21/TUCAREST
B0F3V5CR6Z:6.77/40.99/273.48/KAYULONE
B0D9Q126R3:5.82/38.42/222.72/UNITHUB
B0DTT2B3K1:5.67/44.71/253.33/Kax
B0B5T9FNKG:5.31/47.49/251.97/Vipcar
B09GXLPT9C:4.76/39.53/188.1/KEYOOG
B0143PZKLG:4.51/48.83/219.97/OAW
B0BKQ2J1H9:3.8/39.68/149.71/BRTEC
B0BFHJQWJP:3.68/44.3/162.6/ADIGARAUTO
B0CFPM24ZF:1.18/42.0/49.11/TUUMOND
B0CDWLYSLF:0.99/38.18/38.56/IRONTEK
B07KMYCYZV:0.64/49.45/31.65/OCPTY
B07PT8GPQH:0.21/49.42/10.36/Maxfavor
B000EQ3FJ8:0.13/104.04/14.18/Gates
B0BW89SXMS:0.1/14.46/4.28/PartsFlow</t>
  </si>
  <si>
    <t>B097XP8ML8:71.06/28.26/2004.46/A-Premium
B0GWR1GG26:23.67/23.7/560.81/Philtop
B015R1EJXK:9.0/45.25/403.43/AISIN
B0C77GWG2Q:8.54/28.15/239.67/ADIGARAUTO
B09GLYW5C6:8.17/23.1/189.47/TUCAREST
B0F3D8XVVB:6.33/22.99/145.6/Kax
B09VWKD8CC:5.45/32.07/292.09/OAW
B0DFTJPZ7S:4.13/27.95/115.52/TUUMOND
B00CMOYKUS:3.91/37.62/145.09/Beck/Arnley
B0FZGKN9V1:3.0/13.06/39.18/Philtop
B0D9K8ZVTW:2.47/24.88/61.52/JDMON
B07GX858KV:2.47/48.69/120.0/DNJ
B01COA9CDY:2.46/53.88/132.33/Gates
B0G1BY3ZTR:1.0/13.55/13.55/Torchbeam
B0D2L9NSZF:0.99/25.99/25.81/REVO
B0BTNHH8GY:0.78/22.94/17.94/MPLUS OE SOLUTION AUTOPARTS
B0H69J5H9W:0.33/35.99/12.0/Torchbeam
B01E96ZSHK:0.24/61.07/14.9/ACDelco</t>
  </si>
  <si>
    <t>B097XR2QJ1:59.2/36.2/2153.76/A-Premium
B0CPPN13HB:49.21/21.77/1071.28/AULINK
B0049CCT6S:13.83/56.45/780.92/ACDelco
B0GWQS55JD:10.0/26.68/266.76/Philtop
B00498HR82:8.87/57.3/508.86/Gates
B0B42FMLDM:7.08/25.45/180.2/Vipcar
B0F3V52GL7:5.42/22.59/122.55/KAYULONE
B017AFT17U:3.66/29.09/106.67/OAW
B0D9K95JBF:1.12/24.56/25.73/JDMON
B00TM2BDR6:0.76/56.97/43.46/DNJ
B00829HSY2:0.7/29.13/61.04/AISIN
B0HBQY9Z1Q:0.33/21.99/7.33/Kax
B001KSCY6O:0.04/47.04/1.93/Beck/Arnley</t>
  </si>
  <si>
    <t>B0B7XFXMBZ:15.05/31.07/467.19/A-Premium
B0GWQK6RXF:9.33/24.81/231.54/Philtop
B09JNTH7SJ:7.65/27.22/208.11/TUCAREST
B09V14TYY4:5.51/32.41/173.29/KEYOOG
B0CZDG4XVK:4.14/24.98/103.4/TUUMOND
B00498DDB2:2.94/42.89/125.96/Gates
B0F3D6W4SW:2.67/24.67/65.78/Kax
B00TM2CMT4:0.14/42.27/5.75/DNJ</t>
  </si>
  <si>
    <t>B0B7X9FJ1H:29.39/28.99/1296.06/A-Premium
B0FKT1GJX9:9.67/33.02/319.62/BRTEC
B0GWQX2NTR:7.33/31.84/233.46/Philtop
B0DX5PTQG1:4.98/29.41/144.44/Roneeson
B0F3D5XJGT:0.33/25.99/8.66/Kax</t>
  </si>
  <si>
    <t>B097XDQX8T:143.37/30.63/4396.47/A-Premium
B096VM5CFP:35.2/22.06/774.05/TUCAREST
B0BK16MBWW:24.6/19.86/488.62/BRTEC
B000C9LR1A:18.24/47.45/864.49/ACDelco
B0CKX8PSXX:18.0/20.18/363.28/Philtop
B000EQ3BTC:13.58/45.05/604.21/Gates
B08JD1RY8G:11.31/24.87/271.03/TUUMOND
B0DMSYLPVQ:10.51/136.63/1436.44/AULINK
B08VDRXFWY:10.26/22.37/230.38/AUQDD
B08H7T7NX8:7.37/26.99/198.95/ADIGARAUTO
B0F9F69H77:6.46/24.86/154.91/EMTMOUN
B01F5XNABC:5.11/25.56/130.91/OAW
B07Z9W7SV4:4.41/33.19/219.31/Motorcraft
B0C8BBSNMT:3.68/52.28/192.43/AISIN
B0CSDHN75R:3.33/20.49/68.3/Kax
B0DTTM52DS:2.33/23.3/54.37/Philtop
B0FD3J7GW4:0.99/27.01/27.01/maXpeedingrods
B0DX137WLH:0.99/15.48/22.96/KAYULONE
B000NTJ6V2:0.99/69.55/68.57/Ford
B07BC4SNX7:0.94/14.36/40.64/SCITOO
B0D9K7YZL2:0.92/7.52/20.69/JDMON
B09HRRNF4P:0.43/39.97/26.07/TRQ
B0H693ZQM1:0.33/30.99/10.33/Torchbeam
B0BXVDTC3T:0.23/20.99/4.93/IRONTEK
B0BH4ZPHQ1:0.16/69.0/10.83/Newparts
B00TM2EHS8:0.15/36.92/5.51/DNJ
B0CNT25X6L:0.12/32.73/11.39/DYRDINSHOW
B09K3L4M82:0.07/10.79/2.18/Garage-Pro</t>
  </si>
  <si>
    <t>B0B7X8P8JB:24.94/45.29/1131.13/A-Premium
B0DSW8VBT5:10.33/31.92/329.8/Philtop
B01M66KA12:10.01/71.99/720.42/AISIN
B0DSZJWXFL:4.33/31.93/138.36/Kax
B0FJLYKQJT:1.0/26.09/26.09/Philtop
B0DNLYVPLN:0.98/28.25/27.47/ADIGARAUTO
B0H4FC5131:0.67/33.99/22.66/Kax
B01DLEHZT0:0.05/76.11/4.04/Beck/Arnley</t>
  </si>
  <si>
    <t>B0CSRQWPGH:44.5/30.23/1347.85/BDELI
B0B7XB9W4R:10.84/26.71/289.49/A-Premium
B0FD9DQMK1:3.54/28.99/102.61/Roneeson
B0143Q05EM:2.17/30.08/64.61/OAW
B001C97VZ0:1.51/49.21/74.57/Gates
B0DG2D424T:1.0/22.22/22.22/Philtop</t>
  </si>
  <si>
    <t>B0CH8GP1W7:47.04/35.41/1668.39/AULINK
B097XSRK9F:32.61/47.87/1567.03/A-Premium
B0FZGMW6VL:20.67/34.96/722.47/Philtop
B0CWKWP3K4:17.81/37.45/663.19/BRTEC
B0D9QL233V:16.23/32.34/516.56/ApplianPar
B00TM2AKMK:7.48/38.57/432.63/DNJ
B0CQR6SPJK:6.3/40.57/255.94/IRONTEK
B0DT675PCQ:6.22/34.79/216.34/Saihisday
B0C9WW7JJ2:5.2/46.44/243.92/Vipcar
B0F3D8M2S8:3.0/35.48/106.44/Kax
B017AFT4IG:2.84/39.13/146.96/OAW
B0DK5NLJGS:1.77/36.55/64.52/JDMON
B0CBTCQNLB:0.81/34.21/27.99/MAXWIN
B09HWZMT5B:0.63/50.63/47.91/TRQ</t>
  </si>
  <si>
    <t>B0D1421DHC:28.38/33.4/947.54/A-Premium
B09BYR53L2:8.07/29.52/238.17/TUCAREST
B0C77GW2G6:6.0/21.44/196.65/ADIGARAUTO
B0F3888R33:6.0/23.93/143.6/Kax
B0G3LJNL1N:5.33/26.89/143.4/Philtop
B09V149KWC:4.53/27.53/124.8/KEYOOG
B0FKT16J1L:3.27/27.09/88.41/BRTEC
B0DQKS1TRB:3.0/28.49/85.43/Saihisday
B0CGWT165K:0.94/70.95/66.66/TRQ
B074PGTNR7:0.78/73.24/53.37/AISIN
B09K3PTG1P:0.03/40.2/1.3/Garage-Pro</t>
  </si>
  <si>
    <t>B000C9LHW4:131.99/60.04/7886.77/ACDelco
B0DG22S4LY:12.0/53.76/645.09/Philtop
B0D5H5MYMR:6.04/30.66/555.23/A-Premium
B0CSDJC72Q:4.33/44.53/192.96/Kax
B08MT2GX8Q:3.82/125.64/465.39/GM GENUINE PARTS
B000P4UCAY:2.1/57.61/121.38/GMB
B00TM2DG12:1.42/63.87/90.56/DNJ
B000PC3JH4:0.85/167.04/142.59/PRW
B0016IL004:0.52/125.46/63.46/ACDelco
B0H68YLWFP:0.33/66.99/22.33/Torchbeam
B09HX4FGDG:0.19/34.61/19.37/TRQ
B00062Z3LI:0.02/473.76/11.53/Edelbrock
B07CT31GTH:0.02/62.01/1.6/Rareelectrical</t>
  </si>
  <si>
    <t>B097XXFM5X:8.19/53.6/438.47/A-Premium
B085CFHB7J:7.18/42.8/307.29/ADIGARAUTO
B0GWZLNY3H:7.0/37.39/261.73/Philtop
B0BTVLY8SW:3.02/40.71/122.98/CUGANO
B0FZGS36DX:2.67/30.53/81.41/Philtop
B0F3898Y7M:2.0/36.66/73.31/Kax
B000C9PRES:1.6/52.84/84.43/ACDelco
B00TM2C0KK:1.43/59.5/82.68/DNJ
B0FJL9NX21:0.67/39.23/26.15/Torchbeam</t>
  </si>
  <si>
    <t>B0GWZG6T4W:6.33/26.56/168.18/Philtop
B0F3D5XJF6:3.0/33.44/100.32/Kax
B0FZGS1FJL:1.67/20.32/33.87/Philtop
B0F9F18YHC:1.56/62.17/97.28/A-Premium
B0FJL8KB5D:0.33/26.33/8.78/Torchbeam
B082WNWS5J:0.03/20.66/1.59/DNJ</t>
  </si>
  <si>
    <t>B0GWZLHQS3:6.0/20.83/124.96/Philtop
B0B7XC2P7V:5.61/34.54/193.1/A-Premium
B001KSA9UC:3.67/53.18/195.58/ACDelco
B08NWCGYYC:2.42/10.63/77.05/OAW
B086WXXQJ5:0.56/40.59/33.89/TRQ
B0F3D59P8K:0.33/24.99/8.33/Kax
B0G1BVZX7M:0.33/20.34/6.78/Philtop</t>
  </si>
  <si>
    <t>B0FZGQ8YH9:10.0/29.6/295.99/Philtop
B01M5DVNKR:3.79/20.45/232.7/AISIN
B0F3D4ZF18:1.33/25.47/33.96/Kax
B0FJKY3QX5:0.67/23.06/15.37/Torchbeam
B0BPMDYZ1H:0.44/11.43/15.09/Vipcar
B0BCNC6YY2:0.4/46.63/27.71/TRQ
B0H692YDGN:0.33/48.99/16.33/Torchbeam
B0HBR3GBFD:0.33/28.99/9.66/Kax
B085LNW6XZ:0.09/26.32/6.77/DNJ
B01COAA5FI:0.09/22.93/5.86/Gates
B01M66B68O:0.07/18.26/4.0/AISIN</t>
  </si>
  <si>
    <t>B008EEZ5J0:4.64/44.23/205.95/AISIN
B0F3D7MW7M:1.33/20.06/26.75/Kax
B0H7YX2DMC:1.0/23.99/23.99/Philtop
B0FC5MCKB1:0.33/28.99/9.66/Philtop
B00TM2EBWA:0.29/12.32/10.64/DNJ
B09SH3YVYW:0.15/18.0/4.14/WINBEST
B000C2W9HS:0.1/10.84/3.24/Gates</t>
  </si>
  <si>
    <t>B097XQKPNL:17.21/54.69/940.51/A-Premium
B0DWZR8HMB:8.4/41.52/344.93/KAYULONE
B000C2W8J2:5.5/52.99/291.61/Gates
B0GWZR1KQ6:5.33/41.18/219.61/Philtop
B08L37749M:4.74/12.78/181.65/TUUMOND
B08HXYF5KB:4.21/40.98/173.15/ADIGARAUTO
B0143Q0B4Q:3.75/49.62/184.39/OAW
B0F388Q15J:2.67/36.12/96.31/Kax
B00TM2DC3Y:0.6/39.58/35.76/DNJ
B0FJLBKD6F:0.33/40.2/13.4/Torchbeam</t>
  </si>
  <si>
    <t>B097XHJDDT:3.92/26.66/174.61/A-Premium
B0FZGPWVJ6:2.33/34.38/80.23/Philtop</t>
  </si>
  <si>
    <t>B00829I2ME:31.88/121.4/3841.61/AISIN
B0F3D7438Q:16.33/36.84/601.65/Kax
B09Q8TXXK4:13.34/52.59/735.9/A-Premium
B0G3LFCLSW:10.0/39.41/394.13/Philtop
B096W1GWB3:7.88/36.77/290.14/TUCAREST
B019ND3TYS:2.19/42.39/90.77/OAW
B0DJV5G12W:1.28/45.72/59.3/MOCA AUTOPARTS
B0CCCGPBQW:1.15/32.66/56.43/ADIGARAUTO
B0FLK1GQ34:1.0/33.26/33.26/Philtop
B00KWDU9MO:0.62/167.88/104.11/LEXUS
B00S0F71NQ:0.26/100.6/26.43/ACDelco
B01M9CP0RL:0.09/27.66/7.31/DNJ</t>
  </si>
  <si>
    <t>B097Y2281N:10.43/56.52/588.74/A-Premium
B0G3LJYFZX:9.0/50.73/456.54/Philtop
B08VDSWVX4:7.84/31.21/366.82/AUQDD
B0CYT41HBT:6.37/52.69/336.08/BRTEC
B0F3D6LQR3:5.0/47.99/239.95/Kax
B003YMM8DI:2.29/126.36/289.01/Gates
B0C77GT8L7:1.99/53.97/107.58/ADIGARAUTO</t>
  </si>
  <si>
    <t>B0CZ7197N8:17.22/45.47/778.78/A-Premium
B0G3LG85VS:14.0/25.76/360.58/Philtop
B000C9NT0M:12.61/65.58/821.16/ACDelco
B008EEZ45U:10.9/88.39/963.06/AISIN
B0844DPHWH:9.39/37.02/346.84/OAW
B0B5T8C1M2:6.19/29.99/185.78/Vipcar
B0FZGQ2XTJ:2.0/15.84/31.68/Philtop
B0F3D5TZ92:1.67/26.99/44.98/Kax
B0G1BV8BP7:0.67/15.98/10.65/Torchbeam</t>
  </si>
  <si>
    <t>B0B7XBSJ55:11.62/31.65/366.07/A-Premium
B0DNLXBCJR:3.43/26.47/90.65/ADIGARAUTO
B0H25STJHM:3.0/19.99/59.97/Kax
B0FLJW7Y8P:2.67/21.75/58.01/Philtop
B07XKDH2XZ:0.83/19.66/48.75/DNJ
B0H69CWQ93:0.33/25.99/8.66/Torchbeam</t>
  </si>
  <si>
    <t>B0GWZNXH6Z:6.0/52.62/315.73/Philtop
B00TM2BPGU:0.7/49.98/52.29/DNJ
B0H69H237Q:0.67/92.99/61.99/Torchbeam</t>
  </si>
  <si>
    <t>B0049882PY:46.82/43.24/2025.54/Gates
B0CZD6TXZH:16.33/8.66/424.5/AULINK
B004SFX8LQ:16.01/56.44/901.09/ACDelco
B097XRT1QQ:11.77/42.06/494.8/A-Premium
B096VNKBKH:10.35/29.32/303.42/TUCAREST
B0DX139Q51:7.09/27.58/195.12/KAYULONE
B0C3TLDWZK:6.38/31.63/221.07/MOCA AUTOPARTS
B0D56RPDJS:5.04/28.03/141.04/TUUMOND
B0B42GGL82:3.91/35.9/140.34/Vipcar
B01F5XMYSW:3.36/32.28/108.41/OAW
B0BFHGWB9X:3.07/9.21/84.91/ADIGARAUTO
B01M6YIY12:2.82/63.97/180.37/DNJ
B0D99W9CVV:1.42/19.97/85.07/BDFHYK
B0DTTCT82Z:1.0/33.15/33.15/Philtop
B0CSDGV9KG:0.67/31.49/20.99/Kax
B0GWQNXB9R:0.67/30.99/20.66/Philtop
B0FJLHM2X4:0.33/29.95/9.98/Torchbeam
B008XQKR5G:0.15/96.69/21.75/Chrysler</t>
  </si>
  <si>
    <t>B00829I1MU:60.14/57.46/3376.77/AISIN
B0DG5DTW6R:35.61/22.5/798.52/UNITHUB
B097XTQHLV:24.91/44.5/1108.48/A-Premium
B0CFPHS8WX:15.34/26.32/402.84/TUUMOND
B0BKPSLWFP:14.72/21.58/317.5/BRTEC
B0BFHNLH3V:10.18/24.29/246.51/ADIGARAUTO
B0DX1RF7DH:8.06/24.98/201.37/KAYULONE
B000C9LU9E:6.76/43.2/292.18/ACDelco
B019ND3M7W:4.9/27.59/136.41/OAW
B0FC6QBQ4V:3.72/24.64/96.31/ECCPP
B0827YPWN7:3.22/70.5/225.13/Sixity Auto
B000C2S78I:2.9/52.04/150.94/Gates
B0B5T9WBV3:2.86/29.99/85.73/Vipcar
B0DTTCMNWW:2.67/30.2/80.53/Kax
B08VCVL5ZM:2.23/20.51/45.7/AUQDD
B0CM5LDVD6:1.98/23.95/47.6/CUGANO
B0GWQXWG5D:1.67/26.77/44.62/Philtop
B001KSCDUQ:0.96/58.12/55.7/ACDelco
B001DKNEZ4:0.63/22.57/13.3/GMB
B0D3KXNZK7:0.3/6.66/5.9/SCITOO
B001KSATXO:0.14/52.98/7.31/Beck/Arnley
B0099AQNDU:0.1/41.69/12.03/Toyota
B00TM2AG74:0.01/15.99/0.41/DNJ</t>
  </si>
  <si>
    <t>B07WMYGYS3:5.14/28.97/147.53/OAW
B0GWR6Q3XR:3.0/26.1/78.3/Philtop
B0FC4YSH25:1.33/22.99/30.65/Philtop
B0F3891P15:1.0/22.99/22.99/Kax
B097XNCCWK:0.81/26.81/22.59/A-Premium
B000C9NS3U:0.68/47.92/29.38/ACDelco
B0FJLB62W7:0.33/17.45/5.82/Torchbeam
B09HRPD29F:0.24/14.98/10.76/TRQ
B09VB1CLMV:0.01/24.6/0.93/GPA MOTORS</t>
  </si>
  <si>
    <t>B097XT6BK2:11.12/33.37/371.53/A-Premium
B0C1VFLMST:4.02/25.79/158.91/CUGANO
B0GWR42KD9:2.33/31.98/74.61/Philtop
B0F388TH14:1.67/25.79/42.98/Kax
B09JKGVJMX:1.53/24.93/37.33/BOXI
B0CHRLXQH9:0.96/33.1/31.61/WEDOAUTO
B08SMNVCF6:0.31/9.97/9.31/TUUMOND
B00TM28K2W:0.16/35.8/8.66/DNJ
B0CHVVDJRR:0.1/9.26/2.84/YMAUGP</t>
  </si>
  <si>
    <t>B097XSTJ29:22.12/44.11/977.5/A-Premium
B08ZKLBBCD:19.24/28.7/553.85/AULINK
B085BG7Z5K:13.38/28.19/377.12/IRONTREE
B0031GX5HK:6.52/73.08/475.63/Gates
B0DK716LTK:6.32/28.99/183.25/keuyyap
B0DHV84529:6.02/29.99/180.65/LDMINDA
B07NPLF91Q:5.66/28.82/163.29/ECCPP
B0GWQJRJ41:4.0/28.35/113.41/Philtop
B0F38BSRNF:3.33/25.78/85.94/Kax
B07B9WGK3N:2.99/27.13/80.95/SCITOO
B009B5S228:2.9/131.01/377.53/Motorcraft
B0CFPM9YYK:2.87/33.38/95.6/TUUMOND
B09GLW1D2J:2.31/10.27/71.21/TUCAREST
B0FCXHPD6R:2.15/34.02/73.27/ADIGARAUTO
B01F5XNEFY:1.66/37.5/58.97/OAW
B0CYT3Q88R:1.24/27.63/34.61/BRTEC
B086WY22GN:0.83/70.77/59.07/TRQ
B00HDQOTYW:0.66/84.76/55.28/ACDelco</t>
  </si>
  <si>
    <t>B0CZDSWC8H:20.25/21.99/445.37/AULINK
B097XJFG1L:14.99/31.09/464.95/A-Premium
B000C2S6UC:14.13/34.33/484.98/Gates
B008EEZ3JM:8.09/43.02/347.39/AISIN
B000C9LS1E:6.57/35.5/233.34/ACDelco
B0GWZBW3C4:6.33/24.99/158.27/Philtop
B017AFT2MY:4.95/28.08/139.0/OAW
B0DGG3VSX7:4.43/22.88/101.05/JDMON
B00TM2DHH0:4.09/36.85/150.45/DNJ
B0F388VX44:1.0/21.28/21.28/Kax
B0B42HVZZB:0.83/28.44/22.16/Vipcar
B0FLK3BDRW:0.67/16.59/11.06/Philtop
B0G3LDGYPC:0.33/19.99/6.66/Philtop
B09XMVZ9BY:0.31/7.48/6.91/OCPTY
B00T3MISVE:0.1/22.92/7.19/Hitachi
B0CL26NDXR:0.0/8.66/0.1/ECCPP</t>
  </si>
  <si>
    <t>B097XSHL7F:9.55/29.77/282.74/A-Premium
B0CYBV8WMH:6.22/22.99/143.02/AULINK
B001FK7IGI:0.79/39.32/30.66/Gates
B0F38C9HSP:0.33/20.99/7.0/Kax
B017AFT68O:0.11/9.63/3.12/OAW
B008EEZ43M:0.02/37.33/1.21/AISIN</t>
  </si>
  <si>
    <t>B097Y1WBWF:4.94/33.41/164.06/A-Premium
B00TM2BY52:2.28/36.15/84.26/DNJ
B0F3D5VNMZ:1.33/23.65/31.53/Kax
B0GWZDQ8Q1:1.0/26.66/26.66/Philtop
B00829I0BC:0.92/73.87/67.04/AISIN
B0FJL55K31:0.33/18.05/6.02/Torchbeam</t>
  </si>
  <si>
    <t>B07D3Z3SK2:26.46/25.6/676.96/A-Premium
B08SQ73K73:19.48/40.1/779.44/AULINK
B096VKK7YN:8.8/22.82/201.54/TUCAREST
B000C9LS82:8.6/62.58/538.38/ACDelco
B07RW2GHGZ:8.38/22.49/188.72/MACEL
B001G623FW:8.04/54.42/437.62/Graf
B06XNP8PXP:7.28/241.97/1763.35/DAONEG
B000CB53PY:6.28/46.37/285.78/Beck/Arnley
B07WS5PMR2:5.8/21.2/215.61/BOXI
B0F3V3DS1P:4.03/23.16/92.85/KAYULONE
B09BBD656Y:3.72/68.83/254.85/Mishimoto
B08JCH96KJ:3.64/25.84/93.6/TUUMOND
B0B1P3K8T9:2.97/29.35/88.71/Vipcar
B0CW9T9MMX:2.37/23.49/55.59/REVO
B0GWQT6CY9:2.0/28.66/57.31/Philtop
B085CDTZ19:1.61/27.99/44.95/ADIGARAUTO
B000C2W8A6:1.58/45.48/71.97/Gates
B0DFLZQ171:1.33/23.21/30.95/Philtop
B09K3MRXLC:0.86/71.06/60.95/Garage-Pro
B0CSDKDSZB:0.67/26.03/17.35/Kax
B0D1Q51RP5:0.6/18.66/33.65/AUTOSTARSHIP
B0DTTDBZFP:0.33/31.99/10.66/Kax
B0FJL535DW:0.33/22.42/7.47/Torchbeam
B008V1CGI4:0.29/21.02/18.16/Hepu
B00I10MHLQ:0.18/165.46/29.98/BMW
B07GX5W8GP:0.03/43.97/1.32/DNJ</t>
  </si>
  <si>
    <t>B000C9LSIC:32.59/60.12/1957.44/ACDelco
B0DLGRJF65:7.88/56.51/447.38/A-Premium
B000C2Y0IE:3.76/43.12/169.27/Gates
B0H26MNMRK:1.33/57.99/77.32/Kax
B0H7ZC5W3N:1.0/50.99/50.99/Philtop
B0GYRF41VB:0.33/62.99/21.0/Philtop</t>
  </si>
  <si>
    <t>B00DUR60M2:27.11/99.81/2700.96/AISIN
B097XMXFKC:14.98/56.89/865.35/A-Premium
B08VDQB6X5:14.17/40.19/571.12/AUQDD
B00IGCY94W:13.54/152.76/2066.98/Toyota
B00TM2BN7G:10.55/76.6/814.98/DNJ
B00DUR62KM:10.24/100.36/1030.66/AISIN
B096VRXCZD:8.84/38.97/345.85/TUCAREST
B0GHNCYSKL:8.0/40.36/322.88/Kax
B0BPMK192J:7.66/52.24/399.9/Vipcar
B00736C6CY:7.43/126.96/869.63/AISIN
B0CKX9S7LF:6.67/36.0/240.0/Philtop
B0BRKH83ZM:5.36/33.27/267.67/MOCA AUTOPARTS
B0GYS648HC:4.0/49.32/197.29/Philtop
B0F3P4LJBC:3.93/44.99/176.83/CUGANO
B00829I3TQ:3.64/132.44/481.51/AISIN
B0C77GG26M:2.9/28.65/124.64/ADIGARAUTO
B019ND3WF4:1.87/46.77/88.24/OAW
B004Y1E9T4:1.49/74.95/111.63/Gates
B0B7KT82LC:1.36/128.83/175.73/Sixity Auto</t>
  </si>
  <si>
    <t>B0B38QK983:214.58/60.77/13002.14/AULINK
B07TFLYMC4:31.2/81.41/2548.82/OAW
B01N21JY9F:13.21/92.07/1213.79/Gates
B096VN4YKM:9.75/55.33/540.69/TUCAREST
B08YRMLQJR:8.18/53.34/436.77/GLOSSY AUTO PARTS
B0BKRGWDH3:6.87/59.49/408.91/DRIVESTAR
B097XQ1XFK:5.03/62.05/313.14/A-Premium
B09T1TXWY7:4.53/96.52/437.44/ACDelco
B0FK9GZM52:3.75/52.99/209.89/AXINMOTOO
B0D56QHD1Y:3.28/64.8/212.11/TUUMOND
B0BKL5179H:2.28/49.51/109.11/BRTEC
B00W57UAZ6:1.93/76.01/147.08/GMB
B08JM53XSJ:1.28/76.67/294.78/Mopar
B0H25Y2WX1:0.67/73.99/49.33/Kax
B0G3LL5X63:0.33/54.99/18.33/Philtop
B0CCS76WWK:0.26/189.99/49.23/Mopar
B0CJ8YR4P8:0.02/20.99/1.04/SCITOO</t>
  </si>
  <si>
    <t>B0CPPN3PLV:134.16/27.27/3652.67/AULINK
B00DUR67H0:79.65/64.06/5076.6/AISIN
B07D3XX5RC:63.96/35.21/2247.69/A-Premium
B01KHLFRQ8:19.41/60.49/1170.02/ACDelco
B0DFW6N1S8:16.85/24.9/419.4/IRONTREE
B0C4GL977P:14.19/27.59/391.62/TUUMOND
B0B42DXZJL:13.5/32.71/441.68/Vipcar
B09SKZZLLM:12.98/28.18/366.77/AUQDD
B00IGCY5KA:12.87/131.95/1697.78/Toyota
B008EEZ90U:9.94/56.33/840.15/Aisin
B096VL37QQ:9.46/25.33/241.04/TUCAREST
B0DSZXP6QR:8.64/23.99/207.39/NITOYO
B09JKCB4PX:3.12/28.88/90.19/BOXI
B00HHNH07E:1.93/41.33/79.06/Beck/Arnley
B0CKXB7YQY:1.67/25.4/42.33/Philtop
B00DMSZEEO:1.13/84.63/98.41/Gates
B0FCLX4H8F:1.08/26.99/29.25/REVO
B0BJCPH6ZN:0.95/29.54/28.02/ADIGARAUTO
B0FJLKSQFY:0.67/27.39/18.26/Torchbeam
B0FCS3JQ64:0.6/16.66/15.02/BasaltAuto
B0D1XS4MRV:0.55/27.87/15.45/MOCA AUTOPARTS
B0CHRM4YXJ:0.35/31.89/11.45/WEDOAUTO
B0DTT3JZSK:0.33/30.02/10.01/Kax
B0HD5Q89RG:0.33/25.99/8.66/Philtop
B0CJSJ39YY:0.01/22.81/1.02/PartCatalog</t>
  </si>
  <si>
    <t>B0B7X6GXGH:20.52/51.41/1050.32/A-Premium
B07T8BZPSL:6.87/75.44/532.4/OAW
B07GX87VR4:4.24/64.82/273.32/DNJ
B0FD3DSV8G:3.79/45.74/172.18/JADRANCI
B08VDHH878:2.41/14.1/101.85/AUQDD
B0DNLXZ6BW:1.63/44.11/70.95/nan
B001FKPTBY:1.05/185.92/189.69/Motorcraft
B0F3P2H7PF:0.67/32.66/32.99/CUGANO
B09HX6ZF9T:0.24/41.65/29.9/TRQ</t>
  </si>
  <si>
    <t>B008EEZ8A6:67.21/103.61/6871.36/AISIN
B097XDQX91:35.49/52.4/1845.37/A-Premium
B08ZFZJMT6:33.69/36.95/1256.99/AULINK
B0D6R81S18:19.91/35.45/709.44/UNITHUB
B001C97VXW:17.47/68.38/1191.85/Gates
B0B1P82QFN:15.86/47.49/753.07/Vipcar
B096VPDBXK:8.82/37.04/328.21/TUCAREST
B075RRLKJ3:8.23/158.14/1300.69/Toyota
B08XW7S9N1:5.54/36.99/204.82/TUUMOND
B085CF7MDH:4.96/37.85/188.63/ADIGARAUTO
B0FCS5NJ88:4.9/23.47/110.43/BasaltAuto
B00TM2CAPU:4.88/56.95/278.33/DNJ
B004A0BT38:4.63/57.97/353.71/GMB
B0049CCT54:4.3/106.78/459.46/ACDelco
B0BXSQZ9KR:2.65/40.28/106.17/IRONTEK
B0D2HPGNQN:2.28/41.22/90.63/JDMON
B0H2614NRN:2.0/49.99/99.98/Kax
B0CP597R88:1.76/48.8/85.89/Holdia
B07MXTZZTN:1.47/28.25/40.86/SCITOO
B019ND41F4:1.05/26.96/45.67/OAW
B0DTTCQN96:0.33/51.86/17.29/Kax
B0FLJVMGNR:0.33/41.49/13.83/Philtop
B0CP75GV4F:0.11/173.16/19.5/LEXUS</t>
  </si>
  <si>
    <t>B097XKXHZZ:33.62/36.85/1238.58/A-Premium
B01L4YD1CY:9.72/52.11/509.82/Gates
B0FNMS2SLS:7.18/23.58/169.34/Roneeson
B0F8T64MLP:6.92/26.99/186.75/HY-SPEED
B0D9KB5QDT:6.13/36.88/226.05/JDMON
B073ZNJF5Y:3.3/57.23/189.83/ACDelco
B0BYNPYSW4:1.29/28.78/37.25/MPLUS OE SOLUTION AUTOPARTS
B09HX4KJMZ:0.87/59.95/52.1/TRQ
B0HD5ZTHD1:0.67/22.99/15.33/Philtop
B0BYMFZ9L5:0.08/9.99/2.48/MOCA AUTOPARTS
B01KHLCQZS:0.02/15.14/0.96/GMB</t>
  </si>
  <si>
    <t>B097XXKVNC:19.54/39.12/771.07/A-Premium
B09JNTZ9ML:7.29/26.25/191.29/TUCAREST
B0F1TPCXCJ:3.55/23.72/82.65/AULINK
B000C9NH5Y:3.41/45.85/156.09/ACDelco
B019ND3ND0:1.82/29.19/52.57/OAW
B06XPFRF8C:0.91/18.91/24.52/ECCPP
B0D9Q28RSF:0.69/15.79/32.93/UNITHUB
B06XPFMC1R:0.37/14.75/7.87/SCITOO
B0HD684QKG:0.33/19.99/6.66/Philtop
B0CBC6GPHG:0.1/9.83/3.03/MAXWIN
B000CB2XN4:0.09/14.26/3.89/Beck/Arnley
B08H7Z42X9:0.02/9.99/0.52/MPLUS OE SOLUTION AUTOPARTS</t>
  </si>
  <si>
    <t>B0BPMGWSMR:14.35/30.56/438.07/Vipcar
B097XT2D68:13.62/31.68/429.0/A-Premium
B0F3V5KC1W:7.97/29.99/238.95/KAYULONE
B08L38PQDY:4.25/32.06/136.1/TUUMOND
B000C2S74M:3.55/45.41/161.02/Gates
B0DG5F73GS:3.26/28.99/94.58/UNITHUB
B0BTVMDTC7:3.2/29.59/94.82/CUGANO
B009XQ5UZC:2.6/96.83/247.54/Toyota
B0B7GG3P2X:2.3/33.72/77.14/ADIGARAUTO
B08MVVKWLQ:0.83/29.41/25.08/TRQ
B008EEZ6V2:0.79/41.33/98.13/AISIN
B000C9KA4U:0.24/73.3/17.83/ACDelco
B004ZQN1EM:0.01/72.94/0.84/Beck/Arnley</t>
  </si>
  <si>
    <t>B0B7XBB672:23.02/28.42/654.5/A-Premium
B000C9IUAQ:8.22/54.18/448.84/ACDelco
B000C2U7L8:3.7/45.55/167.82/Gates
B0143PZYBC:3.23/30.58/98.41/OAW
B00TM2DAU4:1.51/44.97/67.89/DNJ
B0BL3727DD:0.91/27.19/24.62/MPLUS OE SOLUTION AUTOPARTS
B086WVQL97:0.2/18.29/10.87/TRQ
B000P4UD1W:0.02/12.13/0.68/GMB</t>
  </si>
  <si>
    <t>B0B7X6X35R:9.23/29.11/267.85/A-Premium
B0H7Z8F943:5.33/36.99/197.28/Philtop
B0049CHEBS:4.61/94.26/430.2/ACDelco
B0CMGTSXNK:3.64/21.61/117.52/MOCA AUTOPARTS
B0HBQTV8F6:1.67/26.67/44.45/Kax
B01MT21PJZ:1.62/26.97/65.8/OAW
B0049ONLCM:0.82/50.65/62.15/DNJ
B086WXJBBB:0.56/53.3/44.5/TRQ
B0CJRXZRQJ:0.01/21.37/0.93/PartCatalog</t>
  </si>
  <si>
    <t>B0B7X9TBFN:11.55/28.99/329.07/A-Premium
B008EEZ4J6:10.6/68.21/866.23/AISIN
B0HBQD13WL:2.67/17.99/47.97/Philtop
B0844HRF1V:2.51/8.96/67.43/OAW
B0D2LFWV6S:0.69/30.15/17.24/INFINAUTO
B08SR9XSY5:0.11/12.91/4.12/Beck/Arnley
B0CKKQFMN3:0.01/17.97/0.31/Rareelectrical</t>
  </si>
  <si>
    <t>B0031I5YTA:30.68/180.36/5555.42/GM GENUINE PARTS
B0CWQSXNX7:21.39/131.78/2819.44/LDMINDA
B0CM92Q8WM:14.03/111.06/1556.22/Woosphy
B0CT8KRXM8:6.45/64.99/419.04/NewYall
B0B153LQ73:4.42/35.61/472.65/A-Premium
B01E970L2Q:2.78/192.99/536.58/ACDelco
B0CMGPZMWN:1.27/89.67/113.61/MOCA AUTOPARTS
B0HD5ZCWZ3:0.33/111.99/37.33/Philtop
B013EI9ODI:0.28/199.06/55.85/Gates
B0CMT3M7DB:0.18/88.33/15.66/MPLUS OE SOLUTION AUTOPARTS</t>
  </si>
  <si>
    <t>B0CZDGKVVF:5.39/50.49/272.61/AULINK
B0C6F224P9:5.28/62.96/470.92/A-Premium
B0B42KRVZ4:2.06/59.99/123.69/Vipcar
B0HD5F5Z54:0.67/49.99/33.33/Philtop
B0HDZNDH1B:0.33/72.99/24.33/Kax</t>
  </si>
  <si>
    <t>B09Q8WFTNQ:4.68/29.66/205.13/A-Premium
B0F3D6VPH4:2.33/31.28/72.98/Kax
B0H7Z2QJCT:0.67/24.99/16.66/Philtop
B000C9LGSO:0.11/14.22/4.61/ACDelco
B000C2S814:0.09/14.59/3.76/Gates</t>
  </si>
  <si>
    <t>B0171KSIKU:26.95/79.68/2138.4/AISIN
B0BG6N71PD:6.82/30.33/325.87/A-Premium
B0F9DVK63L:3.65/32.78/120.48/MOCA AUTOPARTS
B07TFJGCQ5:2.59/38.99/133.87/OAW
B0836HCMY7:1.65/107.45/178.84/Sixity Auto
B0HD68V4ZN:1.0/33.99/33.99/Philtop
B07GX95R9S:0.98/78.97/77.13/DNJ
B00KWDU6IQ:0.09/45.11/11.97/LEXUS
B073ZR95WH:0.01/20.98/0.89/ACDelco
B01LYDDM0V:0.0/25.81/0.36/Beck/Arnley</t>
  </si>
  <si>
    <t>B07D3XWC4K:10.26/37.37/383.41/A-Premium
B0143PZRIM:9.33/31.71/295.89/OAW
B004Y1EM9G:6.41/117.78/754.71/Gates
B00U0WU0OE:3.66/55.38/202.34/URO Parts
B07VMB9SRZ:0.85/26.59/43.43/OAW
B09K38YYTT:0.38/25.22/14.5/Garage-Pro</t>
  </si>
  <si>
    <t>B07D3XSNR6:12.87/47.2/607.31/A-Premium
B0D9PZTJMW:6.67/37.66/251.65/UNITHUB
B000C2W8I8:2.62/63.78/166.82/Gates
B00TM2D43C:1.48/76.37/112.1/DNJ
B0143R0TYC:1.04/33.26/51.73/OAW</t>
  </si>
  <si>
    <t>B07D3YMCBK:13.94/43.25/600.59/A-Premium
B0CZDLB4DL:8.07/37.06/302.49/AULINK
B07DPJ5PMR:4.75/54.82/260.48/YHTAUTO
B000C2S68E:4.07/59.06/240.14/Gates
B0HD67X6H6:0.33/43.99/14.66/Philtop
B09HWRXCH5:0.24/24.98/17.93/TRQ
B00TM2AF1Q:0.04/65.67/2.71/DNJ</t>
  </si>
  <si>
    <t>B08NMBJ4BF:13.4/235.98/3161.15/GM GENUINE PARTS
B097XJYB2B:11.21/92.65/1038.54/A-Premium
B0143R0ZZA:6.65/99.89/664.68/OAW
B0CM8YGY1R:3.78/95.71/350.3/Woosphy
B0B5TB595H:2.07/123.49/255.25/Vipcar
B0BW88N4BR:1.19/73.33/86.51/PartsFlow
B0HBQ6XCLF:1.0/78.99/78.99/Philtop
B004SCYMLY:0.59/161.07/98.03/Gates</t>
  </si>
  <si>
    <t>B001DAOKU2:1.73/47.1/80.04/DNJ
B0B7X6QBQR:1.21/25.99/47.02/A-Premium
B00J6H64RG:0.6/136.93/76.18/Subaru
B000UOFJP2:0.4/37.86/22.55/Gates
B0HBQD3ZDM:0.33/27.99/9.33/Philtop
B0HBQR2K7C:0.33/29.39/9.8/Kax</t>
  </si>
  <si>
    <t>B07D3YPLFD:9.65/46.51/447.94/A-Premium
B0D9Q126R3:5.82/38.42/222.72/UNITHUB
B0H7YS3L6W:1.0/57.99/57.99/Philtop
B09HWXKMW5:0.89/91.13/81.01/TRQ
B009HFAVWQ:0.81/75.1/64.02/Graf
B09Z6X2M1W:0.03/31.73/1.48/EXPEDE
B086L8QBCG:0.03/47.07/1.29/nan
B002K440E6:0.02/27.61/1.57/GMB</t>
  </si>
  <si>
    <t>B0B5T82B7K:7.57/37.56/284.39/Vipcar
B004XASFEG:2.62/67.47/170.33/AISIN
B097XNXMHF:0.59/19.99/17.83/A-Premium
B09VYZRHQC:0.41/19.04/11.85/ADIGARAUTO
B08MVVCY75:0.36/17.32/18.62/TRQ
B000C2S6MK:0.01/16.78/0.58/nan</t>
  </si>
  <si>
    <t>B00829I1DE:10.07/72.11/725.3/AISIN
B097XHDHNF:7.45/39.32/294.85/A-Premium
B0BPMMQ5G5:6.03/34.29/206.63/Vipcar
B08L384276:4.87/39.5/192.24/TUUMOND
B00TM2CBR2:2.49/55.97/139.22/DNJ
B085CFCM9C:0.83/13.3/33.07/ADIGARAUTO
B00TM2B51U:0.8/56.97/45.54/DNJ
B0HD5TLX7B:0.33/24.99/8.33/Philtop
B00FZPSSUY:0.2/81.74/24.1/Toyota
B000C2S77O:0.0/23.59/0.21/Gates</t>
  </si>
  <si>
    <t>B000EQAVP4:23.98/44.56/1603.09/Motorcraft
B01F5XN6FW:7.79/43.69/341.63/OAW
B09Q8W8TH6:7.06/53.81/383.92/A-Premium
B0HD6H4NN7:2.0/30.99/61.98/Philtop</t>
  </si>
  <si>
    <t>B09GLYNFY2:7.87/39.72/312.69/TUCAREST
B00829I2EM:7.63/89.1/678.77/AISIN
B0D31N75G4:1.33/46.97/63.23/A-Premium
B019ND3RCC:0.82/18.22/44.73/OAW</t>
  </si>
  <si>
    <t>B09Q8XBMX1:6.07/76.45/463.08/A-Premium
B09NDB9DZ7:5.47/63.24/387.22/Garage-Pro
B0DXF9CQDG:2.93/42.66/187.18/AULINK
B0HD6KCVB5:0.33/51.99/17.33/Philtop
B09HX2HSD8:0.19/76.63/21.56/TRQ
B01CR436AM:0.02/21.0/1.07/MTC</t>
  </si>
  <si>
    <t>B097XVCWHN:19.67/53.66/1192.46/A-Premium
B000C9KMN4:15.35/62.11/888.91/ACDelco
B07TDN84DL:13.11/49.49/647.5/OAW
B0B42JS4S3:3.99/37.99/227.16/Vipcar
B000P4S8X2:1.13/17.9/60.45/GMB
B0CJ8Z7F9H:0.3/28.22/12.71/SCITOO</t>
  </si>
  <si>
    <t>B09GLY9MVV:7.82/23.16/181.42/TUCAREST
B08L38RS2G:5.44/22.99/125.11/TUUMOND
B0DWZQJKDV:4.09/23.73/96.83/KAYULONE
B08HXYY812:3.54/8.0/84.96/ADIGARAUTO
B000C2Y0SO:1.66/54.23/85.5/Gates
B0CFP4HHR9:1.49/23.27/34.57/CUGANO
B09M62H9Y3:0.55/30.63/25.07/TRQ</t>
  </si>
  <si>
    <t>B0B5TB78ZY:6.99/22.99/160.6/Vipcar
B008EEYZAA:5.58/43.0/239.62/AISIN
B000C2U7P4:4.02/9.69/116.92/Gates
B0DGQKB2LN:2.27/24.61/55.31/A-Premium
B09YTXN29D:0.02/14.43/0.37/nan</t>
  </si>
  <si>
    <t>B09Q8W1B1J:6.35/53.03/340.77/A-Premium
B0F31XC13C:2.28/31.96/72.26/AMCC
B07DXTG1B1:0.02/16.86/0.76/Beck/Arnley</t>
  </si>
  <si>
    <t>B07VMBBK3P:4.57/37.3/170.0/OAW
B0F6XNNDYD:3.03/41.32/125.33/A-Premium
B0HD68RXC2:0.67/18.99/12.66/Philtop
B0CTCMCMG3:0.27/128.42/34.98/YQABLE
B07XLN99N7:0.0/25.83/0.3/Rareelectrical</t>
  </si>
  <si>
    <t>B0CXXGD43Q:32.97/37.33/1234.27/A-Premium
B00KTL7C1K:5.53/42.15/699.47/Honda
B0B817XJY4:5.21/33.41/174.65/TUCAREST
B06XPYJFRJ:2.07/74.0/153.29/AISIN
B01COA9S24:0.81/24.59/59.97/Gates
B0HD5TJBPN:0.67/19.99/13.33/Philtop
B0HDZ3VN8P:0.33/27.99/9.33/Kax
B09KZQ19YM:0.19/51.27/9.81/DNJ
B09K3CHQ5H:0.16/19.49/4.75/Garage-Pro</t>
  </si>
  <si>
    <t>B0D9Q19VJC:19.86/35.56/702.83/UNITHUB
B0B42F9WP7:18.18/29.99/545.28/Vipcar
B0D2LG62PB:7.06/27.99/265.16/INFINAUTO
B015R1EH6E:3.05/24.93/227.87/AISIN
B0CZDKFB48:2.0/17.6/105.66/AULINK
B09HWYPRQ4:1.22/74.95/91.57/TRQ
B0BTBVDYQ2:0.76/27.21/20.7/MOCA AUTOPARTS
B07HMLCN7R:0.67/30.85/22.4/Us Motor Works
B0HD654WB8:0.67/18.99/12.66/Philtop
B0BDSJ3J6M:0.19/20.42/5.91/Beck/Arnley</t>
  </si>
  <si>
    <t>B0B7X7JFZ5:13.63/32.46/442.65/A-Premium
B08D7JG1CP:8.67/36.45/316.24/Gates
B0F9NCSVFM:1.12/19.83/22.28/Roneeson
B0HH8DX77W:0.67/21.99/14.66/Kax
B0HD5YXYGP:0.33/16.99/5.66/Philtop
B07Z9VXQWB:0.1/17.26/4.95/Motorcraft
B076BSXD1Y:0.0/13.8/0.16/GMB
B0BZ29XT18:0.0/23.84/0.08/Rareelectrical</t>
  </si>
  <si>
    <t>B07D3YK1BW:6.72/44.67/303.12/A-Premium
B01F5XNBAW:1.67/40.6/67.76/OAW
B0HD654JBJ:0.33/28.99/9.66/Philtop
B000EPZBAK:0.01/21.95/0.63/Gates</t>
  </si>
  <si>
    <t>B0B42F9WP7:18.18/29.99/545.28/Vipcar
B0B7X8PPXD:11.53/36.93/425.02/A-Premium
B0H7YRXS5B:2.33/25.99/60.64/Philtop</t>
  </si>
  <si>
    <t>B0B5T9TQK3:15.62/40.7/635.63/Vipcar
B0B7XC56YQ:5.23/31.09/162.42/A-Premium
B00829HZ18:5.12/44.88/229.54/AISIN
B004986WEM:4.47/61.56/275.02/Gates
B00829I422:2.24/64.89/144.63/AISIN
B0D9PZC966:2.04/26.33/54.2/UNITHUB
B00TM2CRO4:0.9/33.25/30.05/DNJ
B00FZPSCYQ:0.82/104.63/85.28/Toyota
B019ND45FK:0.11/9.63/3.15/OAW
B000C2S7BU:0.04/17.69/1.05/Gates</t>
  </si>
  <si>
    <t>B0CZ74RCLL:22.36/57.68/1286.83/A-Premium
B0BPMG6N17:18.18/29.99/545.2/Vipcar
B0B7XB35VL:12.44/25.98/322.83/A-Premium
B0DTYXLX3F:10.71/43.84/464.59/A-Premium
B0CZDF6NVL:9.98/38.08/389.21/GELUOXI
B0D79KVTWT:9.58/29.96/286.97/VekAuto
B00F5YZZTC:7.94/290.18/2322.86/HYUNDAI
B0B281RQN7:4.48/25.86/115.93/MOCA AUTOPARTS
B0FL7GFCD4:3.84/35.61/138.5/REVO
B015R1EF48:3.63/23.81/129.5/AISIN
B09ZKMLV1H:1.39/27.01/36.76/MPLUS OE SOLUTION AUTOPARTS
B0B62JKMZY:1.19/35.87/42.48/MOCA AUTOPARTS
B00QX35ULC:0.91/28.59/78.02/Gates
B09J7WZSRX:0.91/54.93/49.93/TRQ
B082WNBH3T:0.79/20.32/48.4/DNJ
B0CQQ1RZKN:0.36/12.92/13.97/MOCA AUTOPARTS
B0BW4FW2CR:0.25/51.4/13.15/Beck/Arnley
B0B62DHGCX:0.15/27.59/6.1/MPLUS OE SOLUTION AUTOPARTS
B0B5GPCGTN:0.11/9.89/3.3/MAXWIN
B00UYKDGDO:0.1/35.16/3.61/GMB</t>
  </si>
  <si>
    <t>B0CKNHK5LJ:18.13/52.11/819.28/AULINK
B0BYMRPXQF:15.65/36.37/576.57/MOTOKU
B0B1PFT7VR:14.05/48.45/682.69/Vipcar
B0143Q04DO:10.61/27.35/438.18/OAW
B0DQXZ2TBF:6.67/449.95/3001.58/Bullet Proof Diesel
B0BVLPWB6G:1.61/14.25/68.76/Vipcar
B006D1TB50:0.88/50.12/68.68/GMB
B0HH8KZGT8:0.33/38.99/13.0/Kax</t>
  </si>
  <si>
    <t>B0BCQRTGQR:35.69/50.62/1804.38/A-Premium
B07TDN8Q7Z:32.09/54.25/1744.23/OAW
B000C2Y0A2:14.02/43.43/609.62/Gates
B000C5HQW8:12.63/74.46/939.53/Motorcraft
B0CJ912NWP:11.85/43.39/491.29/SCITOO
B0CWV913M4:4.67/46.02/215.57/SCITOO
B000C9KMPC:3.94/66.18/260.49/ACDelco
B07NPP4ZHB:3.93/45.18/175.53/ECCPP
B0DQG6F4BN:3.8/51.72/197.52/ApplianPar
B00TM2BQTQ:3.54/62.97/223.09/DNJ
B0B1P3KZPJ:2.11/56.46/119.14/Vipcar
B0H6X437R5:1.67/54.99/91.65/Philtop
B0HH8GFBW8:1.0/49.99/49.99/Kax
B09K3F4V9M:0.7/37.43/39.45/Garage-Pro
B09HT9SXS9:0.24/24.98/17.93/TRQ
B07KMXM2K9:0.17/35.33/9.23/OCPTY
B000O068KC:0.04/101.52/3.79/Ford</t>
  </si>
  <si>
    <t>B00829HYTQ:46.6/40.26/1872.11/AISIN
B0B5TBJT7Q:6.26/28.49/178.24/Vipcar
B09JKDRX2D:5.49/29.38/161.06/BOXI
B000C2W9M8:2.5/36.98/92.43/Gates
B0BW88D1QR:0.31/7.98/7.42/PartsFlow
B0827ZHPFZ:0.08/19.16/4.51/Sixity Auto
B000P4WWQG:0.01/6.71/0.29/GMB</t>
  </si>
  <si>
    <t>B000C2W84C:66.46/37.46/2469.31/Gates
B0DG5DVKSH:20.48/33.48/684.58/UNITHUB
B000C9KLE4:17.08/55.78/952.9/ACDelco
B07D3YF4JB:12.41/40.72/501.88/A-Premium
B0DWZNK7NR:9.57/31.2/297.06/KAYULONE
B096WQNYMX:8.24/29.22/240.75/TUCAREST
B0143PZGZQ:7.95/36.63/289.69/OAW
B085CF7N7X:7.09/31.15/264.39/ADIGARAUTO
B0C9PLHPDL:4.8/31.2/152.07/CUGANO
B0B42KQS5P:3.85/40.51/154.35/Vipcar
B0CJ8XYBGH:2.64/29.69/76.24/SCITOO
B094YLF44R:2.11/12.66/80.17/TUUMOND
B000P4WXG0:1.74/34.15/58.41/GMB
B09XQ1HCF4:0.82/10.66/26.23/OCPTY
B00TM2AC9Q:0.69/35.31/36.33/DNJ</t>
  </si>
  <si>
    <t>B0B7XB63GP:71.3/31.71/2268.69/A-Premium
B01M66K7CF:18.52/96.11/1779.49/AISIN
B0843N7SYQ:13.07/33.39/440.57/OAW
B0DT5X6K2Y:7.85/32.32/254.09/Roneeson
B00F579BJY:5.38/167.08/898.12/Subaru
B0H6XD3H17:2.67/28.74/76.64/Philtop
B0BW96W9KN:2.22/37.99/84.15/X AUTOHAUX
B076BSYSYT:0.57/34.83/19.52/GMB
B0HH8KZGTN:0.33/23.99/8.0/Kax</t>
  </si>
  <si>
    <t>B0CJRMDVD7:33.52/73.66/2457.28/JDMSPEED
B0B1HTXY4M:19.62/67.93/1328.55/LLNSEAUTO
B09DVVQSNS:18.39/125.57/2299.65/A-Premium
B09ZKTKHLQ:16.52/103.67/1710.11/ATRACYPART
B0CBWW1X6F:9.91/122.82/1215.95/cycwer
B0H6XGDKRB:8.0/113.03/904.22/Philtop
B07Y1Z1LTQ:6.99/75.87/530.31/GELUOXI
B0BPMNMWPF:4.75/19.99/142.5/Vipcar
B0CHVQ89GL:4.44/86.99/385.94/IRONTEK
B0BP7R75WS:2.86/75.47/215.89/Niyako
B0DK6Q4DTL:1.99/119.67/240.75/Htostar Racing
B0BNYBTT6M:1.53/71.99/110.19/MP MINGPENG
B0FKT1SG6W:1.51/101.0/154.56/BRTEC
B0HDZK2BHL:1.0/169.99/169.99/Kax
B08NWDZDVN:0.59/23.26/20.67/OAW
B09Y35GCLH:0.37/103.11/57.85/TRQ
B0BSGK67HH:0.31/28.33/26.11/Bario
B0FS65LM9P:0.17/84.53/21.68/FIWARY
B0CPL37LPY:0.04/103.2/4.58/Rareelectrical
B0BW9CQ3PT:0.03/94.12/4.57/X AUTOHAUX</t>
  </si>
  <si>
    <t>B07P8W1V9S:257.06/30.96/7943.35/IRONTREE
B09XB491X6:71.86/34.16/2449.03/LDMINDA
B07D3YYG1S:70.96/41.58/2947.73/A-Premium
B08NJKSJQ3:57.56/31.39/1810.09/Autoround
B07WVYV7HC:57.04/28.38/1613.91/MACEL
B0CSRZ8K56:38.11/32.8/1248.21/BDELI
B08SMN6H95:31.36/27.77/870.77/AULINK
B000C9LQIY:30.78/94.99/2132.94/ACDelco
B07BKWJPW3:21.06/66.88/1402.3/Gates
B000C2U77M:17.34/58.99/1025.01/Gates
B0DHRMSB13:15.99/18.27/438.33/GZGN
B0DLKQKCM8:11.55/25.84/300.44/LEAPTIGER
B096VS18R6:9.97/28.83/288.29/TUCAREST
B08VF2RT8M:9.79/27.14/266.19/AUQDD
B0DJVXHD4X:6.23/27.72/172.43/keuyyap
B0B1PGPTFF:5.84/40.0/228.55/Vipcar
B09GXFV5BH:4.73/27.95/132.44/KEYOOG
B0CDG983FC:4.16/17.52/218.77/FRONEZER
B0D9Q8V874:4.11/39.89/163.86/EvTok
B0CJMBCCSW:3.98/26.89/106.22/LLNSEAUTO
B000C6Q60A:2.33/49.92/116.09/GMB
B0FL72SJXX:2.26/17.61/60.1/GZYQPDZ
B07JM8MSQ9:2.21/32.99/65.42/SCITOO
B07WS6VYB9:2.04/32.31/66.12/BOXI
B08LPQJHK1:2.01/32.21/64.31/BRTEC
B0F3V6CKPC:1.9/31.71/57.22/KAYULONE
B00TM29AOY:1.83/60.48/108.28/DNJ
B01F5XN01M:1.63/37.27/61.03/OAW
B001KQOUCW:1.52/177.38/272.58/Mopar
B06XNWGKG6:1.18/33.54/39.59/ECCPP
B08L34323M:1.12/30.14/33.49/TUUMOND
B085CDXY5K:1.11/35.81/40.3/ADIGARAUTO
B0H26H2X9S:1.0/37.99/37.99/Kax
B0CKXCCFC2:0.67/45.99/30.66/Philtop
B0H7YX236F:0.67/35.99/23.99/Philtop
B0D4FBCHGR:0.66/15.32/30.46/Mizumo Auto
B0BXSQYRK5:0.62/30.73/19.57/IRONTEK
B0DG5FXBM6:0.3/34.99/10.37/UNITHUB
B0827YP67W:0.15/49.68/10.89/Sixity Auto
B0B9YRJ673:0.13/26.65/10.43/TRQ
B0D933RZX2:0.05/90.76/4.67/Sixity Auto
B08GZP3G5Y:0.03/74.49/2.24/KarParts360
B09KBGRG8S:0.03/22.33/0.85/TOM</t>
  </si>
  <si>
    <t>B0BNH5X27F:105.26/28.87/3057.74/RADHLBNIU
B0D9NJJM9P:76.31/34.4/2615.5/BDELI
B01N0OQXJR:55.93/83.39/4669.17/ACDelco
B07GKXK5W2:55.87/30.65/1704.75/A-Premium
B08SQSL8T7:24.52/35.25/861.89/AULINK
B0CJMCCNQF:11.85/25.99/307.93/LLNSEAUTO
B0D99S214Y:10.99/28.33/312.07/BDFHYK
B096VPH8M5:9.69/25.53/248.0/TUCAREST
B0FCS15N4B:9.63/38.24/365.08/BasaltAuto
B0DG5G3V4X:9.45/26.38/248.85/UNITHUB
B01COA9GOE:9.03/51.0/459.67/Gates
B0BRMMZPM7:8.91/56.33/760.36/A-Premium
B01MT21PWM:7.7/30.21/232.54/OAW
B08LQ7J35J:6.17/25.92/235.41/BRTEC
B0DX13YLSN:4.62/31.39/145.0/KAYULONE
B0BFJFCRFC:3.91/28.75/111.95/ADIGARAUTO
B01KM3S8QM:3.9/46.32/181.92/GMB
B0D44ZVT14:3.72/9.99/111.4/KARCOCA
B0C9DQN41V:3.63/32.9/118.64/X AUTOHAUX
B0B1PFRYYG:2.91/27.59/81.55/Vipcar
B0FC28TX3S:2.83/24.99/70.69/EMTMOUN
B010G6GSJ4:2.19/96.64/327.82/ACDelco
B07GLGCBCX:2.18/32.98/71.99/YHTAUTO
B0BXSP3JWF:1.59/25.98/41.35/IRONTEK
B0G3LF8BPT:0.67/15.48/10.32/Philtop
B0CSDJ89HJ:0.33/24.99/8.33/Kax
B0CJTYV8N5:0.24/29.09/6.99/PartsFlow
B09K3H46VT:0.1/29.94/4.28/Garage-Pro
B0FW3Z59DT:0.03/51.64/1.43/MOCA AUTOPARTS
B09HWZF4MZ:0.02/31.65/1.86/TRQ</t>
  </si>
  <si>
    <t>B08LQTLWT5:31.22/32.33/1006.59/IRONTREE
B000C9LHMY:14.64/53.13/777.85/ACDelco
B097XHBCW5:11.81/36.45/431.72/A-Premium
B08L38T1XY:8.94/35.45/317.04/TUUMOND
B096VM5M6X:7.83/33.62/263.33/TUCAREST
B000C2S684:7.36/53.95/396.45/Gates
B08VDHDMRN:5.83/10.6/185.54/AUQDD
B0D6R4J7SL:4.78/30.49/145.7/UNITHUB
B085CFMCVZ:4.28/36.11/154.4/ADIGARAUTO
B09V138H8F:2.14/10.58/67.89/KEYOOG
B07G91SV4Z:2.01/33.45/67.22/SCITOO
B0F3876SVB:1.67/23.24/38.73/Kax
B0C1VBSTSP:1.27/35.58/45.09/CUGANO
B0G3LDKK56:0.33/31.99/10.66/Philtop
B0H7Z1W2DV:0.33/33.99/11.33/Philtop
B0B42J2YN8:0.24/42.96/10.46/Vipcar
B07Z9W2NBP:0.07/16.93/3.7/Motorcraft
B08D5D634Z:0.03/14.98/1.35/Marketplace Auto Parts</t>
  </si>
  <si>
    <t>B0B7X9XNKC:44.26/49.8/2212.61/A-Premium
B097XQRGXP:34.46/35.37/1216.25/A-Premium
B0F3XKB313:28.05/28.08/783.48/LEAPTIGER
B004XNRGVQ:17.42/51.2/892.33/Gates
B08VDNLSQV:9.92/29.41/291.67/AUQDD
B096VLDW38:9.73/29.2/284.8/TUCAREST
B0D53XS86Y:8.47/28.78/241.57/UNITHUB
B09FJZPDY8:7.87/30.19/236.32/ADIGARAUTO
B09FLKNRPD:6.13/33.31/200.9/TUUMOND
B09JGBVG5L:5.45/28.79/156.78/BRTEC
B0B42FLK81:4.85/37.99/184.24/Vipcar
B0FBQRFYQ9:3.78/26.95/102.01/HiSport
B0C9PLM2L9:3.75/27.85/103.4/CUGANO
B0DWZV912B:3.16/28.21/89.27/KAYULONE
B0BXSQL9TT:1.67/28.49/47.51/IRONTEK
B0CSDHM2L5:1.33/22.5/30.0/Kax
B01N5IEBV1:1.32/31.97/42.64/OAW
B0DSZNP9SX:1.0/12.89/38.79/KAX
B00SQTJ440:0.49/49.47/24.09/DNJ
B0H7YP3QL8:0.33/26.99/9.0/Philtop
B08SQHSMNK:0.29/11.83/10.39/MPLUS OE SOLUTION AUTOPARTS
B0FLK7BCV5:0.1/35.35/3.57/PHILTOP
B0FPR2FNR9:0.04/93.37/3.86/Melling
B06XP674W9:0.03/11.33/1.04/ECCPP</t>
  </si>
  <si>
    <t>B0CG9T5416:114.52/22.22/2544.21/EvTok
B001KSA9UM:38.25/59.26/2266.07/ACDelco
B0B42KRQ4F:16.84/25.2/424.24/Vipcar
B0106XZ06E:12.86/63.22/1072.19/AISIN
B019ND3SGW:11.19/23.09/257.72/OAW
B0CMTJYWRV:10.58/32.7/346.84/BDFHYK
B07BDBK9GB:7.9/20.62/181.67/ECCPP
B09JGBCHYS:7.66/21.02/161.12/BRTEC
B0796DK3RJ:7.31/23.85/174.6/MOCA AUTOPARTS
B0CSDHVF55:5.0/18.19/90.95/Kax
B000UO8M74:4.72/73.87/403.28/Gates
B085CF8V96:4.23/21.0/88.07/ADIGARAUTO
B0DG5HPFYV:3.87/22.39/86.62/UNITHUB
B07BDL2TXR:3.48/11.99/62.65/SCITOO
B07BF68771:3.42/21.73/75.49/ECCPP
B00TM2ELU2:2.84/41.87/118.87/DNJ
B000K01IR4:2.39/36.92/88.18/Beck/Arnley
B0BTVM297J:1.77/7.23/38.38/CUGANO
B009XQ5W2S:1.7/118.29/199.52/Toyota
B00829I3LO:0.62/39.65/73.74/AISIN
B001DKV7D0:0.41/12.21/15.04/GMB
B0H68PD77K:0.33/22.99/7.66/Torchbeam</t>
  </si>
  <si>
    <t>B00DUR65LI:811.14/130.44/105623.37/AISIN
B0D9NH7886:4.82/68.49/327.1/BDELI
B0H25ZFQQK:0.67/140.99/93.99/Kax</t>
  </si>
  <si>
    <t>B097XWBXWQ:13.15/36.71/481.31/A-Premium
B0CYBGSW87:3.19/31.93/102.3/AULINK
B00K8SGJGS:1.53/80.64/121.15/URO Parts
B0F3D7F5J7:0.67/36.49/24.33/Kax
B000CHNB20:0.37/86.54/31.83/GMB
B003YMRKTK:0.37/173.87/64.27/Gates
B0B42DQXBH:0.2/29.83/9.15/Vipcar</t>
  </si>
  <si>
    <t>B097XJTCWK:64.53/29.45/1887.92/A-Premium
B0D53YXKYJ:63.69/23.29/1472.73/UNITHUB
B07MD6FBCQ:15.91/23.91/380.02/IRONTREE
B08VDSKWMX:11.2/21.81/244.18/AUQDD
B096VLNRLG:10.51/21.02/220.95/TUCAREST
B0D99P44WF:9.98/24.68/247.11/BDFHYK
B0BFHFJPJK:8.02/23.27/187.01/ADIGARAUTO
B0049CFV54:8.0/86.32/691.43/ACDelco
B003YMPO48:7.94/58.13/462.85/Gates
B0B42L7MQZ:5.94/22.9/135.86/Vipcar
B0CCCNJ6VP:4.52/25.09/109.64/TUUMOND
B0CLRSQ451:3.76/25.82/97.17/MOCA AUTOPARTS
B07NPMWKKS:2.92/12.76/111.88/ECCPP
B0H26BQLN3:2.33/21.99/51.31/Kax
B07BDKXWZH:1.09/21.04/22.95/SCITOO
B00TM2DTP0:0.31/16.66/15.54/DNJ</t>
  </si>
  <si>
    <t>B000IYXKBO:177.39/50.25/8878.31/ACDelco
B08SQ7MNXZ:164.12/25.32/4144.23/AULINK
B097XDH8QP:45.29/30.47/1377.29/A-Premium
B000EQ1A6S:13.32/42.67/569.32/Gates
B08SQ7ZBZ2:11.45/26.31/303.2/PAROD
B096VN14P3:9.82/25.13/247.53/TUCAREST
B0D2X1GSMH:9.46/26.21/248.61/LDMINDA
B0D53MBMR8:7.87/24.94/197.19/UNITHUB
B0DK73CKVS:5.27/24.59/130.89/keuyyap
B0BKL2WFCB:4.99/24.74/123.06/BRTEC
B06XPGB97L:4.2/26.72/112.84/ECCPP
B0CJ915VWD:3.98/7.33/87.57/SCITOO
B0DKFMLQZH:3.22/12.35/59.23/EMTMOUN
B0BFHH62HK:3.12/26.05/81.53/ADIGARAUTO
B0D17W5Z6F:2.9/10.66/46.36/AUTOSTARSHIP
B0CHJ5B6FS:2.58/27.01/69.96/TUUMOND
B07WS645ZQ:1.36/15.37/62.65/BOXI
B0BXSS5S45:1.03/27.15/27.89/IRONTEK
B07Y4ZM3FJ:1.03/26.02/26.35/MYSMOT
B0DM5WY88S:0.99/125.0/123.95/RONGPAS
B0F6574QJP:0.93/40.55/37.67/MPLUS OE SOLUTION AUTOPARTS
B00TM2DLSU:0.89/35.31/46.88/DNJ
B0CSDHMR1Q:0.67/23.99/15.99/Kax
B0794KXMTF:0.42/19.99/12.53/MOCA AUTOPARTS
B0CHVVDPXD:0.13/27.62/3.78/YMAUGP
B0BW8869W4:0.07/7.7/1.68/PartsFlow
B0D2Z8K7QB:0.01/12.0/0.37/Carock</t>
  </si>
  <si>
    <t>B08SMPYP87:11.24/24.65/275.65/TUUMOND
B0D99TQ2K3:8.97/22.94/205.72/BDFHYK
B0BBLJJSN9:8.47/22.99/194.75/Vipcar
B017AFT0IK:5.19/30.01/155.68/OAW
B000C2U7O0:4.12/32.5/132.88/Gates
B085CFCCQB:3.01/21.54/63.43/ADIGARAUTO
B0F3V42ZHF:2.69/22.48/60.15/KAYULONE
B0C1VC429G:2.04/22.46/45.75/CUGANO
B00829HSAQ:1.29/36.78/70.72/AISIN
B0H25X7RCB:0.33/20.99/7.0/Kax</t>
  </si>
  <si>
    <t>B000C9MABG:23.7/58.21/1378.51/ACDelco
B07D3XQS8B:10.36/32.88/340.16/A-Premium
B0DNLYQ4LR:8.11/37.15/301.2/ADIGARAUTO
B096VPGT2Z:5.2/23.81/185.6/TUCAREST
B086WXDXB7:2.16/71.34/155.77/TRQ
B0BVLPWB6G:1.61/14.25/68.76/Vipcar
B0143R0JDI:1.43/12.95/55.43/OAW
B001DKRE7S:1.16/26.7/92.68/GMB
B0CQ5FR2PJ:0.5/125.88/62.37/XYohykai
B019JE3NOM:0.03/91.47/2.35/Rareelectrical
B0BKG4185B:0.01/35.0/1.21/Solarhome</t>
  </si>
  <si>
    <t>B09M9P52RD:7.8/28.78/224.79/TUCAREST
B00498821S:2.1/68.28/143.57/Gates
B00KTL7HYM:0.89/267.85/224.7/Honda
B0H7YV3YN8:0.67/27.99/18.66/Philtop
B0F3D7DX6D:0.33/21.65/7.22/Kax
B0F3P4MKM8:0.23/28.62/6.61/CUGANO
B006R4BZKC:0.01/11.45/0.3/Beck/Arnley</t>
  </si>
  <si>
    <t>B097XPD29X:39.66/53.75/2136.16/A-Premium
B000C9IJDO:22.38/79.74/1778.56/ACDelco
B000C2U7HM:9.54/75.44/717.72/Gates
B09JG9MZ96:9.31/39.09/363.54/BRTEC
B096VN7NJC:8.78/38.75/341.32/TUCAREST
B0143PZLHE:5.98/40.6/242.77/OAW
B07JN1MSH5:4.7/37.86/175.58/SCITOO
B085CF3HLL:3.56/41.08/142.67/ADIGARAUTO
B08SMPQHRQ:3.26/42.38/133.19/TUUMOND
B0B42JZJ2K:3.12/45.67/143.08/Vipcar
B0FC6MMXG3:3.08/40.12/123.02/ECCPP
B000EQAVSQ:1.96/37.14/218.69/Motorcraft
B0DTTCFJ33:0.67/52.01/34.67/Kax
B0H7Z2GKL3:0.67/46.99/31.33/Philtop
B0GKFHPZBT:0.33/48.88/16.29/Torchbeam
B0BXWT74J5:0.26/51.99/13.42/IRONTEK
B0D53ZK67P:0.11/13.0/4.16/UNITHUB
B00TM2BLHI:0.1/45.31/6.65/DNJ
B09LCF82G5:0.02/18.94/0.88/MPLUS OE SOLUTION AUTOPARTS
B07X8Q6YZ3:0.01/19.52/0.34/Rareelectrical
B0B7KVPVD6:0.01/35.24/0.6/Sixity Auto</t>
  </si>
  <si>
    <t>B0CSRRQ5KD:85.86/60.84/5230.12/BDELI
B08LQPV6DV:40.24/61.13/2455.47/IRONTREE
B09JG8DKJC:26.59/66.95/1780.34/BRTEC
B07GLHZHRD:25.01/53.75/1313.51/A-Premium
B0CLLY7Q9X:23.32/48.34/1083.98/AULINK
B0DNMFJSJ5:20.67/57.85/1188.9/LEAPTIGER
B0FCS3CCH1:14.23/55.58/788.74/BasaltAuto
B096VLYB4R:11.12/57.55/641.96/TUCAREST
B0B1PLSD6H:6.01/84.55/508.31/Vipcar
B0143Q02EK:5.64/61.15/345.0/OAW
B0D53Y6PL1:4.68/54.99/257.27/UNITHUB
B085CFHBXC:2.97/67.5/203.03/ADIGARAUTO
B00TM29FDU:2.63/116.97/307.84/DNJ
B0FC6NHPXR:1.72/61.05/106.74/ECCPP
B0CXJ9TK25:1.55/36.53/169.81/REVO
B0H25RRN2S:1.33/94.99/126.65/Kax
B0CS69CPNX:1.13/61.99/70.19/AUTOSTARSHIP
B0BXWRWGW3:0.92/57.33/53.0/IRONTEK
B0FYCLMBF5:0.42/92.87/38.85/KAX
B0G3LDSMZZ:0.33/65.99/22.0/Philtop
B0H7YRSLYV:0.33/81.99/27.33/Philtop
B0DSW8RKJV:0.25/37.38/27.62/PHILTOP
B0FJS75PPF:0.04/43.58/2.33/SCITOO
B0DT65KCLL:0.02/59.25/1.42/Carock</t>
  </si>
  <si>
    <t>B097XQR5B5:13.78/51.39/708.29/A-Premium
B08T6YGGTP:9.24/75.91/699.61/NewYall
B09LQSG48X:8.79/44.72/392.97/TUCAREST
B0D53YLZPF:4.57/43.69/201.21/UNITHUB
B07B4YZ6VH:3.67/25.34/141.13/MOCA AUTOPARTS
B0DGLKWYR2:3.26/71.46/250.04/AUTOKAY
B0H25VX31T:0.67/46.99/31.33/Kax
B00JKWJEII:0.48/76.39/37.52/URO Parts
B0H7ZCXFFX:0.33/39.99/13.33/Philtop
B09HX1NJLZ:0.0/37.53/0.38/TRQ</t>
  </si>
  <si>
    <t>B0B7XBWNRP:4.17/21.33/143.91/A-Premium
B0F3DB8RCR:1.67/23.19/38.65/Kax
B09LHB143K:0.94/44.95/42.11/TRQ
B0D1XKWV3R:0.68/28.69/19.65/MOCA AUTOPARTS
B0H7YZ2JNL:0.33/16.99/5.66/Philtop
B09KZKP458:0.01/18.66/0.33/DNJ</t>
  </si>
  <si>
    <t>B0BK7T179S:6.57/35.17/232.21/BRTEC
B0DCK55FYH:4.39/45.58/199.76/A-Premium
B0BXSRXR1T:4.02/38.98/156.79/IRONTEK
B0F3D8SRBH:2.67/31.99/85.31/Kax
B000C2U79U:0.58/12.93/22.37/Gates
B0H7YW21X4:0.33/33.99/11.33/Philtop</t>
  </si>
  <si>
    <t>B09YNGQMZQ:5.88/29.38/309.2/ADIGARAUTO
B0DWZXVF8K:5.57/29.25/162.32/KAYULONE
B08JCTJJFL:5.05/34.52/175.22/TUUMOND
B015R1EH0A:0.79/36.52/43.05/AISIN
B0F3D6TMXP:0.33/24.99/8.33/Kax
B00BJNTGYI:0.07/98.98/7.09/HYUNDAI
B0FW3XZTX4:0.03/25.47/1.15/MOCA AUTOPARTS</t>
  </si>
  <si>
    <t>B008EEYXX4:3.05/75.5/231.12/AISIN
B0F388KR8S:0.33/33.99/11.33/Kax</t>
  </si>
  <si>
    <t>B0B7XC3L58:6.58/79.0/521.47/A-Premium
B0080DEM58:5.39/169.43/912.0/Motorcraft
B082WNCXVT:5.05/122.91/626.42/DNJ
B09Q8WF4HY:4.46/35.99/149.0/A-Premium
B0B7X96Q38:2.19/88.89/194.26/A-Premium
B0FHWN5BS7:1.93/24.99/48.3/UNITHUB
B09J83TJ4N:0.19/19.98/11.18/TRQ
B0DZ24JQ5T:0.04/81.95/2.97/Marketplace Auto Parts</t>
  </si>
  <si>
    <t>B09GLWCT51:10.24/30.22/309.43/TUCAREST
B097XL9WF8:7.68/30.27/232.47/A-Premium
B0FLDJ2LRB:5.89/24.46/143.5/REVO
B0CC53W2QK:3.93/28.99/114.02/LDMINDA
B0B5T6XD37:3.37/32.57/109.28/Vipcar
B08SMP544H:3.15/21.42/101.94/TUUMOND
B01F5XN4FE:2.4/35.54/109.62/OAW
B001C9BZSO:2.05/39.99/81.84/Gates
B0D9Q1VSX4:1.29/28.61/36.89/UNITHUB
B09HX22C7C:0.83/69.95/58.04/TRQ
B004JB57FE:0.06/34.96/2.94/ACDelco</t>
  </si>
  <si>
    <t>B085CF3MM4:6.61/22.85/150.22/ADIGARAUTO
B000C2S6AM:4.47/37.99/169.76/Gates
B0BQ9ZD4FT:2.81/21.1/58.65/CUGANO
B0F3V4H6KV:2.65/20.76/54.68/KAYULONE
B097XC4GMT:1.89/25.41/47.88/A-Premium
B0143PZHV4:1.84/26.96/48.34/OAW
B08SMPLC6G:0.7/7.62/15.97/TUUMOND
B0HBR3GFD8:0.33/16.54/5.51/Kax</t>
  </si>
  <si>
    <t>B01IU5D7HE:41.25/182.86/7520.0/ACDelco
B000IYZGI4:19.88/103.08/2047.45/ACDelco
B07D3XYPN1:16.33/15.66/767.5/A-Premium
B004986WM4:8.02/131.45/1052.02/Gates
B000Q0TDUW:2.88/44.63/192.71/Gates
B08Y5ZXPKK:2.13/327.95/699.3/KB Diesel Performance LLC
B0H7Z8S2K4:1.0/45.99/45.99/Philtop
B0HBQY82X5:0.67/38.34/25.56/Kax
B0014HD4WY:0.31/52.91/48.77/GM GENUINE PARTS
B09HX52LYG:0.19/24.65/13.8/TRQ</t>
  </si>
  <si>
    <t>B01M4KU381:6.33/43.97/278.53/DNJ
B0DBQ6FD2L:1.88/41.11/78.97/A-Premium
B009NQ97XS:1.67/41.35/114.34/Beck/Arnley
B0H7ZH3NW1:0.33/21.99/7.33/Philtop
B0C3LLH1JL:0.19/16.29/4.72/nan</t>
  </si>
  <si>
    <t>B0DKX9VPXC:7.04/38.23/265.11/A-Premium
B000EQ726A:3.65/37.43/136.74/Gates
B00TM2DCTI:2.1/45.97/96.32/DNJ
B0HBQF6SH4:1.67/22.99/38.32/Philtop
B06XP5CJ97:1.33/24.89/32.75/ECCPP
B0B7X8DRGM:0.58/29.99/17.47/A-Premium
B0HBQRMB2M:0.33/23.53/7.84/Kax
B09HX7WW17:0.24/16.65/11.95/TRQ
B0D3KKRLKH:0.06/16.3/1.4/SCITOO</t>
  </si>
  <si>
    <t>B07D3YXKFD:19.84/20.66/666.23/A-Premium
B0B62J5X41:3.49/19.4/101.69/MOCA AUTOPARTS
B07DPGXQ34:1.79/27.99/50.15/YHTAUTO
B0HBQD4VTK:0.33/17.99/6.0/Philtop
B0HBQX31X3:0.33/18.32/6.11/Kax
B000C2U70Y:0.1/38.57/5.29/Gates
B0B14GTMLT:0.03/17.46/0.69/MPLUS OE SOLUTION AUTOPARTS
B0143PZMRI:0.01/8.66/0.29/OAW</t>
  </si>
  <si>
    <t>B0D22QFRBK:7.19/35.3/252.15/A-Premium
B000C2U7TA:3.52/15.98/168.94/Gates
B0HBQBBJ38:0.33/23.99/8.0/Philtop
B0HBR3DJTR:0.33/24.77/8.26/Kax
B078XFTRJH:0.09/19.51/2.77/MOCA AUTOPARTS
B0CBTDH3GX:0.02/19.87/0.47/MAXWIN
B000C33ZGG:0.01/13.19/0.46/GMB
B09SH4TTPW:0.01/9.8/0.34/WINBEST</t>
  </si>
  <si>
    <t>B09SKRFYSQ:11.51/25.86/297.66/AUQDD
B0DFTT62K6:6.77/27.31/185.22/TUUMOND
B000P4WEPU:6.04/30.68/277.73/GMB
B0C77BKG17:4.38/26.99/118.32/ADIGARAUTO
B00TM2AUWK:1.19/48.57/57.79/DNJ
B003YMM8E2:0.49/91.62/45.22/Gates
B0DX24LFTT:0.24/26.68/6.46/CUGANO</t>
  </si>
  <si>
    <t>B000C9NRUE:11.8/146.73/1728.5/ACDelco
B000C2S6FC:10.55/95.06/1003.98/Gates
B0DHGZPNHY:2.85/62.53/179.06/TEKKOAUTO
B0B7XBS1RG:2.21/95.77/212.02/A-Premium
B00TM2E14S:1.82/112.32/204.47/DNJ
B0HDZGF616:0.67/77.99/51.99/Philtop
B07PQ84BK6:0.09/24.95/6.81/nan</t>
  </si>
  <si>
    <t>B0CZDFRDRP:9.18/71.99/660.93/AULINK
B000C9LI2I:8.45/144.87/1220.4/ACDelco
B09Q8V25YQ:4.77/94.31/451.69/A-Premium
B000C2S6IE:1.88/68.85/193.74/Gates
B0HDZJGX22:1.67/79.99/133.32/Philtop</t>
  </si>
  <si>
    <t>B0CZ5VTL8N:5.53/37.0/203.17/A-Premium
B07NPJ4WQ3:4.78/28.39/135.77/ECCPP
B000C9KLOO:4.34/37.47/161.87/ACDelco
B000C2U7XG:0.65/26.7/23.75/Gates
B0HDZG4DF3:0.33/28.99/9.66/Kax
B0HDZK5GJD:0.33/19.99/6.66/Philtop
B017AFT5CQ:0.27/39.0/10.44/OAW
B0CW3F8TBJ:0.03/19.32/0.9/SCITOO</t>
  </si>
  <si>
    <t>B000C9IV3W:8.24/45.82/377.66/ACDelco
B0B7X8CGWY:8.08/25.33/306.96/A-Premium
B000C2S67A:2.99/57.49/171.91/Gates
B0FC6NLWZV:1.81/34.61/61.05/ECCPP
B0HDZK68JP:1.33/30.99/41.32/Philtop
B0CBTFBWM9:0.74/11.53/25.61/MAXWIN
B0792NTGVF:0.01/12.31/0.43/nan</t>
  </si>
  <si>
    <t>B097XNWPZH:4.05/39.38/158.16/A-Premium
B0D2LFKLKY:0.88/35.62/31.48/INFINAUTO
B000C2S79C:0.76/23.99/18.05/Gates
B0HDZKQH54:0.67/17.99/11.99/Philtop
B07M68K2PX:0.59/16.84/14.99/MOCA AUTOPARTS
B0DS44GHZD:0.06/47.26/2.84/Motoforti
B08JGP3MVH:0.03/8.9/0.69/nan</t>
  </si>
  <si>
    <t>B0B7X8P4K5:10.09/31.61/318.92/A-Premium
B0171KSG02:2.46/51.7/126.97/AISIN
B0HDZNTK59:0.33/24.99/8.33/Kax
B01N7L6G3F:0.31/9.96/9.25/OAW
B00IU70JZQ:0.3/35.37/17.65/Gates</t>
  </si>
  <si>
    <t>B0BPMMV4XH:7.19/9.43/203.33/Vipcar
B0D1GHJDPB:5.89/32.91/194.71/A-Premium
B017AFSXA6:0.96/30.65/30.42/OAW
B0HDZJ9F1Q:0.33/31.99/10.66/Kax
B0CBTCR9G8:0.09/19.32/2.63/MAXWIN
B001KSG29Y:0.04/72.39/3.01/ACDelco
B001FGQ9WG:0.02/14.93/0.75/Gates</t>
  </si>
  <si>
    <t>B0B7X6ZFSB:38.08/44.84/1707.27/A-Premium
B01F5XN3Z0:16.07/60.54/972.41/OAW
B01F5XN0T4:6.34/51.57/325.36/OAW
B000C2W8LA:5.21/68.5/357.19/Gates
B0DCK3TM3P:4.65/69.71/320.5/A-Premium
B0DG5G3WX4:3.36/42.79/142.87/UNITHUB
B0HDZN953P:0.33/51.99/17.33/Philtop</t>
  </si>
  <si>
    <t>B0B42F6VY1:4.31/43.18/186.32/Vipcar
B008EEYXYS:3.04/99.93/325.44/AISIN
B098JX3DQ7:2.6/30.66/119.64/A-Premium
B00IGZQ2QM:0.78/128.7/101.42/Subaru
B0HDZNRM3K:0.67/38.99/25.99/Philtop
B09JRW6L8P:0.19/16.65/9.32/TRQ</t>
  </si>
  <si>
    <t>B09Q8WY4SG:3.75/37.14/139.29/A-Premium
B0178I9HFK:1.65/36.89/60.99/OAW
B08G4N143M:0.03/18.72/0.76/MPLUS OE SOLUTION AUTOPARTS
B00CMWFYSM:0.02/25.66/1.68/AISIN</t>
  </si>
  <si>
    <t>B000C9IJSO:10.49/145.56/1527.82/ACDelco
B000C2U7KO:8.05/97.54/785.95/Gates
B0B42HV248:5.71/87.9/500.34/Vipcar
B00TM2EOR2:1.45/111.71/161.51/DNJ
B0DHQQSH7F:0.55/81.05/45.68/Sawyer Auto
B0HDZPCXVM:0.33/79.99/26.66/Philtop
B09Q8WHTVR:0.3/82.71/24.77/A-Premium</t>
  </si>
  <si>
    <t>B000C2U7HW:3.07/35.31/109.74/Gates
B000C9NRMC:1.53/48.43/75.47/ACDelco
B0HDZPJ7ST:1.0/32.99/32.99/Philtop
B0DLGS54KS:0.62/40.99/25.46/A-Premium
B0HDZNL8VL:0.33/59.99/20.0/Kax
B000P4S7U6:0.01/16.28/0.69/GMB</t>
  </si>
  <si>
    <t>B000C9IIHQ:3.48/38.51/133.99/ACDelco
B0B7X9J8RP:3.21/43.55/137.96/A-Premium
B078HCR64C:2.03/30.71/62.25/MOCA AUTOPARTS
B0HDZQ54SR:0.33/30.99/10.33/Philtop
B0FSZ47FM9:0.05/35.07/1.69/MOCA AUTOPARTS
B07STYZM88:0.01/12.26/0.38/Carock</t>
  </si>
  <si>
    <t>B09MQS1BNT:35.98/90.98/3273.57/Vahaha
B0DMVBJ2C2:22.48/102.07/2302.0/GZGN
B0CZ74Y7HW:20.41/196.99/4706.48/A-Premium
B0F2Q9Z7VQ:2.23/358.32/806.07/Dorman
B0HDZQKB2K:0.33/169.99/56.66/Philtop
B08PDQ6GDL:0.05/653.15/31.96/Pierburg</t>
  </si>
  <si>
    <t>B0CXXHWRV7:13.6/38.49/521.93/A-Premium
B07GX6HGL7:0.54/55.97/30.18/DNJ
B00HHNGZVQ:0.04/56.15/3.21/Beck/Arnley</t>
  </si>
  <si>
    <t>B0D9Q11N6T:5.56/37.49/208.06/UNITHUB
B097XYSHMW:1.72/51.94/89.14/A-Premium
B09K39678G:0.01/17.66/0.67/Garage-Pro</t>
  </si>
  <si>
    <t>B085CF72TJ:13.51/21.27/516.23/nan
B07RPSGM2B:8.74/23.21/203.15/MACEL
B0F9DYCWD3:5.51/23.99/132.28/ECCPP
B000C9NGPU:5.37/40.94/219.72/ACDelco
B00TM2E0NA:5.18/32.65/253.48/DNJ
B08L391J4Z:3.42/23.81/81.57/TUUMOND
B0B42L6WC2:0.66/9.5/18.94/Vipcar
B08MVTC4WL:0.2/16.65/9.9/TRQ</t>
  </si>
  <si>
    <t>B0C77HBN3G:3.65/19.74/105.45/ADIGARAUTO
B00TM2ALVA:2.68/58.86/157.68/DNJ
B0F3V3C1RN:1.93/26.81/51.49/KAYULONE
B0D6BGLCHT:1.04/25.73/26.57/TUUMOND
B097XXB4Z9:0.76/11.0/25.19/A-Premium
B0CGN5TX23:0.25/27.62/6.89/TUCAREST
B09HWV4WZD:0.24/22.28/15.99/TRQ
B09XBCJVZV:0.1/9.74/2.84/AUQDD</t>
  </si>
  <si>
    <t>B000C2S670:17.24/39.5/676.24/Gates
B08L37LBX8:8.35/23.98/300.21/TUUMOND
B0BQ93MGLD:6.06/34.68/212.55/CUGANO</t>
  </si>
  <si>
    <t>B000C2S69I:14.32/50.46/722.82/Gates
B0DKHYV3YW:2.56/34.99/89.67/Vipcar
B000C9LQXE:1.12/35.32/59.23/ACDelco
B000P4WXWO:0.57/36.0/30.73/GMB</t>
  </si>
  <si>
    <t>B0843TFQQ5:3.61/29.92/107.97/OAW
B0CLRVQT79:2.36/26.77/63.37/MOCA AUTOPARTS
B09Q8WQRDP:1.83/10.66/58.4/A-Premium
B0CNB9V2R9:1.26/41.37/52.09/Marketplace Auto Parts
B0CLC7ZZ3M:0.68/26.03/17.8/MPLUS OE SOLUTION AUTOPARTS
B00498B9KY:0.46/48.93/22.52/Gates
B0DRWDGB5S:0.04/67.1/2.37/Sixity Auto
B005VZXW54:0.01/16.93/0.54/Beck/Arnley</t>
  </si>
  <si>
    <t>B0843SP47Z:4.26/41.74/321.3/OAW
B004986WPG:3.24/72.78/235.66/Gates
B0DZCRYZL3:0.95/75.0/71.22/TCINDRR
B001KSATTI:0.26/51.73/13.64/Beck/Arnley
B00TM2B8OY:0.02/21.32/1.58/DNJ</t>
  </si>
  <si>
    <t>B0B7XD31SX:16.8/42.48/713.11/A-Premium
B07XSK482P:0.02/64.8/2.16/Rareelectrical</t>
  </si>
  <si>
    <t>B0CZ6VWJ28:2.63/47.15/124.98/A-Premium
B008EEZ88I:1.33/105.95/222.5/AISIN
B006R4BY80:0.01/50.99/0.91/Beck/Arnley</t>
  </si>
  <si>
    <t>B000EPZBFA:33.36/39.59/1318.34/Gates
B000C9NP38:3.4/53.11/179.55/ACDelco
B0DM9BQLM3:3.03/53.87/164.55/A-Premium
B000P4S8DM:2.02/44.89/90.95/GMB
B000JYMELK:1.54/69.02/105.25/GMB
B000N21PVI:1.08/112.04/123.73/Milodon
B004L2UKF8:0.79/150.73/118.57/PRW
B07XZG9TX1:0.1/31.27/9.41/Rareelectrical
B0D4FCWR61:0.01/28.32/1.21/Mizumo Auto
B07XZGPNJ4:0.01/31.27/1.08/Rareelectrical</t>
  </si>
  <si>
    <t>B097XT4N24:23.33/27.33/961.67/A-Premium
B00829HSP6:17.7/86.71/1538.05/AISIN
B096VJLWPT:9.45/26.22/247.72/TUCAREST
B009G4BXA2:7.53/171.98/1294.61/Honda
B0B5T9B9X3:7.47/34.99/261.21/Vipcar
B08SMNX331:5.63/31.84/178.47/TUUMOND
B001C9BZKM:4.44/55.78/247.81/Gates
B0D53WTH2B:2.48/18.11/134.9/UNITHUB
B09HWX6P21:0.94/58.65/56.03/TRQ
B0844FPBX4:0.44/39.89/17.54/OAW</t>
  </si>
  <si>
    <t>B0B7X9MZNB:8.65/22.16/191.81/A-Premium
B0D53XDF74:3.92/19.8/77.7/UNITHUB
B00829HR0W:3.87/41.78/161.5/AISIN
B09JKHF9BD:3.05/13.33/60.87/BOXI
B000C9NGM8:0.31/22.51/7.18/ACDelco</t>
  </si>
  <si>
    <t>B008EEZ1VM:0.17/115.83/20.14/AISIN
B00TM2B5IS:0.11/37.31/5.91/DNJ
B097XG5RXG:0.09/18.66/5.27/A-Premium
B002ZY6SSM:0.04/85.41/3.58/Gates
B08C9MKFCF:0.03/11.14/0.9/MPLUS OE SOLUTION AUTOPARTS</t>
  </si>
  <si>
    <t>B09Q8X6196:9.88/34.99/579.24/A-Premium
B0F1FMSVZC:5.93/44.19/262.7/Orceed
B01F5XN6UM:3.98/64.28/313.23/OAW
B0049CJI1W:2.03/87.01/178.1/ACDelco
B086WXKDSW:0.81/60.4/48.33/TRQ
B0HH8CKQPQ:0.33/37.99/12.66/Philtop</t>
  </si>
  <si>
    <t>B0D9PZP1LX:8.56/20.37/173.86/UNITHUB
B0B5T9MJJX:7.07/24.99/176.63/Vipcar
B000C2U7Q8:4.01/49.14/197.05/Gates
B0DBQBFS65:1.14/19.82/23.05/A-Premium
B008EEYZKU:0.91/38.33/34.91/AISIN
B017AFSWYS:0.0/18.59/0.13/OAW</t>
  </si>
  <si>
    <t>B07CJF9F6M:24.98/164.75/4113.21/ACDelco
B0C9WVQS3L:5.85/77.35/451.83/Vipcar
B08SMKD8JP:5.43/43.07/234.05/TUUMOND
B07D3XW37Z:2.22/16.0/106.36/A-Premium
B0049CEPM4:1.68/164.59/276.74/ACDelco
B08Y5X8C3C:1.22/338.95/413.84/KB Diesel Performance LLC
B08B3CCBTP:0.94/74.88/70.1/TRQ
B0HH8J82RJ:0.67/38.99/25.99/Philtop
B07MKZH95B:0.01/103.65/4.63/KB Diesel Performance LLC
B0FFT4B4Y7:0.01/77.02/0.69/AMMOPCWTPC</t>
  </si>
  <si>
    <t>B0843SRSJZ:8.03/30.63/244.53/OAW
B0B7X9WGT1:0.88/19.96/52.4/A-Premium
B001KSATYS:0.32/29.19/14.04/Beck/Arnley</t>
  </si>
  <si>
    <t>B0143Q01W8:36.79/81.38/2996.42/OAW
B0C5RJ5Y15:32.83/64.66/3182.34/A-Premium
B0CM8M8YBZ:7.5/91.08/679.97/Woosphy
B000C2S6IY:7.02/110.62/769.57/Gates
B0D2CRGYK7:2.92/29.6/259.61/YOMALL
B0B1P21YFH:2.2/103.23/227.81/Vipcar
B07F9W9LZL:1.79/98.99/177.65/YHTAUTO
B0C9T7F6DK:1.61/103.08/216.95/INGKAN
B00TM2DY32:1.1/94.65/155.65/DNJ
B09JKC7HGF:0.8/51.99/62.58/BOXI
B08MVVM6JF:0.19/51.65/29.11/TRQ
B0FC6S3WTY:0.15/80.11/11.26/ECCPP</t>
  </si>
  <si>
    <t>B000C2U6XM:14.48/43.19/619.87/Gates
B0DDTRP5NN:12.58/18.3/690.61/A-Premium
B0CZ6SGDLC:4.25/47.12/200.33/A-Premium
B0HH87S2H2:0.33/43.99/14.66/Kax
B000C9IVDM:0.3/10.87/9.63/ACDelco
B07XMHM8PG:0.02/20.32/1.26/DNJ</t>
  </si>
  <si>
    <t>B0BCQRGLJ5:5.23/38.45/201.23/A-Premium
B0HH8SV1JL:0.33/23.99/8.0/Kax
B0D2ZSZQ75:0.1/7.89/2.45/MOCA AUTOPARTS
B07XZFLF7P:0.02/31.81/1.55/Rareelectrical</t>
  </si>
  <si>
    <t>B0D9Q16Q5P:28.2/28.45/801.02/UNITHUB
B000C2S6DE:17.12/35.06/601.69/Gates
B098JVTN3X:14.88/43.06/641.81/A-Premium
B09GLXLWWF:10.15/27.52/279.28/TUCAREST
B000JZI21U:7.96/98.41/782.13/Motorcraft
B000C9KK86:7.58/47.1/357.06/ACDelco
B085CFG9SS:7.55/29.78/224.94/ADIGARAUTO
B09V13D368:5.18/28.93/150.12/KEYOOG
B08SMPWXKD:4.31/9.61/124.26/TUUMOND
B00TM2B2MW:3.47/33.98/176.96/DNJ
B07NPM62ZT:2.03/30.22/60.98/ECCPP
B0B42HGKFG:2.02/31.73/62.83/Vipcar
B07M9R86H3:1.78/29.5/50.12/cciyu
B09HX16GLH:0.8/43.3/51.87/TRQ
B0143PZQQA:0.11/22.66/3.71/OAW
B000C6SOG4:0.11/19.94/2.83/GMB</t>
  </si>
  <si>
    <t>B09WQC5P8S:1.95/31.98/112.56/OAW
B0CZ73CG8T:1.78/27.93/49.37/A-Premium
B01M3RLUZ7:0.18/67.97/12.52/DNJ
B09K3YPTPP:0.01/12.81/0.2/Garage-Pro
B09DNZZRD3:0.01/23.94/0.18/MPLUS OE SOLUTION AUTOPARTS</t>
  </si>
  <si>
    <t>B09Q8VTCYF:4.85/84.24/407.25/A-Premium
B0031GZ8L6:0.37/59.19/32.88/Gates
B0DKNL37CX:0.07/71.99/4.99/Vipcar
B094QN3TKT:0.0/17.49/0.13/RYNCO</t>
  </si>
  <si>
    <t>B019ND498S:9.85/48.67/477.31/OAW
B008EEZ8B0:9.8/111.3/1082.33/AISIN
B0B5T98RLY:6.44/49.99/322.16/Vipcar
B097XC2SPJ:5.42/53.21/283.02/A-Premium
B00TM2BZG0:1.77/66.34/115.95/DNJ
B086WX2FHK:1.19/84.85/100.6/TRQ
B000C2Y18S:0.4/92.53/36.94/Gates
B00FZPQ4NC:0.09/47.15/12.05/Toyota
B08GL6BLGG:0.01/28.11/0.46/MPLUS OE SOLUTION AUTOPARTS</t>
  </si>
  <si>
    <t>B09GLWNKKG:8.36/53.22/444.94/TUCAREST
B097Y218W7:5.45/57.03/311.75/A-Premium
B0C77GH8KP:4.06/16.48/200.76/ADIGARAUTO
B0F3V2YQ9W:3.4/45.98/156.25/KAYULONE
B0B42J49CV:3.11/48.27/148.18/Vipcar
B0D495S38H:2.12/46.91/99.49/MAXWIN
B0DC6CBMTS:1.98/46.93/93.26/CUGANO
B07G8ZNZQ8:0.46/48.57/21.88/ECCPP
B086WY6KGW:0.19/26.32/14.83/TRQ</t>
  </si>
  <si>
    <t>B0143Q08R6:16.8/33.35/560.82/OAW
B0C77GGJ3Q:11.04/31.12/343.83/ADIGARAUTO
B097XQNRSW:7.91/32.99/260.81/A-Premium
B0D8T6J8WQ:7.34/29.99/220.14/TUUMOND
B003YMPO0M:4.64/55.29/385.15/Gates
B004SFTHJ8:3.52/123.03/433.73/ACDelco
B07MX6JLSV:2.0/30.99/62.1/ECCPP
B00TM2EOPY:1.52/56.83/85.14/DNJ
B0BXSSKCS4:0.58/9.5/16.57/IRONTEK
B0014HB7M8:0.23/104.34/24.03/GM GENUINE PARTS
B09HWZN6FK:0.13/23.32/9.12/TRQ
B0DMN4Y4J3:0.08/30.81/2.4/MOCA AUTOPARTS</t>
  </si>
  <si>
    <t>B00DUR62KM:10.24/100.36/1030.66/AISIN
B0BBLD3Z4S:6.21/42.99/269.19/Vipcar
B0B7XB8P1C:1.87/49.6/91.74/A-Premium
B0HH8CFZ2R:0.33/45.99/15.33/Philtop
B082WNJSKV:0.09/85.31/10.89/DNJ</t>
  </si>
  <si>
    <t>B008EEYZ96:4.91/44.78/219.88/AISIN
B017AFSVHQ:2.84/31.25/89.06/OAW
B0F2N3KKP1:0.86/28.98/25.99/A-Premium
B000C2S6MA:0.28/45.94/12.95/Gates
B00TM2CTUG:0.25/36.97/9.26/DNJ
B07CR35NXP:0.05/14.29/0.99/nan</t>
  </si>
  <si>
    <t>B001KSG24Y:414.34/131.8/54620.52/ACDelco
B08D7MC46Z:191.32/89.49/17128.67/OAW
B0DGLFPYBJ:161.71/83.02/13236.46/BDELI
B0C5RJ5Y33:157.52/90.92/14269.18/A-Premium
B097XMY2PP:101.95/81.56/8264.24/A-Premium
B07GPJYSHL:64.09/73.99/4742.09/JDMSPEED
B07TCJLVK6:64.06/84.15/5384.61/OAW
B0FJQKZJ3M:63.02/89.79/5658.25/JkorkM
B0DFL4881V:40.58/82.13/3346.73/Topfurn
B07JNSVWJR:31.83/70.19/2234.86/SCITOO
B000C2U7M2:30.46/76.79/2954.78/Gates
B0FCS4MJMZ:25.47/79.47/2023.02/BasaltAuto
B0CY4XYTRM:14.47/90.99/1316.87/JDMSPEED
B0CW5WY78S:14.47/22.14/960.9/Carock
B0D17TLTFX:14.3/69.78/955.61/AUTOSTARSHIP
B0CG9R245K:12.25/79.69/975.97/EvTok
B0CG9NJY3H:11.52/89.69/1033.0/EvTok
B096VM32QB:10.12/73.82/747.21/TUCAREST
B0BVYTLHP5:8.76/83.36/713.94/Rritess
B07HG2533S:8.73/74.1/647.07/ECCPP
B07KKGFJ98:8.31/81.12/676.75/MOSTPLUS
B08N3D821V:7.86/143.37/1442.58/GM GENUINE PARTS
B0FC26MRTJ:6.92/79.24/551.38/EMTMOUN
B0F9F5RLD4:6.67/66.98/446.02/EMTMOUN
B0DXDTG6DT:5.11/59.99/306.6/Maxfavor
B09V132MTP:5.04/75.83/381.9/KEYOOG
B0F12KB81Y:3.86/72.15/279.98/NewYall
B0C4GFWTJH:3.61/78.56/281.32/ADIGARAUTO
B0BXSQK2KR:1.9/92.83/175.26/IRONTEK
B0DX272C79:1.7/75.66/128.35/Carock
B0G3LJC955:1.67/76.79/127.98/Philtop
B00496Y4IK:1.59/201.87/322.0/AC Delco
B0CF8365FS:0.98/89.99/87.91/IRONTEK
B0DXDYST6D:0.92/76.66/70.15/Maxfavor
B0DX26B6BV:0.69/75.35/51.79/Carock
B0H7YKPJSW:0.67/95.99/63.99/Philtop
B0DXC4LJXH:0.5/76.99/38.5/Carock
B0B5T9L3Z8:0.45/105.1/44.71/Vipcar
B0DXDWSQQK:0.32/80.99/25.81/Maxfavor
B0DG5FWP4G:0.29/82.99/24.13/UNITHUB
B0DXDYVNFH:0.26/78.14/20.15/Maxfavor
B0DYNS66Z5:0.23/73.99/16.86/RYNCO
B0CNX4Y2VX:0.22/53.33/17.56/CUGANO
B001DKQL6I:0.2/62.18/18.46/GMB
B0DXDW3Q5X:0.06/76.35/4.45/Maxfavor
B0DXBPJG2C:0.05/78.99/3.98/Carock
B0DXBQWLVY:0.04/79.44/3.32/Carock
B0FBWP411Y:0.04/77.99/3.03/EXPEDE</t>
  </si>
  <si>
    <t>B09Q8YFYDR:2.22/44.55/99.28/A-Premium
B019ND3PZG:1.58/30.73/46.77/OAW
B0H7YXDXBV:1.33/25.99/34.65/Philtop
B00829I0SA:1.31/36.92/72.38/AISIN
B0F3D6T4YR:0.33/23.99/8.0/Kax</t>
  </si>
  <si>
    <t>日期</t>
  </si>
  <si>
    <t>仓库名称</t>
  </si>
  <si>
    <t>仓库类型</t>
  </si>
  <si>
    <t>站点</t>
  </si>
  <si>
    <t>区域</t>
  </si>
  <si>
    <t>品线</t>
  </si>
  <si>
    <t>系列</t>
  </si>
  <si>
    <t>型号</t>
  </si>
  <si>
    <t>商品状态</t>
  </si>
  <si>
    <t>平台SKU</t>
  </si>
  <si>
    <t>SKU</t>
  </si>
  <si>
    <t>产品编码</t>
  </si>
  <si>
    <t>尾程类型</t>
  </si>
  <si>
    <t>可用库存</t>
  </si>
  <si>
    <t>可售库存</t>
  </si>
  <si>
    <t>不可售库存</t>
  </si>
  <si>
    <t>待上架库存</t>
  </si>
  <si>
    <t>头程在途</t>
  </si>
  <si>
    <t>采购在途（剩余订单）</t>
  </si>
  <si>
    <t>总库存数量</t>
  </si>
  <si>
    <t>总库存金额</t>
  </si>
  <si>
    <t>采购单价</t>
  </si>
  <si>
    <t>品牌名称</t>
  </si>
  <si>
    <t>产品分类</t>
  </si>
  <si>
    <t>是否VC锁定</t>
  </si>
  <si>
    <t>仓库所在国家</t>
  </si>
  <si>
    <t>开发人员</t>
  </si>
  <si>
    <t>单箱数量</t>
  </si>
  <si>
    <t>US22</t>
  </si>
  <si>
    <t>US</t>
  </si>
  <si>
    <t>配件</t>
  </si>
  <si>
    <t>2EWP0830</t>
  </si>
  <si>
    <t>Others</t>
  </si>
  <si>
    <t>否</t>
  </si>
  <si>
    <t>李莉玲</t>
  </si>
  <si>
    <t>2EWP0930</t>
  </si>
  <si>
    <t>淘汰</t>
  </si>
  <si>
    <t>6879EWP015AUS</t>
  </si>
  <si>
    <t>B0G3LJC955</t>
  </si>
  <si>
    <t>2EWP0150</t>
  </si>
  <si>
    <t>2EWP0600</t>
  </si>
  <si>
    <t>7744EWP1127US</t>
  </si>
  <si>
    <t>B0G3LKS8KV</t>
  </si>
  <si>
    <t>2EWP1120</t>
  </si>
  <si>
    <t>2051EWP056VUS</t>
  </si>
  <si>
    <t>B0G3LHYVT1</t>
  </si>
  <si>
    <t>2EWP0560</t>
  </si>
  <si>
    <t>2EWP1600</t>
  </si>
  <si>
    <t>KAC</t>
  </si>
  <si>
    <t>2EWP1150</t>
  </si>
  <si>
    <t>2EWP0440</t>
  </si>
  <si>
    <t>2CLK0500</t>
  </si>
  <si>
    <t>ZonCar</t>
  </si>
  <si>
    <t>2EWP0540</t>
  </si>
  <si>
    <t>2EWP0210</t>
  </si>
  <si>
    <t>2EWP0870</t>
  </si>
  <si>
    <t>2EWP0100</t>
  </si>
  <si>
    <t>2897EWP002ZUS</t>
  </si>
  <si>
    <t>B0G3LF8BPT</t>
  </si>
  <si>
    <t>2EWP0020</t>
  </si>
  <si>
    <t>2EWP0140</t>
  </si>
  <si>
    <t>2EWP2450</t>
  </si>
  <si>
    <t>2EWP0840</t>
  </si>
  <si>
    <t>2EWP2500</t>
  </si>
  <si>
    <t>2EWP0300</t>
  </si>
  <si>
    <t>2EWP2720</t>
  </si>
  <si>
    <t>2EWP1010</t>
  </si>
  <si>
    <t>6401EWP028PUS</t>
  </si>
  <si>
    <t>B0G3LGXDNJ</t>
  </si>
  <si>
    <t>2EWP0280</t>
  </si>
  <si>
    <t>2EWP0970</t>
  </si>
  <si>
    <t>2EWP1140</t>
  </si>
  <si>
    <t>2EWP1700</t>
  </si>
  <si>
    <t>2EWP1870</t>
  </si>
  <si>
    <t>2EWP1070</t>
  </si>
  <si>
    <t>2EWP0960</t>
  </si>
  <si>
    <t>6425EWP026HUS</t>
  </si>
  <si>
    <t>B0G3LGZ91H</t>
  </si>
  <si>
    <t>2EWP0260</t>
  </si>
  <si>
    <t>2EWP2250</t>
  </si>
  <si>
    <t>2EWP0480</t>
  </si>
  <si>
    <t>2EWP0310</t>
  </si>
  <si>
    <t>2EWP1090</t>
  </si>
  <si>
    <t>2EWP0040</t>
  </si>
  <si>
    <t>3697EWP098RUS</t>
  </si>
  <si>
    <t>B0G3LGWLRK</t>
  </si>
  <si>
    <t>2EWP0980</t>
  </si>
  <si>
    <t>2CLK0490</t>
  </si>
  <si>
    <t>2EWP0770</t>
  </si>
  <si>
    <t>2EWP1110</t>
  </si>
  <si>
    <t>2EWP0780</t>
  </si>
  <si>
    <t>2EWP0660</t>
  </si>
  <si>
    <t>2EWP0270</t>
  </si>
  <si>
    <t>2EWP1030</t>
  </si>
  <si>
    <t>2EWP0180</t>
  </si>
  <si>
    <t>2EWP0240</t>
  </si>
  <si>
    <t>2CLK0530</t>
  </si>
  <si>
    <t>2EWP1190</t>
  </si>
  <si>
    <t>2EWP0530</t>
  </si>
  <si>
    <t>2EWP0850</t>
  </si>
  <si>
    <t>2EWP0820</t>
  </si>
  <si>
    <t>2EWP1570</t>
  </si>
  <si>
    <t>2EWP0750</t>
  </si>
  <si>
    <t>2EWP0390</t>
  </si>
  <si>
    <t>2EWP0550</t>
  </si>
  <si>
    <t>2EWP0130</t>
  </si>
  <si>
    <t>2EWP1130</t>
  </si>
  <si>
    <t>2EWP0290</t>
  </si>
  <si>
    <t>2EWP0710</t>
  </si>
  <si>
    <t>2EWP2490</t>
  </si>
  <si>
    <t>2EWP0730</t>
  </si>
  <si>
    <t>2EWP2590</t>
  </si>
  <si>
    <t>2EWP2510</t>
  </si>
  <si>
    <t>5029EWP013YUS</t>
  </si>
  <si>
    <t>B0G3LJ3RK6</t>
  </si>
  <si>
    <t>2EWP0340</t>
  </si>
  <si>
    <t>清库</t>
  </si>
  <si>
    <t>2EWP0190</t>
  </si>
  <si>
    <t>2CLK0410</t>
  </si>
  <si>
    <t>2EWP2280</t>
  </si>
  <si>
    <t>2EWP0800</t>
  </si>
  <si>
    <t>9641EWP0037US</t>
  </si>
  <si>
    <t>B0G3LLBW7Y</t>
  </si>
  <si>
    <t>2EWP0030</t>
  </si>
  <si>
    <t>2EWP1890</t>
  </si>
  <si>
    <t>2EWP0610</t>
  </si>
  <si>
    <t>2EWP1200</t>
  </si>
  <si>
    <t>2EWP1670</t>
  </si>
  <si>
    <t>2EWP1270</t>
  </si>
  <si>
    <t>2EWP0620</t>
  </si>
  <si>
    <t>2EWP0510</t>
  </si>
  <si>
    <t>2EWP0670</t>
  </si>
  <si>
    <t>2EWP0160</t>
  </si>
  <si>
    <t>2EWP0990</t>
  </si>
  <si>
    <t>8493EWP110QUS</t>
  </si>
  <si>
    <t>B0G3LJ159C</t>
  </si>
  <si>
    <t>2EWP1100</t>
  </si>
  <si>
    <t>2EWP1240</t>
  </si>
  <si>
    <t>2EWP0890</t>
  </si>
  <si>
    <t>2EWP1220</t>
  </si>
  <si>
    <t>2EWP1060</t>
  </si>
  <si>
    <t>2EWP0760</t>
  </si>
  <si>
    <t>2EWP0680</t>
  </si>
  <si>
    <t>2EWP0630</t>
  </si>
  <si>
    <t>2EWP1210</t>
  </si>
  <si>
    <t>2EWP2320</t>
  </si>
  <si>
    <t>2EWP1230</t>
  </si>
  <si>
    <t>2EWP1040</t>
  </si>
  <si>
    <t>2EWP0250</t>
  </si>
  <si>
    <t>2CLK0290</t>
  </si>
  <si>
    <t>2EWP2290</t>
  </si>
  <si>
    <t>2EWP0050</t>
  </si>
  <si>
    <t>2EWP0400</t>
  </si>
  <si>
    <t>2EWP0570</t>
  </si>
  <si>
    <t>2EWP2200</t>
  </si>
  <si>
    <t>2EWP0720</t>
  </si>
  <si>
    <t>2EWP1940</t>
  </si>
  <si>
    <t>2EWP0910</t>
  </si>
  <si>
    <t>2EWP1080</t>
  </si>
  <si>
    <t>2EWP1740</t>
  </si>
  <si>
    <t>2EWP0900</t>
  </si>
  <si>
    <t>2EWP2810</t>
  </si>
  <si>
    <t>2EWP0450</t>
  </si>
  <si>
    <t>2EWP0500</t>
  </si>
  <si>
    <t>2CLK0470</t>
  </si>
  <si>
    <t>2EWP0700</t>
  </si>
  <si>
    <t>2EWP1540</t>
  </si>
  <si>
    <t>2EWP0860</t>
  </si>
  <si>
    <t>2EWP1180</t>
  </si>
  <si>
    <t>2EWP0580</t>
  </si>
  <si>
    <t>2EWP0640</t>
  </si>
  <si>
    <t>2EWP0590</t>
  </si>
  <si>
    <t>2CLK0200</t>
  </si>
  <si>
    <t>2EWP0790</t>
  </si>
  <si>
    <t>2EWP1280</t>
  </si>
  <si>
    <t>9615EWP033UUS</t>
  </si>
  <si>
    <t>B0G3LDSMZZ</t>
  </si>
  <si>
    <t>2EWP0330</t>
  </si>
  <si>
    <t>2EWP0940</t>
  </si>
  <si>
    <t>2EWP2640</t>
  </si>
  <si>
    <t>2EWP0810</t>
  </si>
  <si>
    <t>2EWP0200</t>
  </si>
  <si>
    <t>商品等级</t>
  </si>
  <si>
    <t>FBA可用库存</t>
  </si>
  <si>
    <t>FBA在途库存</t>
  </si>
  <si>
    <t>本地仓可用库存</t>
  </si>
  <si>
    <t>总库存</t>
  </si>
  <si>
    <t>采购在途库存</t>
  </si>
  <si>
    <t>含采购在途总库存</t>
  </si>
  <si>
    <t>含采购在途总库存金额</t>
  </si>
  <si>
    <t>7天销量</t>
  </si>
  <si>
    <t>14天销量</t>
  </si>
  <si>
    <t>30天销量</t>
  </si>
  <si>
    <t>30-60天销量</t>
  </si>
  <si>
    <t>60-90天销量</t>
  </si>
  <si>
    <t>近7天入库数量</t>
  </si>
  <si>
    <t>近14天入库数量</t>
  </si>
  <si>
    <t>近30天入库数量</t>
  </si>
  <si>
    <t>30天出库金额</t>
  </si>
  <si>
    <t>全链路库销比</t>
  </si>
  <si>
    <t>成品库销比</t>
  </si>
  <si>
    <t>离岸库销比</t>
  </si>
  <si>
    <t>FBA库销比</t>
  </si>
  <si>
    <t>海外仓在库库销比</t>
  </si>
  <si>
    <t>海外仓在途库销比</t>
  </si>
  <si>
    <t>库销比-预警值</t>
  </si>
  <si>
    <t>滞销数量</t>
  </si>
  <si>
    <t>库销比-红线值</t>
  </si>
  <si>
    <t>滞销金额</t>
  </si>
  <si>
    <t>FBA30天销量</t>
  </si>
  <si>
    <t>FBM30天销量</t>
  </si>
  <si>
    <t>FBA首次到货时间</t>
  </si>
  <si>
    <t>FBM首次到货时间</t>
  </si>
  <si>
    <t>是否滞销</t>
  </si>
  <si>
    <t>品类</t>
  </si>
  <si>
    <t>20725</t>
  </si>
  <si>
    <t>A</t>
  </si>
  <si>
    <t>N</t>
  </si>
  <si>
    <t>B</t>
  </si>
  <si>
    <t>295</t>
  </si>
  <si>
    <t>S</t>
  </si>
  <si>
    <t>233</t>
  </si>
  <si>
    <t>OO2EWP04900</t>
  </si>
  <si>
    <t>C</t>
  </si>
  <si>
    <t>185</t>
  </si>
  <si>
    <t>206</t>
  </si>
  <si>
    <t>159</t>
  </si>
  <si>
    <t>205</t>
  </si>
  <si>
    <t>146</t>
  </si>
  <si>
    <t>303</t>
  </si>
  <si>
    <t>286</t>
  </si>
  <si>
    <t>292</t>
  </si>
  <si>
    <t>273</t>
  </si>
  <si>
    <t>223</t>
  </si>
  <si>
    <t>124</t>
  </si>
  <si>
    <t>282</t>
  </si>
  <si>
    <t>106</t>
  </si>
  <si>
    <t>164</t>
  </si>
  <si>
    <t>154</t>
  </si>
  <si>
    <t>160</t>
  </si>
  <si>
    <t>103</t>
  </si>
  <si>
    <t>148</t>
  </si>
  <si>
    <t>214</t>
  </si>
  <si>
    <t>97</t>
  </si>
  <si>
    <t>193</t>
  </si>
  <si>
    <t>92</t>
  </si>
  <si>
    <t>89</t>
  </si>
  <si>
    <t>217</t>
  </si>
  <si>
    <t>145</t>
  </si>
  <si>
    <t>117</t>
  </si>
  <si>
    <t>179</t>
  </si>
  <si>
    <t>171</t>
  </si>
  <si>
    <t>75</t>
  </si>
  <si>
    <t>153</t>
  </si>
  <si>
    <t>72</t>
  </si>
  <si>
    <t>OO2EWP03200</t>
  </si>
  <si>
    <t>71</t>
  </si>
  <si>
    <t>70</t>
  </si>
  <si>
    <t>141</t>
  </si>
  <si>
    <t>266</t>
  </si>
  <si>
    <t>63</t>
  </si>
  <si>
    <t>62</t>
  </si>
  <si>
    <t>D</t>
  </si>
  <si>
    <t>55</t>
  </si>
  <si>
    <t>93</t>
  </si>
  <si>
    <t>125</t>
  </si>
  <si>
    <t>165</t>
  </si>
  <si>
    <t>50</t>
  </si>
  <si>
    <t>86</t>
  </si>
  <si>
    <t>85</t>
  </si>
  <si>
    <t>OO2EWP00800</t>
  </si>
  <si>
    <t>42</t>
  </si>
  <si>
    <t>81</t>
  </si>
  <si>
    <t>65</t>
  </si>
  <si>
    <t>41</t>
  </si>
  <si>
    <t>交付</t>
  </si>
  <si>
    <t>39</t>
  </si>
  <si>
    <t>118</t>
  </si>
  <si>
    <t>37</t>
  </si>
  <si>
    <t>74</t>
  </si>
  <si>
    <t>116</t>
  </si>
  <si>
    <t>90</t>
  </si>
  <si>
    <t>25</t>
  </si>
  <si>
    <t>48</t>
  </si>
  <si>
    <t>107</t>
  </si>
  <si>
    <t>ZC2CLK05400</t>
  </si>
  <si>
    <t>OO2EWP01000-R</t>
  </si>
  <si>
    <t>OO2EWP01100</t>
  </si>
  <si>
    <t>OO2EWP02500-R</t>
  </si>
  <si>
    <t>OO2EWP01800-R</t>
  </si>
  <si>
    <t>ZC2CLK04500</t>
  </si>
  <si>
    <t>OO2EWP02300</t>
  </si>
  <si>
    <t>OO2EWP01700</t>
  </si>
  <si>
    <t>ZC2CLK01900</t>
  </si>
  <si>
    <t>停用</t>
  </si>
  <si>
    <t>ZC2CLK03600</t>
  </si>
  <si>
    <t>OO2EWP02200</t>
  </si>
  <si>
    <t>ZC2CLK02400</t>
  </si>
  <si>
    <t>OO2EWP04200</t>
  </si>
  <si>
    <t>OO2EWP04300</t>
  </si>
  <si>
    <t>ZC2CLK03900</t>
  </si>
  <si>
    <t>ZC2CLK02600</t>
  </si>
  <si>
    <t>ZC2CLK03500</t>
  </si>
  <si>
    <t>OO2EWP03500</t>
  </si>
  <si>
    <t>ZC2CLK04200</t>
  </si>
  <si>
    <t>ZC2CLK03200</t>
  </si>
  <si>
    <t>ZC2CLK02200</t>
  </si>
  <si>
    <t>ZC2CLK02100</t>
  </si>
  <si>
    <t>ZC2CLK03400</t>
  </si>
  <si>
    <t>ZC2CLK04800</t>
  </si>
  <si>
    <t>ZC2CLK03100</t>
  </si>
  <si>
    <t>ZC2CLK04000</t>
  </si>
  <si>
    <t>ZC2CLK02300</t>
  </si>
  <si>
    <t>ZC2CLK02800</t>
  </si>
  <si>
    <t>ZC2CLK03800</t>
  </si>
  <si>
    <t>ZC2CLK02500</t>
  </si>
  <si>
    <t>ZC2CLK05200</t>
  </si>
  <si>
    <t>KC2EWP17800</t>
  </si>
  <si>
    <t>OO2EWP03800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</si>
</sst>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1"/>
      <name val="等线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name val="等线"/>
      <charset val="134"/>
      <scheme val="minor"/>
    </font>
    <font>
      <b/>
      <sz val="10"/>
      <color rgb="FFFFFFFF"/>
      <name val="宋体"/>
      <charset val="134"/>
    </font>
    <font>
      <b/>
      <sz val="11"/>
      <color rgb="FF7F6000"/>
      <name val="宋体"/>
      <charset val="134"/>
    </font>
    <font>
      <sz val="11"/>
      <name val="Calibri"/>
      <charset val="134"/>
    </font>
    <font>
      <sz val="10"/>
      <color theme="1"/>
      <name val="等线"/>
      <charset val="134"/>
      <scheme val="minor"/>
    </font>
    <font>
      <sz val="11"/>
      <name val="宋体"/>
      <charset val="134"/>
    </font>
    <font>
      <b/>
      <sz val="10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E0300"/>
      <name val="微软雅黑"/>
      <charset val="134"/>
    </font>
    <font>
      <b/>
      <sz val="10"/>
      <color rgb="FFFE0300"/>
      <name val="微软雅黑"/>
      <charset val="134"/>
    </font>
    <font>
      <sz val="11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4EDDB"/>
        <bgColor indexed="64"/>
      </patternFill>
    </fill>
    <fill>
      <patternFill patternType="solid">
        <fgColor rgb="FF9EC3E7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46B1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0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2" borderId="7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14" fontId="1" fillId="0" borderId="1" xfId="0" applyNumberFormat="1" applyFont="1" applyBorder="1" applyAlignment="1" applyProtection="1">
      <alignment horizontal="left"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 applyProtection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</xf>
    <xf numFmtId="0" fontId="6" fillId="5" borderId="2" xfId="0" applyFont="1" applyFill="1" applyBorder="1" applyAlignment="1" applyProtection="1">
      <alignment horizontal="center" vertical="center" wrapText="1"/>
    </xf>
    <xf numFmtId="0" fontId="3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2" xfId="0" applyFont="1" applyBorder="1" applyAlignment="1" applyProtection="1"/>
    <xf numFmtId="0" fontId="10" fillId="2" borderId="0" xfId="0" applyFont="1" applyFill="1" applyAlignment="1">
      <alignment vertical="center" wrapText="1"/>
    </xf>
    <xf numFmtId="4" fontId="4" fillId="0" borderId="0" xfId="0" applyNumberFormat="1" applyFont="1" applyAlignment="1">
      <alignment horizontal="center" vertical="center"/>
    </xf>
    <xf numFmtId="0" fontId="4" fillId="6" borderId="0" xfId="0" applyFont="1" applyFill="1">
      <alignment vertical="center"/>
    </xf>
    <xf numFmtId="4" fontId="4" fillId="0" borderId="0" xfId="0" applyNumberFormat="1" applyFont="1">
      <alignment vertical="center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11" fillId="2" borderId="3" xfId="0" applyFont="1" applyFill="1" applyBorder="1" applyAlignment="1" applyProtection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</xf>
    <xf numFmtId="0" fontId="12" fillId="9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4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4" fillId="0" borderId="0" xfId="0" applyNumberFormat="1" applyFont="1">
      <alignment vertical="center"/>
    </xf>
    <xf numFmtId="0" fontId="1" fillId="0" borderId="1" xfId="0" applyFont="1" applyBorder="1" applyAlignment="1" applyProtection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BAC6F8"/>
        </patternFill>
      </fill>
    </dxf>
    <dxf>
      <font>
        <color rgb="FFBD101E"/>
      </font>
      <fill>
        <patternFill patternType="solid">
          <bgColor rgb="FFFBC8CF"/>
        </patternFill>
      </fill>
    </dxf>
    <dxf>
      <font>
        <color rgb="FF25B059"/>
      </font>
      <fill>
        <patternFill patternType="solid">
          <bgColor rgb="FFC9EDD1"/>
        </patternFill>
      </fill>
    </dxf>
    <dxf>
      <font>
        <color rgb="FF000000"/>
      </font>
      <fill>
        <patternFill patternType="solid">
          <bgColor rgb="FFC9ED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215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W8" sqref="W8"/>
    </sheetView>
  </sheetViews>
  <sheetFormatPr defaultColWidth="10" defaultRowHeight="16.5" customHeight="1"/>
  <cols>
    <col min="1" max="1" width="12.875" customWidth="1"/>
    <col min="2" max="2" width="12.25" customWidth="1"/>
    <col min="3" max="3" width="15.25" customWidth="1"/>
    <col min="4" max="4" width="7.25" style="9" customWidth="1"/>
    <col min="5" max="5" width="7.625" style="9" hidden="1" customWidth="1"/>
    <col min="6" max="6" width="7.625" style="9" customWidth="1"/>
    <col min="7" max="8" width="8.375" customWidth="1"/>
    <col min="9" max="9" width="10.25" style="9" hidden="1" customWidth="1"/>
    <col min="10" max="10" width="10.25" style="9" customWidth="1"/>
    <col min="11" max="11" width="7.375" style="9" customWidth="1"/>
    <col min="12" max="12" width="8.5" style="9" customWidth="1"/>
    <col min="13" max="13" width="7.875" customWidth="1"/>
    <col min="14" max="14" width="7.625" customWidth="1"/>
    <col min="15" max="16" width="6.875" customWidth="1"/>
    <col min="17" max="17" width="6.5" customWidth="1"/>
    <col min="18" max="19" width="6.625" customWidth="1"/>
    <col min="20" max="20" width="7" customWidth="1"/>
    <col min="21" max="21" width="8" customWidth="1"/>
    <col min="22" max="23" width="8.5" customWidth="1"/>
    <col min="24" max="24" width="9.125" customWidth="1"/>
    <col min="25" max="27" width="8.75" customWidth="1"/>
    <col min="28" max="28" width="8.5" customWidth="1"/>
    <col min="29" max="29" width="9.625" customWidth="1"/>
    <col min="30" max="30" width="7.625" customWidth="1"/>
    <col min="31" max="31" width="7.375" customWidth="1"/>
    <col min="32" max="34" width="7.25" customWidth="1"/>
    <col min="36" max="36" width="10" style="9"/>
    <col min="37" max="37" width="7" customWidth="1"/>
    <col min="38" max="38" width="8" style="9" customWidth="1"/>
    <col min="39" max="39" width="8.875" customWidth="1"/>
    <col min="40" max="40" width="8.25" style="41" customWidth="1"/>
  </cols>
  <sheetData>
    <row r="1" s="17" customFormat="1" ht="41.25" customHeight="1" spans="1:53">
      <c r="A1" s="5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42" t="s">
        <v>6</v>
      </c>
      <c r="H1" s="42" t="s">
        <v>7</v>
      </c>
      <c r="I1" s="42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  <c r="Z1" s="5" t="s">
        <v>25</v>
      </c>
      <c r="AA1" s="5" t="s">
        <v>26</v>
      </c>
      <c r="AB1" s="24" t="s">
        <v>27</v>
      </c>
      <c r="AC1" s="5" t="s">
        <v>28</v>
      </c>
      <c r="AD1" s="22" t="s">
        <v>29</v>
      </c>
      <c r="AE1" s="22" t="s">
        <v>30</v>
      </c>
      <c r="AF1" s="5" t="s">
        <v>31</v>
      </c>
      <c r="AG1" s="5" t="s">
        <v>32</v>
      </c>
      <c r="AH1" s="5" t="s">
        <v>33</v>
      </c>
      <c r="AI1" s="35" t="s">
        <v>34</v>
      </c>
      <c r="AJ1" s="35" t="s">
        <v>35</v>
      </c>
      <c r="AK1" s="24" t="s">
        <v>36</v>
      </c>
      <c r="AL1" s="24" t="s">
        <v>37</v>
      </c>
      <c r="AM1" s="24" t="s">
        <v>38</v>
      </c>
      <c r="AN1" s="24" t="s">
        <v>39</v>
      </c>
      <c r="AO1" s="24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</row>
    <row r="2" s="8" customFormat="1" customHeight="1" spans="1:53">
      <c r="A2" s="13" t="s">
        <v>40</v>
      </c>
      <c r="B2" s="13" t="s">
        <v>41</v>
      </c>
      <c r="C2" s="13" t="s">
        <v>42</v>
      </c>
      <c r="D2" s="23" t="s">
        <v>43</v>
      </c>
      <c r="E2" s="23" t="s">
        <v>44</v>
      </c>
      <c r="F2" s="23" t="s">
        <v>45</v>
      </c>
      <c r="G2" s="23" t="s">
        <v>46</v>
      </c>
      <c r="H2" s="43" t="s">
        <v>47</v>
      </c>
      <c r="I2" s="23" t="s">
        <v>48</v>
      </c>
      <c r="J2" s="23">
        <v>29.99</v>
      </c>
      <c r="K2" s="23">
        <v>22.77</v>
      </c>
      <c r="L2" s="23">
        <v>34.8</v>
      </c>
      <c r="M2" s="23">
        <v>31.32</v>
      </c>
      <c r="N2" s="23">
        <v>38.29</v>
      </c>
      <c r="O2" s="23">
        <v>0</v>
      </c>
      <c r="P2" s="23">
        <v>0</v>
      </c>
      <c r="Q2" s="23">
        <v>0</v>
      </c>
      <c r="R2" s="23">
        <v>10</v>
      </c>
      <c r="S2" s="23">
        <v>11</v>
      </c>
      <c r="T2" s="23">
        <v>17</v>
      </c>
      <c r="U2" s="23">
        <v>6</v>
      </c>
      <c r="V2" s="32">
        <v>0</v>
      </c>
      <c r="W2" s="32">
        <v>0.200173863</v>
      </c>
      <c r="X2" s="32">
        <v>0.189104818</v>
      </c>
      <c r="Y2" s="32">
        <v>0.111111111</v>
      </c>
      <c r="Z2" s="32">
        <v>0.040013338</v>
      </c>
      <c r="AA2" s="32">
        <v>0.058284152</v>
      </c>
      <c r="AB2" s="32">
        <v>0.173469388</v>
      </c>
      <c r="AC2" s="32">
        <v>0.110777839</v>
      </c>
      <c r="AD2" s="23">
        <f>VLOOKUP(B:B,库存明细报表10.16!L:P,5,0)</f>
        <v>2</v>
      </c>
      <c r="AE2" s="23">
        <f>VLOOKUP(B:B,库存明细报表10.16!L:Q,6,0)</f>
        <v>0</v>
      </c>
      <c r="AF2" s="23">
        <f>VLOOKUP(B:B,库存明细报表10.16!L:T,9,0)</f>
        <v>1</v>
      </c>
      <c r="AG2" s="23">
        <f>VLOOKUP(A:A,进销存报表10.16!A:J,10,0)</f>
        <v>21</v>
      </c>
      <c r="AH2" s="23">
        <f>VLOOKUP(A:A,进销存报表10.16!A:K,11,0)</f>
        <v>37</v>
      </c>
      <c r="AI2" s="23">
        <v>140.87</v>
      </c>
      <c r="AJ2" s="23">
        <v>126.03</v>
      </c>
      <c r="AK2" s="23">
        <v>0</v>
      </c>
      <c r="AL2" s="26">
        <v>13.33333333</v>
      </c>
      <c r="AM2" s="32">
        <f t="shared" ref="AM2:AM65" si="0">AK2/AI2</f>
        <v>0</v>
      </c>
      <c r="AN2" s="44">
        <f t="shared" ref="AN2:AN65" si="1">AL2/AJ2</f>
        <v>0.105794916527811</v>
      </c>
      <c r="AO2" s="2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</row>
    <row r="3" s="8" customFormat="1" customHeight="1" spans="1:53">
      <c r="A3" s="13" t="s">
        <v>49</v>
      </c>
      <c r="B3" s="13" t="s">
        <v>50</v>
      </c>
      <c r="C3" s="13" t="s">
        <v>51</v>
      </c>
      <c r="D3" s="23" t="s">
        <v>43</v>
      </c>
      <c r="E3" s="23" t="s">
        <v>44</v>
      </c>
      <c r="F3" s="23" t="s">
        <v>45</v>
      </c>
      <c r="G3" s="23" t="s">
        <v>46</v>
      </c>
      <c r="H3" s="43" t="s">
        <v>47</v>
      </c>
      <c r="I3" s="23" t="s">
        <v>48</v>
      </c>
      <c r="J3" s="23">
        <v>49.99</v>
      </c>
      <c r="K3" s="23">
        <v>40.12</v>
      </c>
      <c r="L3" s="23">
        <v>45.58</v>
      </c>
      <c r="M3" s="23">
        <v>41.02</v>
      </c>
      <c r="N3" s="23">
        <v>50.14</v>
      </c>
      <c r="O3" s="23">
        <v>0</v>
      </c>
      <c r="P3" s="23">
        <v>0</v>
      </c>
      <c r="Q3" s="23">
        <v>0</v>
      </c>
      <c r="R3" s="23">
        <v>8</v>
      </c>
      <c r="S3" s="23">
        <v>1</v>
      </c>
      <c r="T3" s="23">
        <v>2</v>
      </c>
      <c r="U3" s="23">
        <v>2</v>
      </c>
      <c r="V3" s="32">
        <v>0</v>
      </c>
      <c r="W3" s="32">
        <v>0.21656093</v>
      </c>
      <c r="X3" s="32">
        <v>0.183686184</v>
      </c>
      <c r="Y3" s="32">
        <v>0</v>
      </c>
      <c r="Z3" s="32">
        <v>0.033706741</v>
      </c>
      <c r="AA3" s="32">
        <v>0.043829522</v>
      </c>
      <c r="AB3" s="32">
        <v>0.125</v>
      </c>
      <c r="AC3" s="32">
        <v>0</v>
      </c>
      <c r="AD3" s="23">
        <f>VLOOKUP(B:B,库存明细报表10.16!L:P,5,0)</f>
        <v>4</v>
      </c>
      <c r="AE3" s="23">
        <f>VLOOKUP(B:B,库存明细报表10.16!L:Q,6,0)</f>
        <v>4</v>
      </c>
      <c r="AF3" s="23">
        <f>VLOOKUP(B:B,库存明细报表10.16!L:T,9,0)</f>
        <v>0</v>
      </c>
      <c r="AG3" s="23">
        <f>VLOOKUP(A:A,进销存报表10.16!A:J,10,0)</f>
        <v>12</v>
      </c>
      <c r="AH3" s="23">
        <f>VLOOKUP(A:A,进销存报表10.16!A:K,11,0)</f>
        <v>6</v>
      </c>
      <c r="AI3" s="23">
        <v>42.2</v>
      </c>
      <c r="AJ3" s="23">
        <v>32.83</v>
      </c>
      <c r="AK3" s="23">
        <v>0</v>
      </c>
      <c r="AL3" s="26">
        <v>3.666666667</v>
      </c>
      <c r="AM3" s="32">
        <f t="shared" si="0"/>
        <v>0</v>
      </c>
      <c r="AN3" s="44">
        <f t="shared" si="1"/>
        <v>0.111686465641182</v>
      </c>
      <c r="AO3" s="2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</row>
    <row r="4" s="8" customFormat="1" customHeight="1" spans="1:53">
      <c r="A4" s="13" t="s">
        <v>52</v>
      </c>
      <c r="B4" s="13" t="s">
        <v>53</v>
      </c>
      <c r="C4" s="13" t="s">
        <v>54</v>
      </c>
      <c r="D4" s="23" t="s">
        <v>43</v>
      </c>
      <c r="E4" s="23" t="s">
        <v>55</v>
      </c>
      <c r="F4" s="23" t="s">
        <v>45</v>
      </c>
      <c r="G4" s="23" t="s">
        <v>46</v>
      </c>
      <c r="H4" s="43" t="s">
        <v>56</v>
      </c>
      <c r="I4" s="23" t="s">
        <v>46</v>
      </c>
      <c r="J4" s="23">
        <v>27.99</v>
      </c>
      <c r="K4" s="23">
        <v>19.63</v>
      </c>
      <c r="L4" s="23">
        <v>27.66</v>
      </c>
      <c r="M4" s="23">
        <v>24.89</v>
      </c>
      <c r="N4" s="23">
        <v>30.42</v>
      </c>
      <c r="O4" s="23">
        <v>0</v>
      </c>
      <c r="P4" s="23">
        <v>0</v>
      </c>
      <c r="Q4" s="23">
        <v>0</v>
      </c>
      <c r="R4" s="23">
        <v>2</v>
      </c>
      <c r="S4" s="23">
        <v>10</v>
      </c>
      <c r="T4" s="23">
        <v>14</v>
      </c>
      <c r="U4" s="23">
        <v>3</v>
      </c>
      <c r="V4" s="32">
        <v>0</v>
      </c>
      <c r="W4" s="32">
        <v>0.162043002</v>
      </c>
      <c r="X4" s="32">
        <v>0.115698413</v>
      </c>
      <c r="Y4" s="32">
        <v>0.229363562</v>
      </c>
      <c r="Z4" s="32">
        <v>0.019229719</v>
      </c>
      <c r="AA4" s="32">
        <v>0.060418107</v>
      </c>
      <c r="AB4" s="32">
        <v>0.254545455</v>
      </c>
      <c r="AC4" s="32">
        <v>0.213746996</v>
      </c>
      <c r="AD4" s="23">
        <f>VLOOKUP(B:B,库存明细报表10.16!L:P,5,0)</f>
        <v>3</v>
      </c>
      <c r="AE4" s="23">
        <f>VLOOKUP(B:B,库存明细报表10.16!L:Q,6,0)</f>
        <v>3</v>
      </c>
      <c r="AF4" s="23">
        <f>VLOOKUP(B:B,库存明细报表10.16!L:T,9,0)</f>
        <v>0</v>
      </c>
      <c r="AG4" s="23">
        <f>VLOOKUP(A:A,进销存报表10.16!A:J,10,0)</f>
        <v>3</v>
      </c>
      <c r="AH4" s="23">
        <f>VLOOKUP(A:A,进销存报表10.16!A:K,11,0)</f>
        <v>2</v>
      </c>
      <c r="AI4" s="23">
        <v>48.68</v>
      </c>
      <c r="AJ4" s="23">
        <v>40.86</v>
      </c>
      <c r="AK4" s="23">
        <v>0</v>
      </c>
      <c r="AL4" s="26">
        <v>9.333333333</v>
      </c>
      <c r="AM4" s="32">
        <f t="shared" si="0"/>
        <v>0</v>
      </c>
      <c r="AN4" s="44">
        <f t="shared" si="1"/>
        <v>0.228422254845815</v>
      </c>
      <c r="AO4" s="2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</row>
    <row r="5" s="8" customFormat="1" customHeight="1" spans="1:53">
      <c r="A5" s="13" t="s">
        <v>57</v>
      </c>
      <c r="B5" s="13" t="s">
        <v>58</v>
      </c>
      <c r="C5" s="13" t="s">
        <v>59</v>
      </c>
      <c r="D5" s="23" t="s">
        <v>43</v>
      </c>
      <c r="E5" s="23" t="s">
        <v>44</v>
      </c>
      <c r="F5" s="23" t="s">
        <v>45</v>
      </c>
      <c r="G5" s="23" t="s">
        <v>46</v>
      </c>
      <c r="H5" s="43" t="s">
        <v>46</v>
      </c>
      <c r="I5" s="23" t="s">
        <v>48</v>
      </c>
      <c r="J5" s="23">
        <v>25.99</v>
      </c>
      <c r="K5" s="23">
        <v>20.54</v>
      </c>
      <c r="L5" s="23">
        <v>20.32</v>
      </c>
      <c r="M5" s="23">
        <v>18.29</v>
      </c>
      <c r="N5" s="23">
        <v>22.35</v>
      </c>
      <c r="O5" s="23">
        <v>0</v>
      </c>
      <c r="P5" s="23">
        <v>0</v>
      </c>
      <c r="Q5" s="23">
        <v>0</v>
      </c>
      <c r="R5" s="23">
        <v>0</v>
      </c>
      <c r="S5" s="23">
        <v>5</v>
      </c>
      <c r="T5" s="23">
        <v>5</v>
      </c>
      <c r="U5" s="23">
        <v>1</v>
      </c>
      <c r="V5" s="32">
        <v>0</v>
      </c>
      <c r="W5" s="32">
        <v>0.112822106</v>
      </c>
      <c r="X5" s="32">
        <v>-0.109040872</v>
      </c>
      <c r="Y5" s="32">
        <v>0.389830508</v>
      </c>
      <c r="Z5" s="32">
        <v>0.060071996</v>
      </c>
      <c r="AA5" s="32">
        <v>0.046719391</v>
      </c>
      <c r="AB5" s="32">
        <v>0.135135135</v>
      </c>
      <c r="AC5" s="32">
        <v>0.142448783</v>
      </c>
      <c r="AD5" s="23">
        <f>VLOOKUP(B:B,库存明细报表10.16!L:P,5,0)</f>
        <v>15</v>
      </c>
      <c r="AE5" s="23">
        <f>VLOOKUP(B:B,库存明细报表10.16!L:Q,6,0)</f>
        <v>15</v>
      </c>
      <c r="AF5" s="23">
        <f>VLOOKUP(B:B,库存明细报表10.16!L:T,9,0)</f>
        <v>0</v>
      </c>
      <c r="AG5" s="23">
        <f>VLOOKUP(A:A,进销存报表10.16!A:J,10,0)</f>
        <v>8</v>
      </c>
      <c r="AH5" s="23">
        <f>VLOOKUP(A:A,进销存报表10.16!A:K,11,0)</f>
        <v>0</v>
      </c>
      <c r="AI5" s="23">
        <v>176.85</v>
      </c>
      <c r="AJ5" s="23">
        <v>101.32</v>
      </c>
      <c r="AK5" s="23">
        <v>0</v>
      </c>
      <c r="AL5" s="26">
        <v>3.666666667</v>
      </c>
      <c r="AM5" s="32">
        <f t="shared" si="0"/>
        <v>0</v>
      </c>
      <c r="AN5" s="44">
        <f t="shared" si="1"/>
        <v>0.0361889722364785</v>
      </c>
      <c r="AO5" s="2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</row>
    <row r="6" s="8" customFormat="1" customHeight="1" spans="1:53">
      <c r="A6" s="13" t="s">
        <v>60</v>
      </c>
      <c r="B6" s="13" t="s">
        <v>61</v>
      </c>
      <c r="C6" s="13" t="s">
        <v>62</v>
      </c>
      <c r="D6" s="23" t="s">
        <v>43</v>
      </c>
      <c r="E6" s="23" t="s">
        <v>44</v>
      </c>
      <c r="F6" s="23" t="s">
        <v>45</v>
      </c>
      <c r="G6" s="23" t="s">
        <v>46</v>
      </c>
      <c r="H6" s="43" t="s">
        <v>56</v>
      </c>
      <c r="I6" s="23" t="s">
        <v>48</v>
      </c>
      <c r="J6" s="23">
        <v>25.99</v>
      </c>
      <c r="K6" s="23">
        <v>21.94</v>
      </c>
      <c r="L6" s="23">
        <v>22.79</v>
      </c>
      <c r="M6" s="23">
        <v>20.51</v>
      </c>
      <c r="N6" s="23">
        <v>25.07</v>
      </c>
      <c r="O6" s="23">
        <v>0</v>
      </c>
      <c r="P6" s="23">
        <v>0</v>
      </c>
      <c r="Q6" s="23">
        <v>0</v>
      </c>
      <c r="R6" s="23">
        <v>13</v>
      </c>
      <c r="S6" s="23">
        <v>10</v>
      </c>
      <c r="T6" s="23">
        <v>0</v>
      </c>
      <c r="U6" s="23">
        <v>1</v>
      </c>
      <c r="V6" s="32">
        <v>0</v>
      </c>
      <c r="W6" s="32">
        <v>0.108107844</v>
      </c>
      <c r="X6" s="32">
        <v>-0.738324795</v>
      </c>
      <c r="Y6" s="32">
        <v>0</v>
      </c>
      <c r="Z6" s="32">
        <v>1.323255814</v>
      </c>
      <c r="AA6" s="32">
        <v>0.003821135</v>
      </c>
      <c r="AB6" s="32">
        <v>0</v>
      </c>
      <c r="AC6" s="32">
        <v>0</v>
      </c>
      <c r="AD6" s="23">
        <f>VLOOKUP(B:B,库存明细报表10.16!L:P,5,0)</f>
        <v>23</v>
      </c>
      <c r="AE6" s="23">
        <f>VLOOKUP(B:B,库存明细报表10.16!L:Q,6,0)</f>
        <v>3</v>
      </c>
      <c r="AF6" s="23">
        <f>VLOOKUP(B:B,库存明细报表10.16!L:T,9,0)</f>
        <v>0</v>
      </c>
      <c r="AG6" s="23">
        <f>VLOOKUP(A:A,进销存报表10.16!A:J,10,0)</f>
        <v>3</v>
      </c>
      <c r="AH6" s="23">
        <f>VLOOKUP(A:A,进销存报表10.16!A:K,11,0)</f>
        <v>21</v>
      </c>
      <c r="AI6" s="23">
        <v>122.21</v>
      </c>
      <c r="AJ6" s="23">
        <v>84.22</v>
      </c>
      <c r="AK6" s="23">
        <v>0</v>
      </c>
      <c r="AL6" s="26">
        <v>8.666666667</v>
      </c>
      <c r="AM6" s="32">
        <f t="shared" si="0"/>
        <v>0</v>
      </c>
      <c r="AN6" s="44">
        <f t="shared" si="1"/>
        <v>0.102905089848017</v>
      </c>
      <c r="AO6" s="2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</row>
    <row r="7" s="8" customFormat="1" customHeight="1" spans="1:53">
      <c r="A7" s="13" t="s">
        <v>63</v>
      </c>
      <c r="B7" s="13" t="s">
        <v>64</v>
      </c>
      <c r="C7" s="13" t="s">
        <v>65</v>
      </c>
      <c r="D7" s="23" t="s">
        <v>43</v>
      </c>
      <c r="E7" s="23" t="s">
        <v>44</v>
      </c>
      <c r="F7" s="23" t="s">
        <v>45</v>
      </c>
      <c r="G7" s="23" t="s">
        <v>46</v>
      </c>
      <c r="H7" s="43" t="s">
        <v>46</v>
      </c>
      <c r="I7" s="23" t="s">
        <v>46</v>
      </c>
      <c r="J7" s="23">
        <v>22.99</v>
      </c>
      <c r="K7" s="23">
        <v>18.41</v>
      </c>
      <c r="L7" s="23">
        <v>19.41</v>
      </c>
      <c r="M7" s="23">
        <v>17.47</v>
      </c>
      <c r="N7" s="23">
        <v>21.35</v>
      </c>
      <c r="O7" s="23">
        <v>0</v>
      </c>
      <c r="P7" s="23">
        <v>0</v>
      </c>
      <c r="Q7" s="23">
        <v>0</v>
      </c>
      <c r="R7" s="23">
        <v>2</v>
      </c>
      <c r="S7" s="23">
        <v>2</v>
      </c>
      <c r="T7" s="23">
        <v>4</v>
      </c>
      <c r="U7" s="23">
        <v>6</v>
      </c>
      <c r="V7" s="32">
        <v>0</v>
      </c>
      <c r="W7" s="32">
        <v>0.173448891</v>
      </c>
      <c r="X7" s="32">
        <v>0.168222184</v>
      </c>
      <c r="Y7" s="32">
        <v>0</v>
      </c>
      <c r="Z7" s="32">
        <v>0.103055077</v>
      </c>
      <c r="AA7" s="32">
        <v>0.083855983</v>
      </c>
      <c r="AB7" s="32">
        <v>0.137931034</v>
      </c>
      <c r="AC7" s="32">
        <v>0.186939101</v>
      </c>
      <c r="AD7" s="23">
        <f>VLOOKUP(B:B,库存明细报表10.16!L:P,5,0)</f>
        <v>17</v>
      </c>
      <c r="AE7" s="23">
        <f>VLOOKUP(B:B,库存明细报表10.16!L:Q,6,0)</f>
        <v>14</v>
      </c>
      <c r="AF7" s="23">
        <f>VLOOKUP(B:B,库存明细报表10.16!L:T,9,0)</f>
        <v>0</v>
      </c>
      <c r="AG7" s="23">
        <f>VLOOKUP(A:A,进销存报表10.16!A:J,10,0)</f>
        <v>9</v>
      </c>
      <c r="AH7" s="23">
        <f>VLOOKUP(A:A,进销存报表10.16!A:K,11,0)</f>
        <v>9</v>
      </c>
      <c r="AI7" s="23">
        <v>71.28</v>
      </c>
      <c r="AJ7" s="23">
        <v>47.77</v>
      </c>
      <c r="AK7" s="23">
        <v>0</v>
      </c>
      <c r="AL7" s="26">
        <v>2.666666667</v>
      </c>
      <c r="AM7" s="32">
        <f t="shared" si="0"/>
        <v>0</v>
      </c>
      <c r="AN7" s="44">
        <f t="shared" si="1"/>
        <v>0.0558230409671342</v>
      </c>
      <c r="AO7" s="2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</row>
    <row r="8" s="8" customFormat="1" customHeight="1" spans="1:53">
      <c r="A8" s="13" t="s">
        <v>66</v>
      </c>
      <c r="B8" s="13" t="s">
        <v>67</v>
      </c>
      <c r="C8" s="13" t="s">
        <v>68</v>
      </c>
      <c r="D8" s="23" t="s">
        <v>43</v>
      </c>
      <c r="E8" s="23" t="s">
        <v>44</v>
      </c>
      <c r="F8" s="23" t="s">
        <v>45</v>
      </c>
      <c r="G8" s="23" t="s">
        <v>46</v>
      </c>
      <c r="H8" s="43" t="s">
        <v>46</v>
      </c>
      <c r="I8" s="23" t="s">
        <v>56</v>
      </c>
      <c r="J8" s="23">
        <v>31.99</v>
      </c>
      <c r="K8" s="23">
        <v>29.52</v>
      </c>
      <c r="L8" s="23">
        <v>29.52</v>
      </c>
      <c r="M8" s="23">
        <v>26.57</v>
      </c>
      <c r="N8" s="23">
        <v>32.47</v>
      </c>
      <c r="O8" s="23">
        <v>0</v>
      </c>
      <c r="P8" s="23">
        <v>0</v>
      </c>
      <c r="Q8" s="23">
        <v>0</v>
      </c>
      <c r="R8" s="23">
        <v>3</v>
      </c>
      <c r="S8" s="23">
        <v>6</v>
      </c>
      <c r="T8" s="23">
        <v>1</v>
      </c>
      <c r="U8" s="23">
        <v>2</v>
      </c>
      <c r="V8" s="32">
        <v>0</v>
      </c>
      <c r="W8" s="32">
        <v>0.029675854</v>
      </c>
      <c r="X8" s="32">
        <v>0</v>
      </c>
      <c r="Y8" s="32">
        <v>0</v>
      </c>
      <c r="Z8" s="32" t="s">
        <v>69</v>
      </c>
      <c r="AA8" s="32" t="s">
        <v>69</v>
      </c>
      <c r="AB8" s="32">
        <v>0.029411765</v>
      </c>
      <c r="AC8" s="32">
        <v>0.199458072</v>
      </c>
      <c r="AD8" s="23">
        <f>VLOOKUP(B:B,库存明细报表10.16!L:P,5,0)</f>
        <v>19</v>
      </c>
      <c r="AE8" s="23">
        <f>VLOOKUP(B:B,库存明细报表10.16!L:Q,6,0)</f>
        <v>19</v>
      </c>
      <c r="AF8" s="23">
        <f>VLOOKUP(B:B,库存明细报表10.16!L:T,9,0)</f>
        <v>0</v>
      </c>
      <c r="AG8" s="23">
        <f>VLOOKUP(A:A,进销存报表10.16!A:J,10,0)</f>
        <v>20</v>
      </c>
      <c r="AH8" s="23">
        <f>VLOOKUP(A:A,进销存报表10.16!A:K,11,0)</f>
        <v>15</v>
      </c>
      <c r="AI8" s="23">
        <v>80.6</v>
      </c>
      <c r="AJ8" s="23">
        <v>40.8</v>
      </c>
      <c r="AK8" s="23">
        <v>0</v>
      </c>
      <c r="AL8" s="26">
        <v>3</v>
      </c>
      <c r="AM8" s="32">
        <f t="shared" si="0"/>
        <v>0</v>
      </c>
      <c r="AN8" s="44">
        <f t="shared" si="1"/>
        <v>0.0735294117647059</v>
      </c>
      <c r="AO8" s="2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="8" customFormat="1" customHeight="1" spans="1:53">
      <c r="A9" s="13" t="s">
        <v>70</v>
      </c>
      <c r="B9" s="13" t="s">
        <v>71</v>
      </c>
      <c r="C9" s="13" t="s">
        <v>72</v>
      </c>
      <c r="D9" s="23" t="s">
        <v>43</v>
      </c>
      <c r="E9" s="23" t="s">
        <v>44</v>
      </c>
      <c r="F9" s="23" t="s">
        <v>45</v>
      </c>
      <c r="G9" s="23" t="s">
        <v>46</v>
      </c>
      <c r="H9" s="43" t="s">
        <v>46</v>
      </c>
      <c r="I9" s="23" t="s">
        <v>56</v>
      </c>
      <c r="J9" s="23">
        <v>32.99</v>
      </c>
      <c r="K9" s="23">
        <v>21.69</v>
      </c>
      <c r="L9" s="23">
        <v>22.87</v>
      </c>
      <c r="M9" s="23">
        <v>20.58</v>
      </c>
      <c r="N9" s="23">
        <v>25.15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1</v>
      </c>
      <c r="U9" s="23">
        <v>0</v>
      </c>
      <c r="V9" s="32">
        <v>0</v>
      </c>
      <c r="W9" s="32">
        <v>0.133821951</v>
      </c>
      <c r="X9" s="32">
        <v>0.192201126</v>
      </c>
      <c r="Y9" s="32">
        <v>0</v>
      </c>
      <c r="Z9" s="32">
        <v>0.12640194</v>
      </c>
      <c r="AA9" s="32">
        <v>0.08384568</v>
      </c>
      <c r="AB9" s="32">
        <v>0.035714286</v>
      </c>
      <c r="AC9" s="32">
        <v>0.124673978</v>
      </c>
      <c r="AD9" s="23">
        <f>VLOOKUP(B:B,库存明细报表10.16!L:P,5,0)</f>
        <v>8</v>
      </c>
      <c r="AE9" s="23">
        <f>VLOOKUP(B:B,库存明细报表10.16!L:Q,6,0)</f>
        <v>8</v>
      </c>
      <c r="AF9" s="23">
        <f>VLOOKUP(B:B,库存明细报表10.16!L:T,9,0)</f>
        <v>2</v>
      </c>
      <c r="AG9" s="23">
        <f>VLOOKUP(A:A,进销存报表10.16!A:J,10,0)</f>
        <v>18</v>
      </c>
      <c r="AH9" s="23">
        <f>VLOOKUP(A:A,进销存报表10.16!A:K,11,0)</f>
        <v>3</v>
      </c>
      <c r="AI9" s="23">
        <v>27.29</v>
      </c>
      <c r="AJ9" s="23">
        <v>18.57</v>
      </c>
      <c r="AK9" s="23">
        <v>0</v>
      </c>
      <c r="AL9" s="26">
        <v>0.333333333</v>
      </c>
      <c r="AM9" s="32">
        <f t="shared" si="0"/>
        <v>0</v>
      </c>
      <c r="AN9" s="44">
        <f t="shared" si="1"/>
        <v>0.0179500987075929</v>
      </c>
      <c r="AO9" s="2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="8" customFormat="1" customHeight="1" spans="1:53">
      <c r="A10" s="13" t="s">
        <v>73</v>
      </c>
      <c r="B10" s="13" t="s">
        <v>74</v>
      </c>
      <c r="C10" s="13" t="s">
        <v>75</v>
      </c>
      <c r="D10" s="23" t="s">
        <v>43</v>
      </c>
      <c r="E10" s="23" t="s">
        <v>44</v>
      </c>
      <c r="F10" s="23" t="s">
        <v>45</v>
      </c>
      <c r="G10" s="23" t="s">
        <v>46</v>
      </c>
      <c r="H10" s="43" t="s">
        <v>56</v>
      </c>
      <c r="I10" s="23" t="s">
        <v>46</v>
      </c>
      <c r="J10" s="23">
        <v>45.99</v>
      </c>
      <c r="K10" s="23">
        <v>38.41</v>
      </c>
      <c r="L10" s="23">
        <v>42.24</v>
      </c>
      <c r="M10" s="23">
        <v>38.01</v>
      </c>
      <c r="N10" s="23">
        <v>46.46</v>
      </c>
      <c r="O10" s="23">
        <v>0</v>
      </c>
      <c r="P10" s="23">
        <v>0</v>
      </c>
      <c r="Q10" s="23">
        <v>0</v>
      </c>
      <c r="R10" s="23">
        <v>5</v>
      </c>
      <c r="S10" s="23">
        <v>2</v>
      </c>
      <c r="T10" s="23">
        <v>7</v>
      </c>
      <c r="U10" s="23">
        <v>1</v>
      </c>
      <c r="V10" s="32">
        <v>0</v>
      </c>
      <c r="W10" s="32">
        <v>0.072132173</v>
      </c>
      <c r="X10" s="32">
        <v>0.175438011</v>
      </c>
      <c r="Y10" s="32">
        <v>0</v>
      </c>
      <c r="Z10" s="32">
        <v>0.032056893</v>
      </c>
      <c r="AA10" s="32">
        <v>0.003821543</v>
      </c>
      <c r="AB10" s="32">
        <v>0.12962963</v>
      </c>
      <c r="AC10" s="32">
        <v>0.0554199</v>
      </c>
      <c r="AD10" s="23">
        <f>VLOOKUP(B:B,库存明细报表10.16!L:P,5,0)</f>
        <v>19</v>
      </c>
      <c r="AE10" s="23">
        <f>VLOOKUP(B:B,库存明细报表10.16!L:Q,6,0)</f>
        <v>19</v>
      </c>
      <c r="AF10" s="23">
        <f>VLOOKUP(B:B,库存明细报表10.16!L:T,9,0)</f>
        <v>0</v>
      </c>
      <c r="AG10" s="23">
        <f>VLOOKUP(A:A,进销存报表10.16!A:J,10,0)</f>
        <v>8</v>
      </c>
      <c r="AH10" s="23">
        <f>VLOOKUP(A:A,进销存报表10.16!A:K,11,0)</f>
        <v>24</v>
      </c>
      <c r="AI10" s="23">
        <v>60.02</v>
      </c>
      <c r="AJ10" s="23">
        <v>45.02</v>
      </c>
      <c r="AK10" s="23">
        <v>0</v>
      </c>
      <c r="AL10" s="26">
        <v>5.333333333</v>
      </c>
      <c r="AM10" s="32">
        <f t="shared" si="0"/>
        <v>0</v>
      </c>
      <c r="AN10" s="44">
        <f t="shared" si="1"/>
        <v>0.11846586701466</v>
      </c>
      <c r="AO10" s="2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="8" customFormat="1" customHeight="1" spans="1:53">
      <c r="A11" s="13" t="s">
        <v>76</v>
      </c>
      <c r="B11" s="13" t="s">
        <v>77</v>
      </c>
      <c r="C11" s="13" t="s">
        <v>78</v>
      </c>
      <c r="D11" s="23" t="s">
        <v>43</v>
      </c>
      <c r="E11" s="23" t="s">
        <v>55</v>
      </c>
      <c r="F11" s="23" t="s">
        <v>45</v>
      </c>
      <c r="G11" s="23" t="s">
        <v>46</v>
      </c>
      <c r="H11" s="43" t="s">
        <v>48</v>
      </c>
      <c r="I11" s="23" t="s">
        <v>48</v>
      </c>
      <c r="J11" s="23">
        <v>27.99</v>
      </c>
      <c r="K11" s="23">
        <v>18.31</v>
      </c>
      <c r="L11" s="23">
        <v>20.33</v>
      </c>
      <c r="M11" s="23">
        <v>18.29</v>
      </c>
      <c r="N11" s="23">
        <v>22.36</v>
      </c>
      <c r="O11" s="23">
        <v>0</v>
      </c>
      <c r="P11" s="23">
        <v>1</v>
      </c>
      <c r="Q11" s="23">
        <v>0</v>
      </c>
      <c r="R11" s="23">
        <v>0</v>
      </c>
      <c r="S11" s="23">
        <v>4</v>
      </c>
      <c r="T11" s="23">
        <v>0</v>
      </c>
      <c r="U11" s="23">
        <v>1</v>
      </c>
      <c r="V11" s="32">
        <v>0</v>
      </c>
      <c r="W11" s="32">
        <v>0.308750238</v>
      </c>
      <c r="X11" s="32">
        <v>0</v>
      </c>
      <c r="Y11" s="32">
        <v>0</v>
      </c>
      <c r="Z11" s="32" t="s">
        <v>69</v>
      </c>
      <c r="AA11" s="32" t="s">
        <v>69</v>
      </c>
      <c r="AB11" s="32">
        <v>0</v>
      </c>
      <c r="AC11" s="32">
        <v>0</v>
      </c>
      <c r="AD11" s="23">
        <f>VLOOKUP(B:B,库存明细报表10.16!L:P,5,0)</f>
        <v>27</v>
      </c>
      <c r="AE11" s="23">
        <f>VLOOKUP(B:B,库存明细报表10.16!L:Q,6,0)</f>
        <v>26</v>
      </c>
      <c r="AF11" s="23">
        <f>VLOOKUP(B:B,库存明细报表10.16!L:T,9,0)</f>
        <v>0</v>
      </c>
      <c r="AG11" s="23">
        <f>VLOOKUP(A:A,进销存报表10.16!A:J,10,0)</f>
        <v>19</v>
      </c>
      <c r="AH11" s="23">
        <f>VLOOKUP(A:A,进销存报表10.16!A:K,11,0)</f>
        <v>10</v>
      </c>
      <c r="AI11" s="23">
        <v>305.39</v>
      </c>
      <c r="AJ11" s="23">
        <v>160.5</v>
      </c>
      <c r="AK11" s="23">
        <v>0</v>
      </c>
      <c r="AL11" s="26">
        <v>1.333333333</v>
      </c>
      <c r="AM11" s="32">
        <f t="shared" si="0"/>
        <v>0</v>
      </c>
      <c r="AN11" s="44">
        <f t="shared" si="1"/>
        <v>0.00830737279127726</v>
      </c>
      <c r="AO11" s="2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="8" customFormat="1" customHeight="1" spans="1:53">
      <c r="A12" s="13" t="s">
        <v>79</v>
      </c>
      <c r="B12" s="13" t="s">
        <v>80</v>
      </c>
      <c r="C12" s="13" t="s">
        <v>81</v>
      </c>
      <c r="D12" s="23" t="s">
        <v>43</v>
      </c>
      <c r="E12" s="23" t="s">
        <v>44</v>
      </c>
      <c r="F12" s="23" t="s">
        <v>45</v>
      </c>
      <c r="G12" s="23" t="s">
        <v>46</v>
      </c>
      <c r="H12" s="43" t="s">
        <v>48</v>
      </c>
      <c r="I12" s="23" t="s">
        <v>46</v>
      </c>
      <c r="J12" s="23">
        <v>59.99</v>
      </c>
      <c r="K12" s="23">
        <v>47.22</v>
      </c>
      <c r="L12" s="23">
        <v>48.64</v>
      </c>
      <c r="M12" s="23">
        <v>43.77</v>
      </c>
      <c r="N12" s="23">
        <v>53.5</v>
      </c>
      <c r="O12" s="23">
        <v>0</v>
      </c>
      <c r="P12" s="23">
        <v>0</v>
      </c>
      <c r="Q12" s="23">
        <v>1</v>
      </c>
      <c r="R12" s="23">
        <v>0</v>
      </c>
      <c r="S12" s="23">
        <v>4</v>
      </c>
      <c r="T12" s="23">
        <v>6</v>
      </c>
      <c r="U12" s="23">
        <v>3</v>
      </c>
      <c r="V12" s="32">
        <v>0</v>
      </c>
      <c r="W12" s="32">
        <v>0.207626712</v>
      </c>
      <c r="X12" s="32">
        <v>0.206741774</v>
      </c>
      <c r="Y12" s="32">
        <v>0</v>
      </c>
      <c r="Z12" s="32">
        <v>0.0265322</v>
      </c>
      <c r="AA12" s="32">
        <v>0.058830725</v>
      </c>
      <c r="AB12" s="32">
        <v>0.127659574</v>
      </c>
      <c r="AC12" s="32">
        <v>0.05865822</v>
      </c>
      <c r="AD12" s="23">
        <f>VLOOKUP(B:B,库存明细报表10.16!L:P,5,0)</f>
        <v>4</v>
      </c>
      <c r="AE12" s="23">
        <f>VLOOKUP(B:B,库存明细报表10.16!L:Q,6,0)</f>
        <v>2</v>
      </c>
      <c r="AF12" s="23">
        <f>VLOOKUP(B:B,库存明细报表10.16!L:T,9,0)</f>
        <v>2</v>
      </c>
      <c r="AG12" s="23">
        <f>VLOOKUP(A:A,进销存报表10.16!A:J,10,0)</f>
        <v>4</v>
      </c>
      <c r="AH12" s="23">
        <f>VLOOKUP(A:A,进销存报表10.16!A:K,11,0)</f>
        <v>26</v>
      </c>
      <c r="AI12" s="23">
        <v>112.19</v>
      </c>
      <c r="AJ12" s="23">
        <v>100.12</v>
      </c>
      <c r="AK12" s="23">
        <v>0</v>
      </c>
      <c r="AL12" s="26">
        <v>3.666666667</v>
      </c>
      <c r="AM12" s="32">
        <f t="shared" si="0"/>
        <v>0</v>
      </c>
      <c r="AN12" s="44">
        <f t="shared" si="1"/>
        <v>0.0366227194067119</v>
      </c>
      <c r="AO12" s="2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</row>
    <row r="13" s="8" customFormat="1" customHeight="1" spans="1:53">
      <c r="A13" s="13" t="s">
        <v>82</v>
      </c>
      <c r="B13" s="13" t="s">
        <v>83</v>
      </c>
      <c r="C13" s="13" t="s">
        <v>84</v>
      </c>
      <c r="D13" s="23" t="s">
        <v>43</v>
      </c>
      <c r="E13" s="23" t="s">
        <v>55</v>
      </c>
      <c r="F13" s="23" t="s">
        <v>45</v>
      </c>
      <c r="G13" s="23" t="s">
        <v>46</v>
      </c>
      <c r="H13" s="43" t="s">
        <v>46</v>
      </c>
      <c r="I13" s="23" t="s">
        <v>46</v>
      </c>
      <c r="J13" s="23">
        <v>35.99</v>
      </c>
      <c r="K13" s="23">
        <v>31.15</v>
      </c>
      <c r="L13" s="23">
        <v>38.89</v>
      </c>
      <c r="M13" s="23">
        <v>35</v>
      </c>
      <c r="N13" s="23">
        <v>42.78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1</v>
      </c>
      <c r="U13" s="23">
        <v>3</v>
      </c>
      <c r="V13" s="32">
        <v>0</v>
      </c>
      <c r="W13" s="32">
        <v>0.017581344</v>
      </c>
      <c r="X13" s="32">
        <v>0.107368477</v>
      </c>
      <c r="Y13" s="32">
        <v>0</v>
      </c>
      <c r="Z13" s="32">
        <v>0.084637086</v>
      </c>
      <c r="AA13" s="32">
        <v>0.083842075</v>
      </c>
      <c r="AB13" s="32">
        <v>0.034482759</v>
      </c>
      <c r="AC13" s="32">
        <v>0.142520448</v>
      </c>
      <c r="AD13" s="23">
        <f>VLOOKUP(B:B,库存明细报表10.16!L:P,5,0)</f>
        <v>28</v>
      </c>
      <c r="AE13" s="23">
        <f>VLOOKUP(B:B,库存明细报表10.16!L:Q,6,0)</f>
        <v>28</v>
      </c>
      <c r="AF13" s="23">
        <f>VLOOKUP(B:B,库存明细报表10.16!L:T,9,0)</f>
        <v>0</v>
      </c>
      <c r="AG13" s="23">
        <f>VLOOKUP(A:A,进销存报表10.16!A:J,10,0)</f>
        <v>1</v>
      </c>
      <c r="AH13" s="23">
        <f>VLOOKUP(A:A,进销存报表10.16!A:K,11,0)</f>
        <v>7</v>
      </c>
      <c r="AI13" s="23">
        <v>85.95</v>
      </c>
      <c r="AJ13" s="23">
        <v>56.52</v>
      </c>
      <c r="AK13" s="23">
        <v>0</v>
      </c>
      <c r="AL13" s="26">
        <v>0.333333333</v>
      </c>
      <c r="AM13" s="32">
        <f t="shared" si="0"/>
        <v>0</v>
      </c>
      <c r="AN13" s="44">
        <f t="shared" si="1"/>
        <v>0.0058976173566879</v>
      </c>
      <c r="AO13" s="2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</row>
    <row r="14" s="8" customFormat="1" customHeight="1" spans="1:53">
      <c r="A14" s="13" t="s">
        <v>85</v>
      </c>
      <c r="B14" s="13" t="s">
        <v>86</v>
      </c>
      <c r="C14" s="13" t="s">
        <v>87</v>
      </c>
      <c r="D14" s="23" t="s">
        <v>43</v>
      </c>
      <c r="E14" s="23" t="s">
        <v>44</v>
      </c>
      <c r="F14" s="23" t="s">
        <v>45</v>
      </c>
      <c r="G14" s="23" t="s">
        <v>46</v>
      </c>
      <c r="H14" s="43" t="s">
        <v>46</v>
      </c>
      <c r="I14" s="23" t="s">
        <v>46</v>
      </c>
      <c r="J14" s="23">
        <v>45.99</v>
      </c>
      <c r="K14" s="23">
        <v>39.85</v>
      </c>
      <c r="L14" s="23">
        <v>43.92</v>
      </c>
      <c r="M14" s="23">
        <v>39.53</v>
      </c>
      <c r="N14" s="23">
        <v>48.32</v>
      </c>
      <c r="O14" s="23">
        <v>0</v>
      </c>
      <c r="P14" s="23">
        <v>0</v>
      </c>
      <c r="Q14" s="23">
        <v>0</v>
      </c>
      <c r="R14" s="23">
        <v>1</v>
      </c>
      <c r="S14" s="23">
        <v>1</v>
      </c>
      <c r="T14" s="23">
        <v>13</v>
      </c>
      <c r="U14" s="23">
        <v>1</v>
      </c>
      <c r="V14" s="32">
        <v>0</v>
      </c>
      <c r="W14" s="32">
        <v>0.0689396</v>
      </c>
      <c r="X14" s="32">
        <v>0.056724794</v>
      </c>
      <c r="Y14" s="32">
        <v>0.230769231</v>
      </c>
      <c r="Z14" s="32">
        <v>0.017662703</v>
      </c>
      <c r="AA14" s="32">
        <v>0.025364691</v>
      </c>
      <c r="AB14" s="32">
        <v>0.158536585</v>
      </c>
      <c r="AC14" s="32">
        <v>0.207875004</v>
      </c>
      <c r="AD14" s="23">
        <f>VLOOKUP(B:B,库存明细报表10.16!L:P,5,0)</f>
        <v>1</v>
      </c>
      <c r="AE14" s="23">
        <f>VLOOKUP(B:B,库存明细报表10.16!L:Q,6,0)</f>
        <v>0</v>
      </c>
      <c r="AF14" s="23">
        <f>VLOOKUP(B:B,库存明细报表10.16!L:T,9,0)</f>
        <v>0</v>
      </c>
      <c r="AG14" s="23">
        <f>VLOOKUP(A:A,进销存报表10.16!A:J,10,0)</f>
        <v>16</v>
      </c>
      <c r="AH14" s="23">
        <f>VLOOKUP(A:A,进销存报表10.16!A:K,11,0)</f>
        <v>14</v>
      </c>
      <c r="AI14" s="23">
        <v>166.85</v>
      </c>
      <c r="AJ14" s="23">
        <v>144.26</v>
      </c>
      <c r="AK14" s="23">
        <v>0</v>
      </c>
      <c r="AL14" s="26">
        <v>5</v>
      </c>
      <c r="AM14" s="32">
        <f t="shared" si="0"/>
        <v>0</v>
      </c>
      <c r="AN14" s="44">
        <f t="shared" si="1"/>
        <v>0.0346596423124913</v>
      </c>
      <c r="AO14" s="2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</row>
    <row r="15" s="8" customFormat="1" customHeight="1" spans="1:53">
      <c r="A15" s="13" t="s">
        <v>88</v>
      </c>
      <c r="B15" s="13" t="s">
        <v>89</v>
      </c>
      <c r="C15" s="13" t="s">
        <v>90</v>
      </c>
      <c r="D15" s="23" t="s">
        <v>43</v>
      </c>
      <c r="E15" s="23" t="s">
        <v>55</v>
      </c>
      <c r="F15" s="23" t="s">
        <v>45</v>
      </c>
      <c r="G15" s="23" t="s">
        <v>46</v>
      </c>
      <c r="H15" s="43" t="s">
        <v>47</v>
      </c>
      <c r="I15" s="23" t="s">
        <v>47</v>
      </c>
      <c r="J15" s="23">
        <v>26.99</v>
      </c>
      <c r="K15" s="23">
        <v>19.3</v>
      </c>
      <c r="L15" s="23">
        <v>22.23</v>
      </c>
      <c r="M15" s="23">
        <v>20.01</v>
      </c>
      <c r="N15" s="23">
        <v>24.46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32">
        <v>0</v>
      </c>
      <c r="W15" s="32">
        <v>0.302925604</v>
      </c>
      <c r="X15" s="32">
        <v>0.389753781</v>
      </c>
      <c r="Y15" s="32">
        <v>0</v>
      </c>
      <c r="Z15" s="32">
        <v>0.143386439</v>
      </c>
      <c r="AA15" s="32">
        <v>0.083851225</v>
      </c>
      <c r="AB15" s="32">
        <v>0</v>
      </c>
      <c r="AC15" s="32">
        <v>0</v>
      </c>
      <c r="AD15" s="23">
        <f>VLOOKUP(B:B,库存明细报表10.16!L:P,5,0)</f>
        <v>10</v>
      </c>
      <c r="AE15" s="23">
        <f>VLOOKUP(B:B,库存明细报表10.16!L:Q,6,0)</f>
        <v>10</v>
      </c>
      <c r="AF15" s="23">
        <f>VLOOKUP(B:B,库存明细报表10.16!L:T,9,0)</f>
        <v>3</v>
      </c>
      <c r="AG15" s="23">
        <f>VLOOKUP(A:A,进销存报表10.16!A:J,10,0)</f>
        <v>15</v>
      </c>
      <c r="AH15" s="23">
        <f>VLOOKUP(A:A,进销存报表10.16!A:K,11,0)</f>
        <v>0</v>
      </c>
      <c r="AI15" s="23">
        <v>3.41</v>
      </c>
      <c r="AJ15" s="23">
        <v>2.74</v>
      </c>
      <c r="AK15" s="23">
        <v>0</v>
      </c>
      <c r="AL15" s="26">
        <v>0.333333333</v>
      </c>
      <c r="AM15" s="32">
        <f t="shared" si="0"/>
        <v>0</v>
      </c>
      <c r="AN15" s="44">
        <f t="shared" si="1"/>
        <v>0.121654501094891</v>
      </c>
      <c r="AO15" s="2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s="8" customFormat="1" customHeight="1" spans="1:53">
      <c r="A16" s="13" t="s">
        <v>91</v>
      </c>
      <c r="B16" s="13" t="s">
        <v>92</v>
      </c>
      <c r="C16" s="13" t="s">
        <v>93</v>
      </c>
      <c r="D16" s="23" t="s">
        <v>43</v>
      </c>
      <c r="E16" s="23" t="s">
        <v>44</v>
      </c>
      <c r="F16" s="23" t="s">
        <v>45</v>
      </c>
      <c r="G16" s="23" t="s">
        <v>46</v>
      </c>
      <c r="H16" s="43" t="s">
        <v>48</v>
      </c>
      <c r="I16" s="23" t="s">
        <v>46</v>
      </c>
      <c r="J16" s="23">
        <v>37.99</v>
      </c>
      <c r="K16" s="23">
        <v>31.41</v>
      </c>
      <c r="L16" s="23">
        <v>33.23</v>
      </c>
      <c r="M16" s="23">
        <v>29.91</v>
      </c>
      <c r="N16" s="23">
        <v>36.55</v>
      </c>
      <c r="O16" s="23">
        <v>0</v>
      </c>
      <c r="P16" s="23">
        <v>0</v>
      </c>
      <c r="Q16" s="23">
        <v>1</v>
      </c>
      <c r="R16" s="23">
        <v>2</v>
      </c>
      <c r="S16" s="23">
        <v>3</v>
      </c>
      <c r="T16" s="23">
        <v>4</v>
      </c>
      <c r="U16" s="23">
        <v>1</v>
      </c>
      <c r="V16" s="32">
        <v>0</v>
      </c>
      <c r="W16" s="32">
        <v>0.224088615</v>
      </c>
      <c r="X16" s="32">
        <v>0.222377188</v>
      </c>
      <c r="Y16" s="32">
        <v>0.250164625</v>
      </c>
      <c r="Z16" s="32">
        <v>0.044712235</v>
      </c>
      <c r="AA16" s="32">
        <v>0.063811002</v>
      </c>
      <c r="AB16" s="32">
        <v>0.117647059</v>
      </c>
      <c r="AC16" s="32">
        <v>0.076722407</v>
      </c>
      <c r="AD16" s="23">
        <f>VLOOKUP(B:B,库存明细报表10.16!L:P,5,0)</f>
        <v>5</v>
      </c>
      <c r="AE16" s="23">
        <f>VLOOKUP(B:B,库存明细报表10.16!L:Q,6,0)</f>
        <v>1</v>
      </c>
      <c r="AF16" s="23">
        <f>VLOOKUP(B:B,库存明细报表10.16!L:T,9,0)</f>
        <v>0</v>
      </c>
      <c r="AG16" s="23">
        <f>VLOOKUP(A:A,进销存报表10.16!A:J,10,0)</f>
        <v>5</v>
      </c>
      <c r="AH16" s="23">
        <f>VLOOKUP(A:A,进销存报表10.16!A:K,11,0)</f>
        <v>0</v>
      </c>
      <c r="AI16" s="23">
        <v>53.38</v>
      </c>
      <c r="AJ16" s="23">
        <v>39.8</v>
      </c>
      <c r="AK16" s="23">
        <v>0</v>
      </c>
      <c r="AL16" s="26">
        <v>3.666666667</v>
      </c>
      <c r="AM16" s="32">
        <f t="shared" si="0"/>
        <v>0</v>
      </c>
      <c r="AN16" s="44">
        <f t="shared" si="1"/>
        <v>0.0921273031909548</v>
      </c>
      <c r="AO16" s="2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s="8" customFormat="1" customHeight="1" spans="1:53">
      <c r="A17" s="13" t="s">
        <v>94</v>
      </c>
      <c r="B17" s="13" t="s">
        <v>95</v>
      </c>
      <c r="C17" s="13" t="s">
        <v>96</v>
      </c>
      <c r="D17" s="23" t="s">
        <v>43</v>
      </c>
      <c r="E17" s="23" t="s">
        <v>55</v>
      </c>
      <c r="F17" s="23" t="s">
        <v>45</v>
      </c>
      <c r="G17" s="23" t="s">
        <v>46</v>
      </c>
      <c r="H17" s="43" t="s">
        <v>48</v>
      </c>
      <c r="I17" s="23" t="s">
        <v>48</v>
      </c>
      <c r="J17" s="23">
        <v>31.99</v>
      </c>
      <c r="K17" s="23">
        <v>23.56</v>
      </c>
      <c r="L17" s="23">
        <v>31.41</v>
      </c>
      <c r="M17" s="23">
        <v>28.27</v>
      </c>
      <c r="N17" s="23">
        <v>34.56</v>
      </c>
      <c r="O17" s="23">
        <v>0</v>
      </c>
      <c r="P17" s="23">
        <v>0</v>
      </c>
      <c r="Q17" s="23">
        <v>0</v>
      </c>
      <c r="R17" s="23">
        <v>0</v>
      </c>
      <c r="S17" s="23">
        <v>2</v>
      </c>
      <c r="T17" s="23">
        <v>2</v>
      </c>
      <c r="U17" s="23">
        <v>1</v>
      </c>
      <c r="V17" s="32">
        <v>0</v>
      </c>
      <c r="W17" s="32">
        <v>0.214637893</v>
      </c>
      <c r="X17" s="32">
        <v>0.17609004</v>
      </c>
      <c r="Y17" s="32">
        <v>0</v>
      </c>
      <c r="Z17" s="32">
        <v>0.051161821</v>
      </c>
      <c r="AA17" s="32">
        <v>0.083846551</v>
      </c>
      <c r="AB17" s="32">
        <v>0.058823529</v>
      </c>
      <c r="AC17" s="32">
        <v>0.166325035</v>
      </c>
      <c r="AD17" s="23">
        <f>VLOOKUP(B:B,库存明细报表10.16!L:P,5,0)</f>
        <v>13</v>
      </c>
      <c r="AE17" s="23">
        <f>VLOOKUP(B:B,库存明细报表10.16!L:Q,6,0)</f>
        <v>13</v>
      </c>
      <c r="AF17" s="23">
        <f>VLOOKUP(B:B,库存明细报表10.16!L:T,9,0)</f>
        <v>0</v>
      </c>
      <c r="AG17" s="23">
        <f>VLOOKUP(A:A,进销存报表10.16!A:J,10,0)</f>
        <v>46</v>
      </c>
      <c r="AH17" s="23">
        <f>VLOOKUP(A:A,进销存报表10.16!A:K,11,0)</f>
        <v>0</v>
      </c>
      <c r="AI17" s="23">
        <v>78.55</v>
      </c>
      <c r="AJ17" s="23">
        <v>44.71</v>
      </c>
      <c r="AK17" s="23">
        <v>0</v>
      </c>
      <c r="AL17" s="26">
        <v>1.666666667</v>
      </c>
      <c r="AM17" s="32">
        <f t="shared" si="0"/>
        <v>0</v>
      </c>
      <c r="AN17" s="44">
        <f t="shared" si="1"/>
        <v>0.0372772683292328</v>
      </c>
      <c r="AO17" s="2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="8" customFormat="1" customHeight="1" spans="1:53">
      <c r="A18" s="13" t="s">
        <v>97</v>
      </c>
      <c r="B18" s="13" t="s">
        <v>98</v>
      </c>
      <c r="C18" s="13" t="s">
        <v>99</v>
      </c>
      <c r="D18" s="23" t="s">
        <v>43</v>
      </c>
      <c r="E18" s="23" t="s">
        <v>44</v>
      </c>
      <c r="F18" s="23" t="s">
        <v>45</v>
      </c>
      <c r="G18" s="23" t="s">
        <v>46</v>
      </c>
      <c r="H18" s="43" t="s">
        <v>46</v>
      </c>
      <c r="I18" s="23" t="s">
        <v>48</v>
      </c>
      <c r="J18" s="23">
        <v>25.99</v>
      </c>
      <c r="K18" s="23">
        <v>20.78</v>
      </c>
      <c r="L18" s="23">
        <v>24.67</v>
      </c>
      <c r="M18" s="23">
        <v>22.2</v>
      </c>
      <c r="N18" s="23">
        <v>27.13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2</v>
      </c>
      <c r="U18" s="23">
        <v>1</v>
      </c>
      <c r="V18" s="32">
        <v>0</v>
      </c>
      <c r="W18" s="32">
        <v>0.122634729</v>
      </c>
      <c r="X18" s="32">
        <v>0.164532196</v>
      </c>
      <c r="Y18" s="32">
        <v>0</v>
      </c>
      <c r="Z18" s="32">
        <v>0.046432616</v>
      </c>
      <c r="AA18" s="32">
        <v>0.083851748</v>
      </c>
      <c r="AB18" s="32">
        <v>0.142857143</v>
      </c>
      <c r="AC18" s="32">
        <v>0</v>
      </c>
      <c r="AD18" s="23">
        <f>VLOOKUP(B:B,库存明细报表10.16!L:P,5,0)</f>
        <v>12</v>
      </c>
      <c r="AE18" s="23">
        <f>VLOOKUP(B:B,库存明细报表10.16!L:Q,6,0)</f>
        <v>12</v>
      </c>
      <c r="AF18" s="23">
        <f>VLOOKUP(B:B,库存明细报表10.16!L:T,9,0)</f>
        <v>0</v>
      </c>
      <c r="AG18" s="23">
        <f>VLOOKUP(A:A,进销存报表10.16!A:J,10,0)</f>
        <v>10</v>
      </c>
      <c r="AH18" s="23">
        <f>VLOOKUP(A:A,进销存报表10.16!A:K,11,0)</f>
        <v>51</v>
      </c>
      <c r="AI18" s="23">
        <v>273.16</v>
      </c>
      <c r="AJ18" s="23">
        <v>229.46</v>
      </c>
      <c r="AK18" s="23">
        <v>0</v>
      </c>
      <c r="AL18" s="26">
        <v>0.666666667</v>
      </c>
      <c r="AM18" s="32">
        <f t="shared" si="0"/>
        <v>0</v>
      </c>
      <c r="AN18" s="44">
        <f t="shared" si="1"/>
        <v>0.0029053720343415</v>
      </c>
      <c r="AO18" s="2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="8" customFormat="1" customHeight="1" spans="1:53">
      <c r="A19" s="13" t="s">
        <v>100</v>
      </c>
      <c r="B19" s="13" t="s">
        <v>101</v>
      </c>
      <c r="C19" s="13" t="s">
        <v>102</v>
      </c>
      <c r="D19" s="23" t="s">
        <v>43</v>
      </c>
      <c r="E19" s="23" t="s">
        <v>44</v>
      </c>
      <c r="F19" s="23" t="s">
        <v>45</v>
      </c>
      <c r="G19" s="23" t="s">
        <v>46</v>
      </c>
      <c r="H19" s="43" t="s">
        <v>48</v>
      </c>
      <c r="I19" s="23" t="s">
        <v>46</v>
      </c>
      <c r="J19" s="23">
        <v>39.99</v>
      </c>
      <c r="K19" s="23">
        <v>32.08</v>
      </c>
      <c r="L19" s="23">
        <v>47.1</v>
      </c>
      <c r="M19" s="23">
        <v>42.39</v>
      </c>
      <c r="N19" s="23">
        <v>51.81</v>
      </c>
      <c r="O19" s="23">
        <v>0</v>
      </c>
      <c r="P19" s="23">
        <v>0</v>
      </c>
      <c r="Q19" s="23">
        <v>0</v>
      </c>
      <c r="R19" s="23">
        <v>1</v>
      </c>
      <c r="S19" s="23">
        <v>0</v>
      </c>
      <c r="T19" s="23">
        <v>4</v>
      </c>
      <c r="U19" s="23">
        <v>2</v>
      </c>
      <c r="V19" s="32">
        <v>0</v>
      </c>
      <c r="W19" s="32">
        <v>0.229558633</v>
      </c>
      <c r="X19" s="32">
        <v>0.293201236</v>
      </c>
      <c r="Y19" s="32">
        <v>0</v>
      </c>
      <c r="Z19" s="32">
        <v>0.024765004</v>
      </c>
      <c r="AA19" s="32">
        <v>0.042385051</v>
      </c>
      <c r="AB19" s="32">
        <v>0.181818182</v>
      </c>
      <c r="AC19" s="32">
        <v>0.199589126</v>
      </c>
      <c r="AD19" s="23">
        <f>VLOOKUP(B:B,库存明细报表10.16!L:P,5,0)</f>
        <v>5</v>
      </c>
      <c r="AE19" s="23">
        <f>VLOOKUP(B:B,库存明细报表10.16!L:Q,6,0)</f>
        <v>5</v>
      </c>
      <c r="AF19" s="23">
        <f>VLOOKUP(B:B,库存明细报表10.16!L:T,9,0)</f>
        <v>0</v>
      </c>
      <c r="AG19" s="23">
        <f>VLOOKUP(A:A,进销存报表10.16!A:J,10,0)</f>
        <v>0</v>
      </c>
      <c r="AH19" s="23">
        <f>VLOOKUP(A:A,进销存报表10.16!A:K,11,0)</f>
        <v>50</v>
      </c>
      <c r="AI19" s="23">
        <v>146.93</v>
      </c>
      <c r="AJ19" s="23">
        <v>65.38</v>
      </c>
      <c r="AK19" s="23">
        <v>0</v>
      </c>
      <c r="AL19" s="26">
        <v>1.666666667</v>
      </c>
      <c r="AM19" s="32">
        <f t="shared" si="0"/>
        <v>0</v>
      </c>
      <c r="AN19" s="44">
        <f t="shared" si="1"/>
        <v>0.0254919955185072</v>
      </c>
      <c r="AO19" s="2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</row>
    <row r="20" s="8" customFormat="1" customHeight="1" spans="1:53">
      <c r="A20" s="13" t="s">
        <v>103</v>
      </c>
      <c r="B20" s="13" t="s">
        <v>104</v>
      </c>
      <c r="C20" s="13" t="s">
        <v>105</v>
      </c>
      <c r="D20" s="23" t="s">
        <v>43</v>
      </c>
      <c r="E20" s="23" t="s">
        <v>44</v>
      </c>
      <c r="F20" s="23" t="s">
        <v>45</v>
      </c>
      <c r="G20" s="23" t="s">
        <v>46</v>
      </c>
      <c r="H20" s="43" t="s">
        <v>56</v>
      </c>
      <c r="I20" s="23" t="s">
        <v>46</v>
      </c>
      <c r="J20" s="23">
        <v>85.99</v>
      </c>
      <c r="K20" s="23">
        <v>63.59</v>
      </c>
      <c r="L20" s="23">
        <v>71.24</v>
      </c>
      <c r="M20" s="23">
        <v>64.11</v>
      </c>
      <c r="N20" s="23">
        <v>78.36</v>
      </c>
      <c r="O20" s="23">
        <v>0</v>
      </c>
      <c r="P20" s="23">
        <v>0</v>
      </c>
      <c r="Q20" s="23">
        <v>0</v>
      </c>
      <c r="R20" s="23">
        <v>5</v>
      </c>
      <c r="S20" s="23">
        <v>3</v>
      </c>
      <c r="T20" s="23">
        <v>1</v>
      </c>
      <c r="U20" s="23">
        <v>0</v>
      </c>
      <c r="V20" s="32">
        <v>0</v>
      </c>
      <c r="W20" s="32">
        <v>0.163750308</v>
      </c>
      <c r="X20" s="32">
        <v>0</v>
      </c>
      <c r="Y20" s="32">
        <v>0</v>
      </c>
      <c r="Z20" s="32" t="s">
        <v>69</v>
      </c>
      <c r="AA20" s="32" t="s">
        <v>69</v>
      </c>
      <c r="AB20" s="32">
        <v>0.055555556</v>
      </c>
      <c r="AC20" s="32">
        <v>0</v>
      </c>
      <c r="AD20" s="23">
        <f>VLOOKUP(B:B,库存明细报表10.16!L:P,5,0)</f>
        <v>6</v>
      </c>
      <c r="AE20" s="23">
        <f>VLOOKUP(B:B,库存明细报表10.16!L:Q,6,0)</f>
        <v>6</v>
      </c>
      <c r="AF20" s="23">
        <f>VLOOKUP(B:B,库存明细报表10.16!L:T,9,0)</f>
        <v>0</v>
      </c>
      <c r="AG20" s="23">
        <f>VLOOKUP(A:A,进销存报表10.16!A:J,10,0)</f>
        <v>4</v>
      </c>
      <c r="AH20" s="23">
        <f>VLOOKUP(A:A,进销存报表10.16!A:K,11,0)</f>
        <v>8</v>
      </c>
      <c r="AI20" s="23">
        <v>33.15</v>
      </c>
      <c r="AJ20" s="23">
        <v>25.37</v>
      </c>
      <c r="AK20" s="23">
        <v>0</v>
      </c>
      <c r="AL20" s="26">
        <v>2.666666667</v>
      </c>
      <c r="AM20" s="32">
        <f t="shared" si="0"/>
        <v>0</v>
      </c>
      <c r="AN20" s="44">
        <f t="shared" si="1"/>
        <v>0.10511102353173</v>
      </c>
      <c r="AO20" s="2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</row>
    <row r="21" s="8" customFormat="1" customHeight="1" spans="1:53">
      <c r="A21" s="13" t="s">
        <v>106</v>
      </c>
      <c r="B21" s="13" t="s">
        <v>107</v>
      </c>
      <c r="C21" s="13" t="s">
        <v>108</v>
      </c>
      <c r="D21" s="23" t="s">
        <v>43</v>
      </c>
      <c r="E21" s="23" t="s">
        <v>55</v>
      </c>
      <c r="F21" s="23" t="s">
        <v>45</v>
      </c>
      <c r="G21" s="23" t="s">
        <v>46</v>
      </c>
      <c r="H21" s="43" t="s">
        <v>48</v>
      </c>
      <c r="I21" s="23" t="s">
        <v>48</v>
      </c>
      <c r="J21" s="23">
        <v>33.99</v>
      </c>
      <c r="K21" s="23">
        <v>25.01</v>
      </c>
      <c r="L21" s="23">
        <v>31.36</v>
      </c>
      <c r="M21" s="23">
        <v>28.22</v>
      </c>
      <c r="N21" s="23">
        <v>34.49</v>
      </c>
      <c r="O21" s="23">
        <v>0</v>
      </c>
      <c r="P21" s="23">
        <v>1</v>
      </c>
      <c r="Q21" s="23">
        <v>1</v>
      </c>
      <c r="R21" s="23">
        <v>4</v>
      </c>
      <c r="S21" s="23">
        <v>6</v>
      </c>
      <c r="T21" s="23">
        <v>6</v>
      </c>
      <c r="U21" s="23">
        <v>6</v>
      </c>
      <c r="V21" s="32">
        <v>-0.226249676</v>
      </c>
      <c r="W21" s="32">
        <v>0.220970205</v>
      </c>
      <c r="X21" s="32">
        <v>0.204952941</v>
      </c>
      <c r="Y21" s="32">
        <v>0.126582736</v>
      </c>
      <c r="Z21" s="32">
        <v>0.019137544</v>
      </c>
      <c r="AA21" s="32">
        <v>0.076175209</v>
      </c>
      <c r="AB21" s="32">
        <v>0.12244898</v>
      </c>
      <c r="AC21" s="32">
        <v>0.249448075</v>
      </c>
      <c r="AD21" s="23">
        <f>VLOOKUP(B:B,库存明细报表10.16!L:P,5,0)</f>
        <v>26</v>
      </c>
      <c r="AE21" s="23">
        <f>VLOOKUP(B:B,库存明细报表10.16!L:Q,6,0)</f>
        <v>26</v>
      </c>
      <c r="AF21" s="23">
        <f>VLOOKUP(B:B,库存明细报表10.16!L:T,9,0)</f>
        <v>0</v>
      </c>
      <c r="AG21" s="23">
        <f>VLOOKUP(A:A,进销存报表10.16!A:J,10,0)</f>
        <v>11</v>
      </c>
      <c r="AH21" s="23">
        <f>VLOOKUP(A:A,进销存报表10.16!A:K,11,0)</f>
        <v>0</v>
      </c>
      <c r="AI21" s="23">
        <v>327.34</v>
      </c>
      <c r="AJ21" s="23">
        <v>194.02</v>
      </c>
      <c r="AK21" s="23">
        <v>0.33</v>
      </c>
      <c r="AL21" s="26">
        <v>6</v>
      </c>
      <c r="AM21" s="32">
        <f t="shared" si="0"/>
        <v>0.00100812610741125</v>
      </c>
      <c r="AN21" s="44">
        <f t="shared" si="1"/>
        <v>0.0309246469436141</v>
      </c>
      <c r="AO21" s="2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="8" customFormat="1" customHeight="1" spans="1:53">
      <c r="A22" s="13" t="s">
        <v>109</v>
      </c>
      <c r="B22" s="13" t="s">
        <v>110</v>
      </c>
      <c r="C22" s="13" t="s">
        <v>111</v>
      </c>
      <c r="D22" s="23" t="s">
        <v>43</v>
      </c>
      <c r="E22" s="23" t="s">
        <v>44</v>
      </c>
      <c r="F22" s="23" t="s">
        <v>45</v>
      </c>
      <c r="G22" s="23" t="s">
        <v>46</v>
      </c>
      <c r="H22" s="43" t="s">
        <v>46</v>
      </c>
      <c r="I22" s="23" t="s">
        <v>46</v>
      </c>
      <c r="J22" s="23">
        <v>27.99</v>
      </c>
      <c r="K22" s="23">
        <v>24.31</v>
      </c>
      <c r="L22" s="23">
        <v>23.74</v>
      </c>
      <c r="M22" s="23">
        <v>21.37</v>
      </c>
      <c r="N22" s="23">
        <v>26.11</v>
      </c>
      <c r="O22" s="23">
        <v>0</v>
      </c>
      <c r="P22" s="23">
        <v>0</v>
      </c>
      <c r="Q22" s="23">
        <v>2</v>
      </c>
      <c r="R22" s="23">
        <v>6</v>
      </c>
      <c r="S22" s="23">
        <v>3</v>
      </c>
      <c r="T22" s="23">
        <v>0</v>
      </c>
      <c r="U22" s="23">
        <v>2</v>
      </c>
      <c r="V22" s="32">
        <v>0.081142765</v>
      </c>
      <c r="W22" s="32">
        <v>0.096450859</v>
      </c>
      <c r="X22" s="32">
        <v>0</v>
      </c>
      <c r="Y22" s="32">
        <v>0</v>
      </c>
      <c r="Z22" s="32" t="s">
        <v>69</v>
      </c>
      <c r="AA22" s="32" t="s">
        <v>69</v>
      </c>
      <c r="AB22" s="32">
        <v>0</v>
      </c>
      <c r="AC22" s="32">
        <v>0</v>
      </c>
      <c r="AD22" s="23">
        <f>VLOOKUP(B:B,库存明细报表10.16!L:P,5,0)</f>
        <v>7</v>
      </c>
      <c r="AE22" s="23">
        <f>VLOOKUP(B:B,库存明细报表10.16!L:Q,6,0)</f>
        <v>7</v>
      </c>
      <c r="AF22" s="23">
        <f>VLOOKUP(B:B,库存明细报表10.16!L:T,9,0)</f>
        <v>0</v>
      </c>
      <c r="AG22" s="23">
        <f>VLOOKUP(A:A,进销存报表10.16!A:J,10,0)</f>
        <v>29</v>
      </c>
      <c r="AH22" s="23">
        <f>VLOOKUP(A:A,进销存报表10.16!A:K,11,0)</f>
        <v>27</v>
      </c>
      <c r="AI22" s="23">
        <v>347.13</v>
      </c>
      <c r="AJ22" s="23">
        <v>242.79</v>
      </c>
      <c r="AK22" s="23">
        <v>0.67</v>
      </c>
      <c r="AL22" s="26">
        <v>3.333333333</v>
      </c>
      <c r="AM22" s="32">
        <f t="shared" si="0"/>
        <v>0.00193011263791663</v>
      </c>
      <c r="AN22" s="44">
        <f t="shared" si="1"/>
        <v>0.0137292859384653</v>
      </c>
      <c r="AO22" s="2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</row>
    <row r="23" s="8" customFormat="1" customHeight="1" spans="1:53">
      <c r="A23" s="13" t="s">
        <v>112</v>
      </c>
      <c r="B23" s="13" t="s">
        <v>113</v>
      </c>
      <c r="C23" s="13" t="s">
        <v>114</v>
      </c>
      <c r="D23" s="23" t="s">
        <v>43</v>
      </c>
      <c r="E23" s="23" t="s">
        <v>44</v>
      </c>
      <c r="F23" s="23" t="s">
        <v>45</v>
      </c>
      <c r="G23" s="23" t="s">
        <v>46</v>
      </c>
      <c r="H23" s="43" t="s">
        <v>48</v>
      </c>
      <c r="I23" s="23" t="s">
        <v>46</v>
      </c>
      <c r="J23" s="23">
        <v>22.99</v>
      </c>
      <c r="K23" s="23">
        <v>16.52</v>
      </c>
      <c r="L23" s="23">
        <v>18.84</v>
      </c>
      <c r="M23" s="23">
        <v>16.96</v>
      </c>
      <c r="N23" s="23">
        <v>20.73</v>
      </c>
      <c r="O23" s="23">
        <v>0</v>
      </c>
      <c r="P23" s="23">
        <v>0</v>
      </c>
      <c r="Q23" s="23">
        <v>2</v>
      </c>
      <c r="R23" s="23">
        <v>9</v>
      </c>
      <c r="S23" s="23">
        <v>5</v>
      </c>
      <c r="T23" s="23">
        <v>7</v>
      </c>
      <c r="U23" s="23">
        <v>4</v>
      </c>
      <c r="V23" s="32">
        <v>0.132784289</v>
      </c>
      <c r="W23" s="32">
        <v>0.20965005</v>
      </c>
      <c r="X23" s="32">
        <v>0.192863855</v>
      </c>
      <c r="Y23" s="32">
        <v>0</v>
      </c>
      <c r="Z23" s="32">
        <v>0.075979472</v>
      </c>
      <c r="AA23" s="32">
        <v>0.072353274</v>
      </c>
      <c r="AB23" s="32">
        <v>0.111111111</v>
      </c>
      <c r="AC23" s="32">
        <v>0</v>
      </c>
      <c r="AD23" s="23">
        <f>VLOOKUP(B:B,库存明细报表10.16!L:P,5,0)</f>
        <v>27</v>
      </c>
      <c r="AE23" s="23">
        <f>VLOOKUP(B:B,库存明细报表10.16!L:Q,6,0)</f>
        <v>26</v>
      </c>
      <c r="AF23" s="23">
        <f>VLOOKUP(B:B,库存明细报表10.16!L:T,9,0)</f>
        <v>0</v>
      </c>
      <c r="AG23" s="23">
        <f>VLOOKUP(A:A,进销存报表10.16!A:J,10,0)</f>
        <v>3</v>
      </c>
      <c r="AH23" s="23">
        <f>VLOOKUP(A:A,进销存报表10.16!A:K,11,0)</f>
        <v>28</v>
      </c>
      <c r="AI23" s="23">
        <v>318</v>
      </c>
      <c r="AJ23" s="23">
        <v>232.58</v>
      </c>
      <c r="AK23" s="23">
        <v>0.67</v>
      </c>
      <c r="AL23" s="26">
        <v>7</v>
      </c>
      <c r="AM23" s="32">
        <f t="shared" si="0"/>
        <v>0.00210691823899371</v>
      </c>
      <c r="AN23" s="44">
        <f t="shared" si="1"/>
        <v>0.0300971708659386</v>
      </c>
      <c r="AO23" s="2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</row>
    <row r="24" s="8" customFormat="1" customHeight="1" spans="1:53">
      <c r="A24" s="13" t="s">
        <v>115</v>
      </c>
      <c r="B24" s="13" t="s">
        <v>116</v>
      </c>
      <c r="C24" s="13" t="s">
        <v>117</v>
      </c>
      <c r="D24" s="23" t="s">
        <v>43</v>
      </c>
      <c r="E24" s="23" t="s">
        <v>44</v>
      </c>
      <c r="F24" s="23" t="s">
        <v>45</v>
      </c>
      <c r="G24" s="23" t="s">
        <v>48</v>
      </c>
      <c r="H24" s="43" t="s">
        <v>46</v>
      </c>
      <c r="I24" s="23" t="s">
        <v>48</v>
      </c>
      <c r="J24" s="23">
        <v>38.99</v>
      </c>
      <c r="K24" s="23">
        <v>32.05</v>
      </c>
      <c r="L24" s="23">
        <v>37.99</v>
      </c>
      <c r="M24" s="23">
        <v>34.19</v>
      </c>
      <c r="N24" s="23">
        <v>41.79</v>
      </c>
      <c r="O24" s="23">
        <v>0</v>
      </c>
      <c r="P24" s="23">
        <v>0</v>
      </c>
      <c r="Q24" s="23">
        <v>1</v>
      </c>
      <c r="R24" s="23">
        <v>7</v>
      </c>
      <c r="S24" s="23">
        <v>2</v>
      </c>
      <c r="T24" s="23">
        <v>0</v>
      </c>
      <c r="U24" s="23">
        <v>1</v>
      </c>
      <c r="V24" s="32">
        <v>0.231432321</v>
      </c>
      <c r="W24" s="32">
        <v>0.160108306</v>
      </c>
      <c r="X24" s="32">
        <v>0</v>
      </c>
      <c r="Y24" s="32">
        <v>0</v>
      </c>
      <c r="Z24" s="32" t="s">
        <v>69</v>
      </c>
      <c r="AA24" s="32" t="s">
        <v>69</v>
      </c>
      <c r="AB24" s="32">
        <v>0</v>
      </c>
      <c r="AC24" s="32">
        <v>0</v>
      </c>
      <c r="AD24" s="23">
        <f>VLOOKUP(B:B,库存明细报表10.16!L:P,5,0)</f>
        <v>9</v>
      </c>
      <c r="AE24" s="23">
        <f>VLOOKUP(B:B,库存明细报表10.16!L:Q,6,0)</f>
        <v>0</v>
      </c>
      <c r="AF24" s="23">
        <f>VLOOKUP(B:B,库存明细报表10.16!L:T,9,0)</f>
        <v>0</v>
      </c>
      <c r="AG24" s="23">
        <f>VLOOKUP(A:A,进销存报表10.16!A:J,10,0)</f>
        <v>8</v>
      </c>
      <c r="AH24" s="23">
        <f>VLOOKUP(A:A,进销存报表10.16!A:K,11,0)</f>
        <v>26</v>
      </c>
      <c r="AI24" s="23">
        <v>155.92</v>
      </c>
      <c r="AJ24" s="23">
        <v>123.99</v>
      </c>
      <c r="AK24" s="23">
        <v>0.33</v>
      </c>
      <c r="AL24" s="26">
        <v>3.333333333</v>
      </c>
      <c r="AM24" s="32">
        <f t="shared" si="0"/>
        <v>0.00211646998460749</v>
      </c>
      <c r="AN24" s="44">
        <f t="shared" si="1"/>
        <v>0.0268838884829422</v>
      </c>
      <c r="AO24" s="2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</row>
    <row r="25" s="8" customFormat="1" customHeight="1" spans="1:53">
      <c r="A25" s="13" t="s">
        <v>118</v>
      </c>
      <c r="B25" s="13" t="s">
        <v>119</v>
      </c>
      <c r="C25" s="13" t="s">
        <v>120</v>
      </c>
      <c r="D25" s="23" t="s">
        <v>43</v>
      </c>
      <c r="E25" s="23" t="s">
        <v>44</v>
      </c>
      <c r="F25" s="23" t="s">
        <v>45</v>
      </c>
      <c r="G25" s="23" t="s">
        <v>48</v>
      </c>
      <c r="H25" s="43" t="s">
        <v>46</v>
      </c>
      <c r="I25" s="23" t="s">
        <v>48</v>
      </c>
      <c r="J25" s="23">
        <v>24.99</v>
      </c>
      <c r="K25" s="23">
        <v>19.05</v>
      </c>
      <c r="L25" s="23">
        <v>23.99</v>
      </c>
      <c r="M25" s="23">
        <v>21.59</v>
      </c>
      <c r="N25" s="23">
        <v>26.39</v>
      </c>
      <c r="O25" s="23">
        <v>0</v>
      </c>
      <c r="P25" s="23">
        <v>0</v>
      </c>
      <c r="Q25" s="23">
        <v>1</v>
      </c>
      <c r="R25" s="23">
        <v>1</v>
      </c>
      <c r="S25" s="23">
        <v>1</v>
      </c>
      <c r="T25" s="23">
        <v>2</v>
      </c>
      <c r="U25" s="23">
        <v>1</v>
      </c>
      <c r="V25" s="32">
        <v>0.309602163</v>
      </c>
      <c r="W25" s="32">
        <v>0.088390617</v>
      </c>
      <c r="X25" s="32">
        <v>0.062125706</v>
      </c>
      <c r="Y25" s="32">
        <v>0</v>
      </c>
      <c r="Z25" s="32">
        <v>0.084433774</v>
      </c>
      <c r="AA25" s="32">
        <v>0.083853506</v>
      </c>
      <c r="AB25" s="32">
        <v>0.095238095</v>
      </c>
      <c r="AC25" s="32">
        <v>0.036980607</v>
      </c>
      <c r="AD25" s="23">
        <f>VLOOKUP(B:B,库存明细报表10.16!L:P,5,0)</f>
        <v>11</v>
      </c>
      <c r="AE25" s="23">
        <f>VLOOKUP(B:B,库存明细报表10.16!L:Q,6,0)</f>
        <v>10</v>
      </c>
      <c r="AF25" s="23">
        <f>VLOOKUP(B:B,库存明细报表10.16!L:T,9,0)</f>
        <v>2</v>
      </c>
      <c r="AG25" s="23">
        <f>VLOOKUP(A:A,进销存报表10.16!A:J,10,0)</f>
        <v>21</v>
      </c>
      <c r="AH25" s="23">
        <f>VLOOKUP(A:A,进销存报表10.16!A:K,11,0)</f>
        <v>1</v>
      </c>
      <c r="AI25" s="23">
        <v>153.58</v>
      </c>
      <c r="AJ25" s="23">
        <v>115.22</v>
      </c>
      <c r="AK25" s="23">
        <v>0.33</v>
      </c>
      <c r="AL25" s="26">
        <v>1.333333333</v>
      </c>
      <c r="AM25" s="32">
        <f t="shared" si="0"/>
        <v>0.00214871728089595</v>
      </c>
      <c r="AN25" s="44">
        <f t="shared" si="1"/>
        <v>0.0115720650321125</v>
      </c>
      <c r="AO25" s="2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="8" customFormat="1" customHeight="1" spans="1:53">
      <c r="A26" s="13" t="s">
        <v>121</v>
      </c>
      <c r="B26" s="13" t="s">
        <v>122</v>
      </c>
      <c r="C26" s="13" t="s">
        <v>123</v>
      </c>
      <c r="D26" s="23" t="s">
        <v>43</v>
      </c>
      <c r="E26" s="23" t="s">
        <v>44</v>
      </c>
      <c r="F26" s="23" t="s">
        <v>45</v>
      </c>
      <c r="G26" s="23" t="s">
        <v>48</v>
      </c>
      <c r="H26" s="43" t="s">
        <v>48</v>
      </c>
      <c r="I26" s="23" t="s">
        <v>48</v>
      </c>
      <c r="J26" s="23">
        <v>38.99</v>
      </c>
      <c r="K26" s="23">
        <v>22.2</v>
      </c>
      <c r="L26" s="23">
        <v>38.95</v>
      </c>
      <c r="M26" s="23">
        <v>35.05</v>
      </c>
      <c r="N26" s="23">
        <v>42.84</v>
      </c>
      <c r="O26" s="23">
        <v>0</v>
      </c>
      <c r="P26" s="23">
        <v>0</v>
      </c>
      <c r="Q26" s="23">
        <v>1</v>
      </c>
      <c r="R26" s="23">
        <v>1</v>
      </c>
      <c r="S26" s="23">
        <v>1</v>
      </c>
      <c r="T26" s="23">
        <v>4</v>
      </c>
      <c r="U26" s="23">
        <v>0</v>
      </c>
      <c r="V26" s="32">
        <v>0.38353171</v>
      </c>
      <c r="W26" s="32">
        <v>0.309512886</v>
      </c>
      <c r="X26" s="32">
        <v>0.313830311</v>
      </c>
      <c r="Y26" s="32">
        <v>0</v>
      </c>
      <c r="Z26" s="32">
        <v>0.065070493</v>
      </c>
      <c r="AA26" s="32">
        <v>0.083824903</v>
      </c>
      <c r="AB26" s="32">
        <v>0.117647059</v>
      </c>
      <c r="AC26" s="32">
        <v>0.106965054</v>
      </c>
      <c r="AD26" s="23">
        <f>VLOOKUP(B:B,库存明细报表10.16!L:P,5,0)</f>
        <v>15</v>
      </c>
      <c r="AE26" s="23">
        <f>VLOOKUP(B:B,库存明细报表10.16!L:Q,6,0)</f>
        <v>14</v>
      </c>
      <c r="AF26" s="23">
        <f>VLOOKUP(B:B,库存明细报表10.16!L:T,9,0)</f>
        <v>0</v>
      </c>
      <c r="AG26" s="23">
        <f>VLOOKUP(A:A,进销存报表10.16!A:J,10,0)</f>
        <v>19</v>
      </c>
      <c r="AH26" s="23">
        <f>VLOOKUP(A:A,进销存报表10.16!A:K,11,0)</f>
        <v>12</v>
      </c>
      <c r="AI26" s="23">
        <v>131.47</v>
      </c>
      <c r="AJ26" s="23">
        <v>90.4</v>
      </c>
      <c r="AK26" s="23">
        <v>0.33</v>
      </c>
      <c r="AL26" s="26">
        <v>1.666666667</v>
      </c>
      <c r="AM26" s="32">
        <f t="shared" si="0"/>
        <v>0.00251007834486955</v>
      </c>
      <c r="AN26" s="44">
        <f t="shared" si="1"/>
        <v>0.0184365781747788</v>
      </c>
      <c r="AO26" s="2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="8" customFormat="1" customHeight="1" spans="1:53">
      <c r="A27" s="13" t="s">
        <v>124</v>
      </c>
      <c r="B27" s="13" t="s">
        <v>125</v>
      </c>
      <c r="C27" s="13" t="s">
        <v>126</v>
      </c>
      <c r="D27" s="23" t="s">
        <v>43</v>
      </c>
      <c r="E27" s="23" t="s">
        <v>44</v>
      </c>
      <c r="F27" s="23" t="s">
        <v>45</v>
      </c>
      <c r="G27" s="23" t="s">
        <v>46</v>
      </c>
      <c r="H27" s="43" t="s">
        <v>46</v>
      </c>
      <c r="I27" s="23" t="s">
        <v>46</v>
      </c>
      <c r="J27" s="23">
        <v>37.99</v>
      </c>
      <c r="K27" s="23">
        <v>29.95</v>
      </c>
      <c r="L27" s="23">
        <v>35.19</v>
      </c>
      <c r="M27" s="23">
        <v>31.67</v>
      </c>
      <c r="N27" s="23">
        <v>38.71</v>
      </c>
      <c r="O27" s="23">
        <v>0</v>
      </c>
      <c r="P27" s="23">
        <v>1</v>
      </c>
      <c r="Q27" s="23">
        <v>4</v>
      </c>
      <c r="R27" s="23">
        <v>6</v>
      </c>
      <c r="S27" s="23">
        <v>5</v>
      </c>
      <c r="T27" s="23">
        <v>4</v>
      </c>
      <c r="U27" s="23">
        <v>1</v>
      </c>
      <c r="V27" s="32">
        <v>0.188042622</v>
      </c>
      <c r="W27" s="32">
        <v>0.176674</v>
      </c>
      <c r="X27" s="32">
        <v>0.474648763</v>
      </c>
      <c r="Y27" s="32">
        <v>0</v>
      </c>
      <c r="Z27" s="32">
        <v>0.047349961</v>
      </c>
      <c r="AA27" s="32">
        <v>0.083842339</v>
      </c>
      <c r="AB27" s="32">
        <v>0.070175439</v>
      </c>
      <c r="AC27" s="32">
        <v>0.199513493</v>
      </c>
      <c r="AD27" s="23">
        <f>VLOOKUP(B:B,库存明细报表10.16!L:P,5,0)</f>
        <v>29</v>
      </c>
      <c r="AE27" s="23">
        <f>VLOOKUP(B:B,库存明细报表10.16!L:Q,6,0)</f>
        <v>29</v>
      </c>
      <c r="AF27" s="23">
        <f>VLOOKUP(B:B,库存明细报表10.16!L:T,9,0)</f>
        <v>0</v>
      </c>
      <c r="AG27" s="23">
        <f>VLOOKUP(A:A,进销存报表10.16!A:J,10,0)</f>
        <v>0</v>
      </c>
      <c r="AH27" s="23">
        <f>VLOOKUP(A:A,进销存报表10.16!A:K,11,0)</f>
        <v>83</v>
      </c>
      <c r="AI27" s="23">
        <v>634.05</v>
      </c>
      <c r="AJ27" s="23">
        <v>472.58</v>
      </c>
      <c r="AK27" s="23">
        <v>1.67</v>
      </c>
      <c r="AL27" s="26">
        <v>5</v>
      </c>
      <c r="AM27" s="32">
        <f t="shared" si="0"/>
        <v>0.00263386168283258</v>
      </c>
      <c r="AN27" s="44">
        <f t="shared" si="1"/>
        <v>0.0105802192221423</v>
      </c>
      <c r="AO27" s="2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="8" customFormat="1" customHeight="1" spans="1:53">
      <c r="A28" s="13" t="s">
        <v>127</v>
      </c>
      <c r="B28" s="13" t="s">
        <v>128</v>
      </c>
      <c r="C28" s="13" t="s">
        <v>129</v>
      </c>
      <c r="D28" s="23" t="s">
        <v>43</v>
      </c>
      <c r="E28" s="23" t="s">
        <v>44</v>
      </c>
      <c r="F28" s="23" t="s">
        <v>45</v>
      </c>
      <c r="G28" s="23" t="s">
        <v>48</v>
      </c>
      <c r="H28" s="43" t="s">
        <v>46</v>
      </c>
      <c r="I28" s="23" t="s">
        <v>46</v>
      </c>
      <c r="J28" s="23">
        <v>53.99</v>
      </c>
      <c r="K28" s="23">
        <v>45.43</v>
      </c>
      <c r="L28" s="23">
        <v>46.54</v>
      </c>
      <c r="M28" s="23">
        <v>41.88</v>
      </c>
      <c r="N28" s="23">
        <v>51.19</v>
      </c>
      <c r="O28" s="23">
        <v>0</v>
      </c>
      <c r="P28" s="23">
        <v>1</v>
      </c>
      <c r="Q28" s="23">
        <v>0</v>
      </c>
      <c r="R28" s="23">
        <v>6</v>
      </c>
      <c r="S28" s="23">
        <v>6</v>
      </c>
      <c r="T28" s="23">
        <v>8</v>
      </c>
      <c r="U28" s="23">
        <v>6</v>
      </c>
      <c r="V28" s="32">
        <v>0.274838579</v>
      </c>
      <c r="W28" s="32">
        <v>0.198439724</v>
      </c>
      <c r="X28" s="32">
        <v>0.18035891</v>
      </c>
      <c r="Y28" s="32">
        <v>0.252252658</v>
      </c>
      <c r="Z28" s="32">
        <v>0.023269959</v>
      </c>
      <c r="AA28" s="32">
        <v>0.051037269</v>
      </c>
      <c r="AB28" s="32">
        <v>0.153846154</v>
      </c>
      <c r="AC28" s="32">
        <v>0.153492442</v>
      </c>
      <c r="AD28" s="23">
        <f>VLOOKUP(B:B,库存明细报表10.16!L:P,5,0)</f>
        <v>17</v>
      </c>
      <c r="AE28" s="23">
        <f>VLOOKUP(B:B,库存明细报表10.16!L:Q,6,0)</f>
        <v>6</v>
      </c>
      <c r="AF28" s="23">
        <f>VLOOKUP(B:B,库存明细报表10.16!L:T,9,0)</f>
        <v>2</v>
      </c>
      <c r="AG28" s="23">
        <f>VLOOKUP(A:A,进销存报表10.16!A:J,10,0)</f>
        <v>21</v>
      </c>
      <c r="AH28" s="23">
        <f>VLOOKUP(A:A,进销存报表10.16!A:K,11,0)</f>
        <v>10</v>
      </c>
      <c r="AI28" s="23">
        <v>107.6</v>
      </c>
      <c r="AJ28" s="23">
        <v>85.99</v>
      </c>
      <c r="AK28" s="23">
        <v>0.33</v>
      </c>
      <c r="AL28" s="26">
        <v>6.666666667</v>
      </c>
      <c r="AM28" s="32">
        <f t="shared" si="0"/>
        <v>0.00306691449814126</v>
      </c>
      <c r="AN28" s="44">
        <f t="shared" si="1"/>
        <v>0.0775283947784626</v>
      </c>
      <c r="AO28" s="2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="8" customFormat="1" customHeight="1" spans="1:53">
      <c r="A29" s="13" t="s">
        <v>130</v>
      </c>
      <c r="B29" s="13" t="s">
        <v>131</v>
      </c>
      <c r="C29" s="13" t="s">
        <v>132</v>
      </c>
      <c r="D29" s="23" t="s">
        <v>43</v>
      </c>
      <c r="E29" s="23" t="s">
        <v>44</v>
      </c>
      <c r="F29" s="23" t="s">
        <v>45</v>
      </c>
      <c r="G29" s="23" t="s">
        <v>46</v>
      </c>
      <c r="H29" s="43" t="s">
        <v>48</v>
      </c>
      <c r="I29" s="23" t="s">
        <v>48</v>
      </c>
      <c r="J29" s="23">
        <v>59.99</v>
      </c>
      <c r="K29" s="23">
        <v>40.31</v>
      </c>
      <c r="L29" s="23">
        <v>47.49</v>
      </c>
      <c r="M29" s="23">
        <v>42.74</v>
      </c>
      <c r="N29" s="23">
        <v>52.24</v>
      </c>
      <c r="O29" s="23">
        <v>0</v>
      </c>
      <c r="P29" s="23">
        <v>0</v>
      </c>
      <c r="Q29" s="23">
        <v>3</v>
      </c>
      <c r="R29" s="23">
        <v>2</v>
      </c>
      <c r="S29" s="23">
        <v>5</v>
      </c>
      <c r="T29" s="23">
        <v>9</v>
      </c>
      <c r="U29" s="23">
        <v>6</v>
      </c>
      <c r="V29" s="32">
        <v>0.197494336</v>
      </c>
      <c r="W29" s="32">
        <v>0.282679316</v>
      </c>
      <c r="X29" s="32">
        <v>0.297742352</v>
      </c>
      <c r="Y29" s="32">
        <v>0</v>
      </c>
      <c r="Z29" s="32">
        <v>0.001364657</v>
      </c>
      <c r="AA29" s="32">
        <v>0.041133697</v>
      </c>
      <c r="AB29" s="32">
        <v>0.25</v>
      </c>
      <c r="AC29" s="32">
        <v>0</v>
      </c>
      <c r="AD29" s="23">
        <f>VLOOKUP(B:B,库存明细报表10.16!L:P,5,0)</f>
        <v>32</v>
      </c>
      <c r="AE29" s="23">
        <f>VLOOKUP(B:B,库存明细报表10.16!L:Q,6,0)</f>
        <v>31</v>
      </c>
      <c r="AF29" s="23">
        <f>VLOOKUP(B:B,库存明细报表10.16!L:T,9,0)</f>
        <v>0</v>
      </c>
      <c r="AG29" s="23">
        <f>VLOOKUP(A:A,进销存报表10.16!A:J,10,0)</f>
        <v>42</v>
      </c>
      <c r="AH29" s="23">
        <f>VLOOKUP(A:A,进销存报表10.16!A:K,11,0)</f>
        <v>2</v>
      </c>
      <c r="AI29" s="23">
        <v>396.21</v>
      </c>
      <c r="AJ29" s="23">
        <v>333.63</v>
      </c>
      <c r="AK29" s="23">
        <v>1.33</v>
      </c>
      <c r="AL29" s="26">
        <v>5.333333333</v>
      </c>
      <c r="AM29" s="32">
        <f t="shared" si="0"/>
        <v>0.0033568057343328</v>
      </c>
      <c r="AN29" s="44">
        <f t="shared" si="1"/>
        <v>0.0159857726613314</v>
      </c>
      <c r="AO29" s="2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="8" customFormat="1" customHeight="1" spans="1:53">
      <c r="A30" s="13" t="s">
        <v>133</v>
      </c>
      <c r="B30" s="13" t="s">
        <v>134</v>
      </c>
      <c r="C30" s="13" t="s">
        <v>135</v>
      </c>
      <c r="D30" s="23" t="s">
        <v>43</v>
      </c>
      <c r="E30" s="23" t="s">
        <v>55</v>
      </c>
      <c r="F30" s="23" t="s">
        <v>45</v>
      </c>
      <c r="G30" s="23" t="s">
        <v>48</v>
      </c>
      <c r="H30" s="43" t="s">
        <v>46</v>
      </c>
      <c r="I30" s="23" t="s">
        <v>48</v>
      </c>
      <c r="J30" s="23">
        <v>25.99</v>
      </c>
      <c r="K30" s="23">
        <v>22.59</v>
      </c>
      <c r="L30" s="23">
        <v>18.58</v>
      </c>
      <c r="M30" s="23">
        <v>16.72</v>
      </c>
      <c r="N30" s="23">
        <v>20.44</v>
      </c>
      <c r="O30" s="23">
        <v>0</v>
      </c>
      <c r="P30" s="23">
        <v>0</v>
      </c>
      <c r="Q30" s="23">
        <v>2</v>
      </c>
      <c r="R30" s="23">
        <v>1</v>
      </c>
      <c r="S30" s="23">
        <v>10</v>
      </c>
      <c r="T30" s="23">
        <v>2</v>
      </c>
      <c r="U30" s="23">
        <v>0</v>
      </c>
      <c r="V30" s="32">
        <v>0.28375521</v>
      </c>
      <c r="W30" s="32">
        <v>0.049795808</v>
      </c>
      <c r="X30" s="32">
        <v>0.247541041</v>
      </c>
      <c r="Y30" s="32">
        <v>0</v>
      </c>
      <c r="Z30" s="32">
        <v>0.04546355</v>
      </c>
      <c r="AA30" s="32">
        <v>0.024383773</v>
      </c>
      <c r="AB30" s="32">
        <v>0.05</v>
      </c>
      <c r="AC30" s="32">
        <v>0.124641096</v>
      </c>
      <c r="AD30" s="23">
        <f>VLOOKUP(B:B,库存明细报表10.16!L:P,5,0)</f>
        <v>5</v>
      </c>
      <c r="AE30" s="23">
        <f>VLOOKUP(B:B,库存明细报表10.16!L:Q,6,0)</f>
        <v>1</v>
      </c>
      <c r="AF30" s="23">
        <f>VLOOKUP(B:B,库存明细报表10.16!L:T,9,0)</f>
        <v>0</v>
      </c>
      <c r="AG30" s="23">
        <f>VLOOKUP(A:A,进销存报表10.16!A:J,10,0)</f>
        <v>18</v>
      </c>
      <c r="AH30" s="23">
        <f>VLOOKUP(A:A,进销存报表10.16!A:K,11,0)</f>
        <v>8</v>
      </c>
      <c r="AI30" s="23">
        <v>189.31</v>
      </c>
      <c r="AJ30" s="23">
        <v>164.27</v>
      </c>
      <c r="AK30" s="23">
        <v>0.67</v>
      </c>
      <c r="AL30" s="26">
        <v>4.666666667</v>
      </c>
      <c r="AM30" s="32">
        <f t="shared" si="0"/>
        <v>0.00353916855950557</v>
      </c>
      <c r="AN30" s="44">
        <f t="shared" si="1"/>
        <v>0.0284085144396421</v>
      </c>
      <c r="AO30" s="2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="8" customFormat="1" customHeight="1" spans="1:53">
      <c r="A31" s="13" t="s">
        <v>136</v>
      </c>
      <c r="B31" s="13" t="s">
        <v>137</v>
      </c>
      <c r="C31" s="13" t="s">
        <v>138</v>
      </c>
      <c r="D31" s="23" t="s">
        <v>43</v>
      </c>
      <c r="E31" s="23" t="s">
        <v>44</v>
      </c>
      <c r="F31" s="23" t="s">
        <v>45</v>
      </c>
      <c r="G31" s="23" t="s">
        <v>46</v>
      </c>
      <c r="H31" s="43" t="s">
        <v>46</v>
      </c>
      <c r="I31" s="23" t="s">
        <v>48</v>
      </c>
      <c r="J31" s="23">
        <v>27.99</v>
      </c>
      <c r="K31" s="23">
        <v>19.85</v>
      </c>
      <c r="L31" s="23">
        <v>19.27</v>
      </c>
      <c r="M31" s="23">
        <v>17.34</v>
      </c>
      <c r="N31" s="23">
        <v>21.2</v>
      </c>
      <c r="O31" s="23">
        <v>0</v>
      </c>
      <c r="P31" s="23">
        <v>0</v>
      </c>
      <c r="Q31" s="23">
        <v>1</v>
      </c>
      <c r="R31" s="23">
        <v>4</v>
      </c>
      <c r="S31" s="23">
        <v>4</v>
      </c>
      <c r="T31" s="23">
        <v>9</v>
      </c>
      <c r="U31" s="23">
        <v>5</v>
      </c>
      <c r="V31" s="32">
        <v>0.01795781</v>
      </c>
      <c r="W31" s="32">
        <v>0.195767772</v>
      </c>
      <c r="X31" s="32">
        <v>0.261372791</v>
      </c>
      <c r="Y31" s="32">
        <v>0</v>
      </c>
      <c r="Z31" s="32">
        <v>0.053352388</v>
      </c>
      <c r="AA31" s="32">
        <v>0.074958072</v>
      </c>
      <c r="AB31" s="32">
        <v>0.138461538</v>
      </c>
      <c r="AC31" s="32">
        <v>0.166293194</v>
      </c>
      <c r="AD31" s="23">
        <f>VLOOKUP(B:B,库存明细报表10.16!L:P,5,0)</f>
        <v>8</v>
      </c>
      <c r="AE31" s="23">
        <f>VLOOKUP(B:B,库存明细报表10.16!L:Q,6,0)</f>
        <v>8</v>
      </c>
      <c r="AF31" s="23">
        <f>VLOOKUP(B:B,库存明细报表10.16!L:T,9,0)</f>
        <v>0</v>
      </c>
      <c r="AG31" s="23">
        <f>VLOOKUP(A:A,进销存报表10.16!A:J,10,0)</f>
        <v>5</v>
      </c>
      <c r="AH31" s="23">
        <f>VLOOKUP(A:A,进销存报表10.16!A:K,11,0)</f>
        <v>16</v>
      </c>
      <c r="AI31" s="23">
        <v>91.06</v>
      </c>
      <c r="AJ31" s="23">
        <v>61.56</v>
      </c>
      <c r="AK31" s="23">
        <v>0.33</v>
      </c>
      <c r="AL31" s="26">
        <v>6</v>
      </c>
      <c r="AM31" s="32">
        <f t="shared" si="0"/>
        <v>0.00362398418625082</v>
      </c>
      <c r="AN31" s="44">
        <f t="shared" si="1"/>
        <v>0.0974658869395711</v>
      </c>
      <c r="AO31" s="2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</row>
    <row r="32" s="8" customFormat="1" ht="14.25" customHeight="1" spans="1:53">
      <c r="A32" s="13" t="s">
        <v>139</v>
      </c>
      <c r="B32" s="13" t="s">
        <v>140</v>
      </c>
      <c r="C32" s="13" t="s">
        <v>141</v>
      </c>
      <c r="D32" s="23" t="s">
        <v>43</v>
      </c>
      <c r="E32" s="23" t="s">
        <v>44</v>
      </c>
      <c r="F32" s="23" t="s">
        <v>45</v>
      </c>
      <c r="G32" s="23" t="s">
        <v>48</v>
      </c>
      <c r="H32" s="43" t="s">
        <v>46</v>
      </c>
      <c r="I32" s="23" t="s">
        <v>48</v>
      </c>
      <c r="J32" s="23">
        <v>21.99</v>
      </c>
      <c r="K32" s="23">
        <v>20.85</v>
      </c>
      <c r="L32" s="23">
        <v>17.57</v>
      </c>
      <c r="M32" s="23">
        <v>15.81</v>
      </c>
      <c r="N32" s="23">
        <v>19.33</v>
      </c>
      <c r="O32" s="23">
        <v>0</v>
      </c>
      <c r="P32" s="23">
        <v>0</v>
      </c>
      <c r="Q32" s="23">
        <v>1</v>
      </c>
      <c r="R32" s="23">
        <v>0</v>
      </c>
      <c r="S32" s="23">
        <v>5</v>
      </c>
      <c r="T32" s="23">
        <v>8</v>
      </c>
      <c r="U32" s="23">
        <v>9</v>
      </c>
      <c r="V32" s="32">
        <v>0.347251405</v>
      </c>
      <c r="W32" s="32">
        <v>0.088299283</v>
      </c>
      <c r="X32" s="32">
        <v>0.004619175</v>
      </c>
      <c r="Y32" s="32">
        <v>0.126220193</v>
      </c>
      <c r="Z32" s="32">
        <v>0.071438978</v>
      </c>
      <c r="AA32" s="32">
        <v>0.073755017</v>
      </c>
      <c r="AB32" s="32">
        <v>0.103896104</v>
      </c>
      <c r="AC32" s="32">
        <v>0.083134443</v>
      </c>
      <c r="AD32" s="23">
        <f>VLOOKUP(B:B,库存明细报表10.16!L:P,5,0)</f>
        <v>4</v>
      </c>
      <c r="AE32" s="23">
        <f>VLOOKUP(B:B,库存明细报表10.16!L:Q,6,0)</f>
        <v>4</v>
      </c>
      <c r="AF32" s="23">
        <f>VLOOKUP(B:B,库存明细报表10.16!L:T,9,0)</f>
        <v>0</v>
      </c>
      <c r="AG32" s="23">
        <f>VLOOKUP(A:A,进销存报表10.16!A:J,10,0)</f>
        <v>0</v>
      </c>
      <c r="AH32" s="23">
        <f>VLOOKUP(A:A,进销存报表10.16!A:K,11,0)</f>
        <v>0</v>
      </c>
      <c r="AI32" s="23">
        <v>89.74</v>
      </c>
      <c r="AJ32" s="23">
        <v>62.2</v>
      </c>
      <c r="AK32" s="23">
        <v>0.33</v>
      </c>
      <c r="AL32" s="26">
        <v>4.666666667</v>
      </c>
      <c r="AM32" s="32">
        <f t="shared" si="0"/>
        <v>0.00367728994874081</v>
      </c>
      <c r="AN32" s="44">
        <f t="shared" si="1"/>
        <v>0.0750267952893891</v>
      </c>
      <c r="AO32" s="2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</row>
    <row r="33" s="8" customFormat="1" customHeight="1" spans="1:53">
      <c r="A33" s="13" t="s">
        <v>142</v>
      </c>
      <c r="B33" s="13" t="s">
        <v>143</v>
      </c>
      <c r="C33" s="13" t="s">
        <v>144</v>
      </c>
      <c r="D33" s="23" t="s">
        <v>43</v>
      </c>
      <c r="E33" s="23" t="s">
        <v>55</v>
      </c>
      <c r="F33" s="23" t="s">
        <v>45</v>
      </c>
      <c r="G33" s="23" t="s">
        <v>46</v>
      </c>
      <c r="H33" s="43" t="s">
        <v>46</v>
      </c>
      <c r="I33" s="23" t="s">
        <v>46</v>
      </c>
      <c r="J33" s="23">
        <v>69.99</v>
      </c>
      <c r="K33" s="23">
        <v>66.66</v>
      </c>
      <c r="L33" s="23">
        <v>60.79</v>
      </c>
      <c r="M33" s="23">
        <v>54.71</v>
      </c>
      <c r="N33" s="23">
        <v>66.87</v>
      </c>
      <c r="O33" s="23">
        <v>0</v>
      </c>
      <c r="P33" s="23">
        <v>5</v>
      </c>
      <c r="Q33" s="23">
        <v>5</v>
      </c>
      <c r="R33" s="23">
        <v>1</v>
      </c>
      <c r="S33" s="23">
        <v>1</v>
      </c>
      <c r="T33" s="23">
        <v>2</v>
      </c>
      <c r="U33" s="23">
        <v>0</v>
      </c>
      <c r="V33" s="32">
        <v>-0.050532872</v>
      </c>
      <c r="W33" s="32">
        <v>0.090402945</v>
      </c>
      <c r="X33" s="32">
        <v>0.085295012</v>
      </c>
      <c r="Y33" s="32">
        <v>0</v>
      </c>
      <c r="Z33" s="32">
        <v>0.05971304</v>
      </c>
      <c r="AA33" s="32">
        <v>0.088784262</v>
      </c>
      <c r="AB33" s="32">
        <v>0.068965517</v>
      </c>
      <c r="AC33" s="32">
        <v>0.049893831</v>
      </c>
      <c r="AD33" s="23">
        <f>VLOOKUP(B:B,库存明细报表10.16!L:P,5,0)</f>
        <v>19</v>
      </c>
      <c r="AE33" s="23">
        <f>VLOOKUP(B:B,库存明细报表10.16!L:Q,6,0)</f>
        <v>18</v>
      </c>
      <c r="AF33" s="23">
        <f>VLOOKUP(B:B,库存明细报表10.16!L:T,9,0)</f>
        <v>0</v>
      </c>
      <c r="AG33" s="23">
        <f>VLOOKUP(A:A,进销存报表10.16!A:J,10,0)</f>
        <v>37</v>
      </c>
      <c r="AH33" s="23">
        <f>VLOOKUP(A:A,进销存报表10.16!A:K,11,0)</f>
        <v>12</v>
      </c>
      <c r="AI33" s="23">
        <v>753.52</v>
      </c>
      <c r="AJ33" s="23">
        <v>522.41</v>
      </c>
      <c r="AK33" s="23">
        <v>3</v>
      </c>
      <c r="AL33" s="26">
        <v>1.666666667</v>
      </c>
      <c r="AM33" s="32">
        <f t="shared" si="0"/>
        <v>0.00398131436458223</v>
      </c>
      <c r="AN33" s="44">
        <f t="shared" si="1"/>
        <v>0.00319034219674202</v>
      </c>
      <c r="AO33" s="2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="8" customFormat="1" customHeight="1" spans="1:53">
      <c r="A34" s="13" t="s">
        <v>145</v>
      </c>
      <c r="B34" s="13" t="s">
        <v>146</v>
      </c>
      <c r="C34" s="13" t="s">
        <v>147</v>
      </c>
      <c r="D34" s="23" t="s">
        <v>43</v>
      </c>
      <c r="E34" s="23" t="s">
        <v>44</v>
      </c>
      <c r="F34" s="23" t="s">
        <v>45</v>
      </c>
      <c r="G34" s="23" t="s">
        <v>46</v>
      </c>
      <c r="H34" s="43" t="s">
        <v>46</v>
      </c>
      <c r="I34" s="23" t="s">
        <v>48</v>
      </c>
      <c r="J34" s="23">
        <v>25.99</v>
      </c>
      <c r="K34" s="23">
        <v>18.67</v>
      </c>
      <c r="L34" s="23">
        <v>22.79</v>
      </c>
      <c r="M34" s="23">
        <v>20.51</v>
      </c>
      <c r="N34" s="23">
        <v>25.06</v>
      </c>
      <c r="O34" s="23">
        <v>0</v>
      </c>
      <c r="P34" s="23">
        <v>0</v>
      </c>
      <c r="Q34" s="23">
        <v>1</v>
      </c>
      <c r="R34" s="23">
        <v>4</v>
      </c>
      <c r="S34" s="23">
        <v>4</v>
      </c>
      <c r="T34" s="23">
        <v>3</v>
      </c>
      <c r="U34" s="23">
        <v>0</v>
      </c>
      <c r="V34" s="32">
        <v>0.184981064</v>
      </c>
      <c r="W34" s="32">
        <v>0.11711769</v>
      </c>
      <c r="X34" s="32">
        <v>-0.013370955</v>
      </c>
      <c r="Y34" s="32">
        <v>0.31587263</v>
      </c>
      <c r="Z34" s="32">
        <v>0.090544482</v>
      </c>
      <c r="AA34" s="32">
        <v>0.054380623</v>
      </c>
      <c r="AB34" s="32">
        <v>0.125</v>
      </c>
      <c r="AC34" s="32">
        <v>0.249224165</v>
      </c>
      <c r="AD34" s="23">
        <f>VLOOKUP(B:B,库存明细报表10.16!L:P,5,0)</f>
        <v>15</v>
      </c>
      <c r="AE34" s="23">
        <f>VLOOKUP(B:B,库存明细报表10.16!L:Q,6,0)</f>
        <v>15</v>
      </c>
      <c r="AF34" s="23">
        <f>VLOOKUP(B:B,库存明细报表10.16!L:T,9,0)</f>
        <v>0</v>
      </c>
      <c r="AG34" s="23">
        <f>VLOOKUP(A:A,进销存报表10.16!A:J,10,0)</f>
        <v>15</v>
      </c>
      <c r="AH34" s="23">
        <f>VLOOKUP(A:A,进销存报表10.16!A:K,11,0)</f>
        <v>22</v>
      </c>
      <c r="AI34" s="23">
        <v>79.27</v>
      </c>
      <c r="AJ34" s="23">
        <v>46.94</v>
      </c>
      <c r="AK34" s="23">
        <v>0.33</v>
      </c>
      <c r="AL34" s="26">
        <v>4.333333333</v>
      </c>
      <c r="AM34" s="32">
        <f t="shared" si="0"/>
        <v>0.00416298725873597</v>
      </c>
      <c r="AN34" s="44">
        <f t="shared" si="1"/>
        <v>0.0923164323178526</v>
      </c>
      <c r="AO34" s="2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="8" customFormat="1" customHeight="1" spans="1:53">
      <c r="A35" s="13" t="s">
        <v>148</v>
      </c>
      <c r="B35" s="13" t="s">
        <v>149</v>
      </c>
      <c r="C35" s="13" t="s">
        <v>150</v>
      </c>
      <c r="D35" s="23" t="s">
        <v>43</v>
      </c>
      <c r="E35" s="23" t="s">
        <v>44</v>
      </c>
      <c r="F35" s="23" t="s">
        <v>45</v>
      </c>
      <c r="G35" s="23" t="s">
        <v>46</v>
      </c>
      <c r="H35" s="43" t="s">
        <v>56</v>
      </c>
      <c r="I35" s="23" t="s">
        <v>46</v>
      </c>
      <c r="J35" s="23">
        <v>45.99</v>
      </c>
      <c r="K35" s="23">
        <v>36.44</v>
      </c>
      <c r="L35" s="23">
        <v>34.49</v>
      </c>
      <c r="M35" s="23">
        <v>31.04</v>
      </c>
      <c r="N35" s="23">
        <v>37.94</v>
      </c>
      <c r="O35" s="23">
        <v>0</v>
      </c>
      <c r="P35" s="23">
        <v>0</v>
      </c>
      <c r="Q35" s="23">
        <v>2</v>
      </c>
      <c r="R35" s="23">
        <v>7</v>
      </c>
      <c r="S35" s="23">
        <v>14</v>
      </c>
      <c r="T35" s="23">
        <v>2</v>
      </c>
      <c r="U35" s="23">
        <v>3</v>
      </c>
      <c r="V35" s="32">
        <v>0.181250136</v>
      </c>
      <c r="W35" s="32">
        <v>0.077713561</v>
      </c>
      <c r="X35" s="32">
        <v>0.078995459</v>
      </c>
      <c r="Y35" s="32">
        <v>0.442249091</v>
      </c>
      <c r="Z35" s="32">
        <v>0.003637079</v>
      </c>
      <c r="AA35" s="32">
        <v>-0.040413238</v>
      </c>
      <c r="AB35" s="32">
        <v>0.5</v>
      </c>
      <c r="AC35" s="32">
        <v>0.998200245</v>
      </c>
      <c r="AD35" s="23">
        <f>VLOOKUP(B:B,库存明细报表10.16!L:P,5,0)</f>
        <v>2</v>
      </c>
      <c r="AE35" s="23">
        <f>VLOOKUP(B:B,库存明细报表10.16!L:Q,6,0)</f>
        <v>2</v>
      </c>
      <c r="AF35" s="23">
        <f>VLOOKUP(B:B,库存明细报表10.16!L:T,9,0)</f>
        <v>11</v>
      </c>
      <c r="AG35" s="23">
        <f>VLOOKUP(A:A,进销存报表10.16!A:J,10,0)</f>
        <v>0</v>
      </c>
      <c r="AH35" s="23">
        <f>VLOOKUP(A:A,进销存报表10.16!A:K,11,0)</f>
        <v>8</v>
      </c>
      <c r="AI35" s="23">
        <v>149.96</v>
      </c>
      <c r="AJ35" s="23">
        <v>82.85</v>
      </c>
      <c r="AK35" s="23">
        <v>0.67</v>
      </c>
      <c r="AL35" s="26">
        <v>9.333333333</v>
      </c>
      <c r="AM35" s="32">
        <f t="shared" si="0"/>
        <v>0.00446785809549213</v>
      </c>
      <c r="AN35" s="44">
        <f t="shared" si="1"/>
        <v>0.112653389656005</v>
      </c>
      <c r="AO35" s="2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="8" customFormat="1" customHeight="1" spans="1:53">
      <c r="A36" s="13" t="s">
        <v>151</v>
      </c>
      <c r="B36" s="13" t="s">
        <v>152</v>
      </c>
      <c r="C36" s="13" t="s">
        <v>153</v>
      </c>
      <c r="D36" s="23" t="s">
        <v>43</v>
      </c>
      <c r="E36" s="23" t="s">
        <v>44</v>
      </c>
      <c r="F36" s="23" t="s">
        <v>45</v>
      </c>
      <c r="G36" s="23" t="s">
        <v>48</v>
      </c>
      <c r="H36" s="43" t="s">
        <v>56</v>
      </c>
      <c r="I36" s="23" t="s">
        <v>46</v>
      </c>
      <c r="J36" s="23">
        <v>66.99</v>
      </c>
      <c r="K36" s="23">
        <v>54.13</v>
      </c>
      <c r="L36" s="23">
        <v>54.78</v>
      </c>
      <c r="M36" s="23">
        <v>49.3</v>
      </c>
      <c r="N36" s="23">
        <v>60.25</v>
      </c>
      <c r="O36" s="23">
        <v>0</v>
      </c>
      <c r="P36" s="23">
        <v>0</v>
      </c>
      <c r="Q36" s="23">
        <v>1</v>
      </c>
      <c r="R36" s="23">
        <v>2</v>
      </c>
      <c r="S36" s="23">
        <v>4</v>
      </c>
      <c r="T36" s="23">
        <v>6</v>
      </c>
      <c r="U36" s="23">
        <v>1</v>
      </c>
      <c r="V36" s="32">
        <v>0.234708804</v>
      </c>
      <c r="W36" s="32">
        <v>0.172344216</v>
      </c>
      <c r="X36" s="32">
        <v>0.092458435</v>
      </c>
      <c r="Y36" s="32">
        <v>0</v>
      </c>
      <c r="Z36" s="32">
        <v>0.007135393</v>
      </c>
      <c r="AA36" s="32">
        <v>0.093834993</v>
      </c>
      <c r="AB36" s="32">
        <v>0.24</v>
      </c>
      <c r="AC36" s="32">
        <v>0</v>
      </c>
      <c r="AD36" s="23">
        <f>VLOOKUP(B:B,库存明细报表10.16!L:P,5,0)</f>
        <v>6</v>
      </c>
      <c r="AE36" s="23">
        <f>VLOOKUP(B:B,库存明细报表10.16!L:Q,6,0)</f>
        <v>5</v>
      </c>
      <c r="AF36" s="23">
        <f>VLOOKUP(B:B,库存明细报表10.16!L:T,9,0)</f>
        <v>0</v>
      </c>
      <c r="AG36" s="23">
        <f>VLOOKUP(A:A,进销存报表10.16!A:J,10,0)</f>
        <v>1</v>
      </c>
      <c r="AH36" s="23">
        <f>VLOOKUP(A:A,进销存报表10.16!A:K,11,0)</f>
        <v>23</v>
      </c>
      <c r="AI36" s="23">
        <v>55.14</v>
      </c>
      <c r="AJ36" s="23">
        <v>39.25</v>
      </c>
      <c r="AK36" s="23">
        <v>0.33</v>
      </c>
      <c r="AL36" s="26">
        <v>4</v>
      </c>
      <c r="AM36" s="32">
        <f t="shared" si="0"/>
        <v>0.00598476605005441</v>
      </c>
      <c r="AN36" s="44">
        <f t="shared" si="1"/>
        <v>0.101910828025478</v>
      </c>
      <c r="AO36" s="2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</row>
    <row r="37" s="8" customFormat="1" customHeight="1" spans="1:53">
      <c r="A37" s="13" t="s">
        <v>154</v>
      </c>
      <c r="B37" s="13" t="s">
        <v>155</v>
      </c>
      <c r="C37" s="13" t="s">
        <v>156</v>
      </c>
      <c r="D37" s="23" t="s">
        <v>43</v>
      </c>
      <c r="E37" s="23" t="s">
        <v>44</v>
      </c>
      <c r="F37" s="23" t="s">
        <v>45</v>
      </c>
      <c r="G37" s="23" t="s">
        <v>46</v>
      </c>
      <c r="H37" s="43" t="s">
        <v>47</v>
      </c>
      <c r="I37" s="23" t="s">
        <v>48</v>
      </c>
      <c r="J37" s="23">
        <v>54.99</v>
      </c>
      <c r="K37" s="23">
        <v>41.57</v>
      </c>
      <c r="L37" s="23">
        <v>47.12</v>
      </c>
      <c r="M37" s="23">
        <v>42.4</v>
      </c>
      <c r="N37" s="23">
        <v>51.83</v>
      </c>
      <c r="O37" s="23">
        <v>0</v>
      </c>
      <c r="P37" s="23">
        <v>0</v>
      </c>
      <c r="Q37" s="23">
        <v>1</v>
      </c>
      <c r="R37" s="23">
        <v>3</v>
      </c>
      <c r="S37" s="23">
        <v>10</v>
      </c>
      <c r="T37" s="23">
        <v>14</v>
      </c>
      <c r="U37" s="23">
        <v>5</v>
      </c>
      <c r="V37" s="32">
        <v>0.185897458</v>
      </c>
      <c r="W37" s="32">
        <v>0.233122225</v>
      </c>
      <c r="X37" s="32">
        <v>0.265003614</v>
      </c>
      <c r="Y37" s="32">
        <v>0</v>
      </c>
      <c r="Z37" s="32">
        <v>0.016195961</v>
      </c>
      <c r="AA37" s="32">
        <v>0.077098913</v>
      </c>
      <c r="AB37" s="32">
        <v>0.21875</v>
      </c>
      <c r="AC37" s="32">
        <v>0.207826626</v>
      </c>
      <c r="AD37" s="23">
        <f>VLOOKUP(B:B,库存明细报表10.16!L:P,5,0)</f>
        <v>16</v>
      </c>
      <c r="AE37" s="23">
        <f>VLOOKUP(B:B,库存明细报表10.16!L:Q,6,0)</f>
        <v>16</v>
      </c>
      <c r="AF37" s="23">
        <f>VLOOKUP(B:B,库存明细报表10.16!L:T,9,0)</f>
        <v>0</v>
      </c>
      <c r="AG37" s="23">
        <f>VLOOKUP(A:A,进销存报表10.16!A:J,10,0)</f>
        <v>8</v>
      </c>
      <c r="AH37" s="23">
        <f>VLOOKUP(A:A,进销存报表10.16!A:K,11,0)</f>
        <v>12</v>
      </c>
      <c r="AI37" s="23">
        <v>50.01</v>
      </c>
      <c r="AJ37" s="23">
        <v>25.32</v>
      </c>
      <c r="AK37" s="23">
        <v>0.33</v>
      </c>
      <c r="AL37" s="26">
        <v>9</v>
      </c>
      <c r="AM37" s="32">
        <f t="shared" si="0"/>
        <v>0.00659868026394721</v>
      </c>
      <c r="AN37" s="44">
        <f t="shared" si="1"/>
        <v>0.355450236966825</v>
      </c>
      <c r="AO37" s="2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</row>
    <row r="38" s="8" customFormat="1" customHeight="1" spans="1:53">
      <c r="A38" s="13" t="s">
        <v>157</v>
      </c>
      <c r="B38" s="13" t="s">
        <v>158</v>
      </c>
      <c r="C38" s="13" t="s">
        <v>159</v>
      </c>
      <c r="D38" s="23" t="s">
        <v>43</v>
      </c>
      <c r="E38" s="23" t="s">
        <v>55</v>
      </c>
      <c r="F38" s="23" t="s">
        <v>45</v>
      </c>
      <c r="G38" s="23" t="s">
        <v>48</v>
      </c>
      <c r="H38" s="43" t="s">
        <v>46</v>
      </c>
      <c r="I38" s="23" t="s">
        <v>48</v>
      </c>
      <c r="J38" s="23">
        <v>47.99</v>
      </c>
      <c r="K38" s="23">
        <v>42.15</v>
      </c>
      <c r="L38" s="23">
        <v>38.44</v>
      </c>
      <c r="M38" s="23">
        <v>34.59</v>
      </c>
      <c r="N38" s="23">
        <v>42.28</v>
      </c>
      <c r="O38" s="23">
        <v>0</v>
      </c>
      <c r="P38" s="23">
        <v>2</v>
      </c>
      <c r="Q38" s="23">
        <v>3</v>
      </c>
      <c r="R38" s="23">
        <v>1</v>
      </c>
      <c r="S38" s="23">
        <v>0</v>
      </c>
      <c r="T38" s="23">
        <v>3</v>
      </c>
      <c r="U38" s="23">
        <v>3</v>
      </c>
      <c r="V38" s="32">
        <v>0.222102716</v>
      </c>
      <c r="W38" s="32">
        <v>0.06153889</v>
      </c>
      <c r="X38" s="32">
        <v>0.136482052</v>
      </c>
      <c r="Y38" s="32">
        <v>0</v>
      </c>
      <c r="Z38" s="32">
        <v>0.050568643</v>
      </c>
      <c r="AA38" s="32">
        <v>0.08383781</v>
      </c>
      <c r="AB38" s="32">
        <v>0.157894737</v>
      </c>
      <c r="AC38" s="32">
        <v>0.132890772</v>
      </c>
      <c r="AD38" s="23">
        <f>VLOOKUP(B:B,库存明细报表10.16!L:P,5,0)</f>
        <v>4</v>
      </c>
      <c r="AE38" s="23">
        <f>VLOOKUP(B:B,库存明细报表10.16!L:Q,6,0)</f>
        <v>3</v>
      </c>
      <c r="AF38" s="23">
        <f>VLOOKUP(B:B,库存明细报表10.16!L:T,9,0)</f>
        <v>0</v>
      </c>
      <c r="AG38" s="23">
        <f>VLOOKUP(A:A,进销存报表10.16!A:J,10,0)</f>
        <v>8</v>
      </c>
      <c r="AH38" s="23">
        <f>VLOOKUP(A:A,进销存报表10.16!A:K,11,0)</f>
        <v>11</v>
      </c>
      <c r="AI38" s="23">
        <v>252.62</v>
      </c>
      <c r="AJ38" s="23">
        <v>161.38</v>
      </c>
      <c r="AK38" s="23">
        <v>1.67</v>
      </c>
      <c r="AL38" s="26">
        <v>2</v>
      </c>
      <c r="AM38" s="32">
        <f t="shared" si="0"/>
        <v>0.00661071965798432</v>
      </c>
      <c r="AN38" s="44">
        <f t="shared" si="1"/>
        <v>0.0123931094311563</v>
      </c>
      <c r="AO38" s="2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</row>
    <row r="39" s="8" customFormat="1" customHeight="1" spans="1:53">
      <c r="A39" s="13" t="s">
        <v>160</v>
      </c>
      <c r="B39" s="13" t="s">
        <v>161</v>
      </c>
      <c r="C39" s="13" t="s">
        <v>162</v>
      </c>
      <c r="D39" s="23" t="s">
        <v>43</v>
      </c>
      <c r="E39" s="23" t="s">
        <v>44</v>
      </c>
      <c r="F39" s="23" t="s">
        <v>45</v>
      </c>
      <c r="G39" s="23" t="s">
        <v>48</v>
      </c>
      <c r="H39" s="43" t="s">
        <v>48</v>
      </c>
      <c r="I39" s="23" t="s">
        <v>48</v>
      </c>
      <c r="J39" s="23">
        <v>24.99</v>
      </c>
      <c r="K39" s="23">
        <v>20.43</v>
      </c>
      <c r="L39" s="23">
        <v>21.24</v>
      </c>
      <c r="M39" s="23">
        <v>19.12</v>
      </c>
      <c r="N39" s="23">
        <v>23.37</v>
      </c>
      <c r="O39" s="23">
        <v>0</v>
      </c>
      <c r="P39" s="23">
        <v>0</v>
      </c>
      <c r="Q39" s="23">
        <v>5</v>
      </c>
      <c r="R39" s="23">
        <v>4</v>
      </c>
      <c r="S39" s="23">
        <v>11</v>
      </c>
      <c r="T39" s="23">
        <v>11</v>
      </c>
      <c r="U39" s="23">
        <v>1</v>
      </c>
      <c r="V39" s="32">
        <v>0.228882436</v>
      </c>
      <c r="W39" s="32">
        <v>0.209394886</v>
      </c>
      <c r="X39" s="32">
        <v>0.143866738</v>
      </c>
      <c r="Y39" s="32">
        <v>0.192675707</v>
      </c>
      <c r="Z39" s="32">
        <v>0.014318166</v>
      </c>
      <c r="AA39" s="32">
        <v>0.06088771</v>
      </c>
      <c r="AB39" s="32">
        <v>0.203703704</v>
      </c>
      <c r="AC39" s="32">
        <v>0.221708548</v>
      </c>
      <c r="AD39" s="23">
        <f>VLOOKUP(B:B,库存明细报表10.16!L:P,5,0)</f>
        <v>15</v>
      </c>
      <c r="AE39" s="23">
        <f>VLOOKUP(B:B,库存明细报表10.16!L:Q,6,0)</f>
        <v>14</v>
      </c>
      <c r="AF39" s="23">
        <f>VLOOKUP(B:B,库存明细报表10.16!L:T,9,0)</f>
        <v>20</v>
      </c>
      <c r="AG39" s="23">
        <f>VLOOKUP(A:A,进销存报表10.16!A:J,10,0)</f>
        <v>11</v>
      </c>
      <c r="AH39" s="23">
        <f>VLOOKUP(A:A,进销存报表10.16!A:K,11,0)</f>
        <v>28</v>
      </c>
      <c r="AI39" s="23">
        <v>176.38</v>
      </c>
      <c r="AJ39" s="23">
        <v>142.47</v>
      </c>
      <c r="AK39" s="23">
        <v>1.33</v>
      </c>
      <c r="AL39" s="26">
        <v>9.333333333</v>
      </c>
      <c r="AM39" s="32">
        <f t="shared" si="0"/>
        <v>0.0075405374759043</v>
      </c>
      <c r="AN39" s="44">
        <f t="shared" si="1"/>
        <v>0.0655108677826911</v>
      </c>
      <c r="AO39" s="2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</row>
    <row r="40" s="8" customFormat="1" customHeight="1" spans="1:53">
      <c r="A40" s="13" t="s">
        <v>163</v>
      </c>
      <c r="B40" s="13" t="s">
        <v>164</v>
      </c>
      <c r="C40" s="13" t="s">
        <v>165</v>
      </c>
      <c r="D40" s="23" t="s">
        <v>43</v>
      </c>
      <c r="E40" s="23" t="s">
        <v>44</v>
      </c>
      <c r="F40" s="23" t="s">
        <v>45</v>
      </c>
      <c r="G40" s="23" t="s">
        <v>48</v>
      </c>
      <c r="H40" s="43" t="s">
        <v>46</v>
      </c>
      <c r="I40" s="23" t="s">
        <v>47</v>
      </c>
      <c r="J40" s="23">
        <v>29.99</v>
      </c>
      <c r="K40" s="23">
        <v>22.42</v>
      </c>
      <c r="L40" s="23">
        <v>28.36</v>
      </c>
      <c r="M40" s="23">
        <v>25.52</v>
      </c>
      <c r="N40" s="23">
        <v>31.19</v>
      </c>
      <c r="O40" s="23">
        <v>0</v>
      </c>
      <c r="P40" s="23">
        <v>1</v>
      </c>
      <c r="Q40" s="23">
        <v>0</v>
      </c>
      <c r="R40" s="23">
        <v>3</v>
      </c>
      <c r="S40" s="23">
        <v>2</v>
      </c>
      <c r="T40" s="23">
        <v>1</v>
      </c>
      <c r="U40" s="23">
        <v>1</v>
      </c>
      <c r="V40" s="32">
        <v>0.254920052</v>
      </c>
      <c r="W40" s="32">
        <v>0.121042691</v>
      </c>
      <c r="X40" s="32">
        <v>-0.059893165</v>
      </c>
      <c r="Y40" s="32">
        <v>0</v>
      </c>
      <c r="Z40" s="32">
        <v>0.235411804</v>
      </c>
      <c r="AA40" s="32">
        <v>0.083848185</v>
      </c>
      <c r="AB40" s="32">
        <v>0.034482759</v>
      </c>
      <c r="AC40" s="32">
        <v>0</v>
      </c>
      <c r="AD40" s="23">
        <f>VLOOKUP(B:B,库存明细报表10.16!L:P,5,0)</f>
        <v>21</v>
      </c>
      <c r="AE40" s="23">
        <f>VLOOKUP(B:B,库存明细报表10.16!L:Q,6,0)</f>
        <v>14</v>
      </c>
      <c r="AF40" s="23">
        <f>VLOOKUP(B:B,库存明细报表10.16!L:T,9,0)</f>
        <v>17</v>
      </c>
      <c r="AG40" s="23">
        <f>VLOOKUP(A:A,进销存报表10.16!A:J,10,0)</f>
        <v>15</v>
      </c>
      <c r="AH40" s="23">
        <f>VLOOKUP(A:A,进销存报表10.16!A:K,11,0)</f>
        <v>13</v>
      </c>
      <c r="AI40" s="23">
        <v>42.26</v>
      </c>
      <c r="AJ40" s="23">
        <v>27.83</v>
      </c>
      <c r="AK40" s="23">
        <v>0.33</v>
      </c>
      <c r="AL40" s="26">
        <v>2</v>
      </c>
      <c r="AM40" s="32">
        <f t="shared" si="0"/>
        <v>0.00780880265026029</v>
      </c>
      <c r="AN40" s="44">
        <f t="shared" si="1"/>
        <v>0.0718648939992814</v>
      </c>
      <c r="AO40" s="2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</row>
    <row r="41" s="8" customFormat="1" customHeight="1" spans="1:53">
      <c r="A41" s="13" t="s">
        <v>166</v>
      </c>
      <c r="B41" s="13" t="s">
        <v>167</v>
      </c>
      <c r="C41" s="13" t="s">
        <v>168</v>
      </c>
      <c r="D41" s="23" t="s">
        <v>43</v>
      </c>
      <c r="E41" s="23" t="s">
        <v>44</v>
      </c>
      <c r="F41" s="23" t="s">
        <v>45</v>
      </c>
      <c r="G41" s="23" t="s">
        <v>46</v>
      </c>
      <c r="H41" s="43" t="s">
        <v>46</v>
      </c>
      <c r="I41" s="23" t="s">
        <v>48</v>
      </c>
      <c r="J41" s="23">
        <v>25.99</v>
      </c>
      <c r="K41" s="23">
        <v>16.51</v>
      </c>
      <c r="L41" s="23">
        <v>21.96</v>
      </c>
      <c r="M41" s="23">
        <v>19.76</v>
      </c>
      <c r="N41" s="23">
        <v>24.16</v>
      </c>
      <c r="O41" s="23">
        <v>2</v>
      </c>
      <c r="P41" s="23">
        <v>3</v>
      </c>
      <c r="Q41" s="23">
        <v>2</v>
      </c>
      <c r="R41" s="23">
        <v>2</v>
      </c>
      <c r="S41" s="23">
        <v>2</v>
      </c>
      <c r="T41" s="23">
        <v>1</v>
      </c>
      <c r="U41" s="23">
        <v>2</v>
      </c>
      <c r="V41" s="32">
        <v>0.19787915</v>
      </c>
      <c r="W41" s="32">
        <v>0.186708026</v>
      </c>
      <c r="X41" s="32">
        <v>0</v>
      </c>
      <c r="Y41" s="32">
        <v>0</v>
      </c>
      <c r="Z41" s="32" t="s">
        <v>69</v>
      </c>
      <c r="AA41" s="32" t="s">
        <v>69</v>
      </c>
      <c r="AB41" s="32">
        <v>0.05</v>
      </c>
      <c r="AC41" s="32">
        <v>0</v>
      </c>
      <c r="AD41" s="23">
        <f>VLOOKUP(B:B,库存明细报表10.16!L:P,5,0)</f>
        <v>0</v>
      </c>
      <c r="AE41" s="23">
        <f>VLOOKUP(B:B,库存明细报表10.16!L:Q,6,0)</f>
        <v>0</v>
      </c>
      <c r="AF41" s="23">
        <f>VLOOKUP(B:B,库存明细报表10.16!L:T,9,0)</f>
        <v>15</v>
      </c>
      <c r="AG41" s="23">
        <f>VLOOKUP(A:A,进销存报表10.16!A:J,10,0)</f>
        <v>34</v>
      </c>
      <c r="AH41" s="23">
        <f>VLOOKUP(A:A,进销存报表10.16!A:K,11,0)</f>
        <v>0</v>
      </c>
      <c r="AI41" s="23">
        <v>238.06</v>
      </c>
      <c r="AJ41" s="23">
        <v>209.54</v>
      </c>
      <c r="AK41" s="23">
        <v>2</v>
      </c>
      <c r="AL41" s="26">
        <v>1.666666667</v>
      </c>
      <c r="AM41" s="32">
        <f t="shared" si="0"/>
        <v>0.00840124338402084</v>
      </c>
      <c r="AN41" s="44">
        <f t="shared" si="1"/>
        <v>0.00795393083420827</v>
      </c>
      <c r="AO41" s="2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="8" customFormat="1" customHeight="1" spans="1:53">
      <c r="A42" s="13" t="s">
        <v>169</v>
      </c>
      <c r="B42" s="13" t="s">
        <v>170</v>
      </c>
      <c r="C42" s="13" t="s">
        <v>171</v>
      </c>
      <c r="D42" s="23" t="s">
        <v>43</v>
      </c>
      <c r="E42" s="23" t="s">
        <v>44</v>
      </c>
      <c r="F42" s="23" t="s">
        <v>45</v>
      </c>
      <c r="G42" s="23" t="s">
        <v>48</v>
      </c>
      <c r="H42" s="43" t="s">
        <v>47</v>
      </c>
      <c r="I42" s="23" t="s">
        <v>48</v>
      </c>
      <c r="J42" s="23">
        <v>42.99</v>
      </c>
      <c r="K42" s="23">
        <v>31.01</v>
      </c>
      <c r="L42" s="23">
        <v>34.28</v>
      </c>
      <c r="M42" s="23">
        <v>30.86</v>
      </c>
      <c r="N42" s="23">
        <v>37.71</v>
      </c>
      <c r="O42" s="23">
        <v>0</v>
      </c>
      <c r="P42" s="23">
        <v>1</v>
      </c>
      <c r="Q42" s="23">
        <v>1</v>
      </c>
      <c r="R42" s="23">
        <v>7</v>
      </c>
      <c r="S42" s="23">
        <v>15</v>
      </c>
      <c r="T42" s="23">
        <v>6</v>
      </c>
      <c r="U42" s="23">
        <v>1</v>
      </c>
      <c r="V42" s="32">
        <v>0.331412449</v>
      </c>
      <c r="W42" s="32">
        <v>0.230307269</v>
      </c>
      <c r="X42" s="32">
        <v>0.285490638</v>
      </c>
      <c r="Y42" s="32">
        <v>0.1639088</v>
      </c>
      <c r="Z42" s="32">
        <v>0.018758579</v>
      </c>
      <c r="AA42" s="32">
        <v>0.043168824</v>
      </c>
      <c r="AB42" s="32">
        <v>0.111111111</v>
      </c>
      <c r="AC42" s="32">
        <v>0.142605546</v>
      </c>
      <c r="AD42" s="23">
        <f>VLOOKUP(B:B,库存明细报表10.16!L:P,5,0)</f>
        <v>0</v>
      </c>
      <c r="AE42" s="23">
        <f>VLOOKUP(B:B,库存明细报表10.16!L:Q,6,0)</f>
        <v>0</v>
      </c>
      <c r="AF42" s="23">
        <f>VLOOKUP(B:B,库存明细报表10.16!L:T,9,0)</f>
        <v>40</v>
      </c>
      <c r="AG42" s="23">
        <f>VLOOKUP(A:A,进销存报表10.16!A:J,10,0)</f>
        <v>1</v>
      </c>
      <c r="AH42" s="23">
        <f>VLOOKUP(A:A,进销存报表10.16!A:K,11,0)</f>
        <v>36</v>
      </c>
      <c r="AI42" s="23">
        <v>72.93</v>
      </c>
      <c r="AJ42" s="23">
        <v>60.29</v>
      </c>
      <c r="AK42" s="23">
        <v>0.67</v>
      </c>
      <c r="AL42" s="26">
        <v>9.666666667</v>
      </c>
      <c r="AM42" s="32">
        <f t="shared" si="0"/>
        <v>0.00918689153983272</v>
      </c>
      <c r="AN42" s="44">
        <f t="shared" si="1"/>
        <v>0.160336153043622</v>
      </c>
      <c r="AO42" s="2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="8" customFormat="1" customHeight="1" spans="1:53">
      <c r="A43" s="13" t="s">
        <v>172</v>
      </c>
      <c r="B43" s="13" t="s">
        <v>173</v>
      </c>
      <c r="C43" s="13" t="s">
        <v>174</v>
      </c>
      <c r="D43" s="23" t="s">
        <v>43</v>
      </c>
      <c r="E43" s="23" t="s">
        <v>44</v>
      </c>
      <c r="F43" s="23" t="s">
        <v>45</v>
      </c>
      <c r="G43" s="23" t="s">
        <v>48</v>
      </c>
      <c r="H43" s="43" t="s">
        <v>48</v>
      </c>
      <c r="I43" s="23" t="s">
        <v>46</v>
      </c>
      <c r="J43" s="23">
        <v>26.99</v>
      </c>
      <c r="K43" s="23">
        <v>21.08</v>
      </c>
      <c r="L43" s="23">
        <v>24.54</v>
      </c>
      <c r="M43" s="23">
        <v>22.08</v>
      </c>
      <c r="N43" s="23">
        <v>26.99</v>
      </c>
      <c r="O43" s="23">
        <v>0</v>
      </c>
      <c r="P43" s="23">
        <v>4</v>
      </c>
      <c r="Q43" s="23">
        <v>0</v>
      </c>
      <c r="R43" s="23">
        <v>3</v>
      </c>
      <c r="S43" s="23">
        <v>1</v>
      </c>
      <c r="T43" s="23">
        <v>9</v>
      </c>
      <c r="U43" s="23">
        <v>2</v>
      </c>
      <c r="V43" s="32">
        <v>0.207815047</v>
      </c>
      <c r="W43" s="32">
        <v>0.21657343</v>
      </c>
      <c r="X43" s="32">
        <v>0.236847075</v>
      </c>
      <c r="Y43" s="32">
        <v>0</v>
      </c>
      <c r="Z43" s="32">
        <v>0.028860527</v>
      </c>
      <c r="AA43" s="32">
        <v>0.070511208</v>
      </c>
      <c r="AB43" s="32">
        <v>0.209302326</v>
      </c>
      <c r="AC43" s="32">
        <v>0.23026062</v>
      </c>
      <c r="AD43" s="23">
        <f>VLOOKUP(B:B,库存明细报表10.16!L:P,5,0)</f>
        <v>11</v>
      </c>
      <c r="AE43" s="23">
        <f>VLOOKUP(B:B,库存明细报表10.16!L:Q,6,0)</f>
        <v>11</v>
      </c>
      <c r="AF43" s="23">
        <f>VLOOKUP(B:B,库存明细报表10.16!L:T,9,0)</f>
        <v>0</v>
      </c>
      <c r="AG43" s="23">
        <f>VLOOKUP(A:A,进销存报表10.16!A:J,10,0)</f>
        <v>23</v>
      </c>
      <c r="AH43" s="23">
        <f>VLOOKUP(A:A,进销存报表10.16!A:K,11,0)</f>
        <v>9</v>
      </c>
      <c r="AI43" s="23">
        <v>127.73</v>
      </c>
      <c r="AJ43" s="23">
        <v>97.31</v>
      </c>
      <c r="AK43" s="23">
        <v>1.33</v>
      </c>
      <c r="AL43" s="26">
        <v>4.333333333</v>
      </c>
      <c r="AM43" s="32">
        <f t="shared" si="0"/>
        <v>0.010412589055038</v>
      </c>
      <c r="AN43" s="44">
        <f t="shared" si="1"/>
        <v>0.0445312232350221</v>
      </c>
      <c r="AO43" s="2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="8" customFormat="1" customHeight="1" spans="1:53">
      <c r="A44" s="13" t="s">
        <v>175</v>
      </c>
      <c r="B44" s="13" t="s">
        <v>176</v>
      </c>
      <c r="C44" s="13" t="s">
        <v>177</v>
      </c>
      <c r="D44" s="23" t="s">
        <v>43</v>
      </c>
      <c r="E44" s="23" t="s">
        <v>44</v>
      </c>
      <c r="F44" s="23" t="s">
        <v>45</v>
      </c>
      <c r="G44" s="23" t="s">
        <v>46</v>
      </c>
      <c r="H44" s="43" t="s">
        <v>47</v>
      </c>
      <c r="I44" s="23" t="s">
        <v>46</v>
      </c>
      <c r="J44" s="23">
        <v>33.99</v>
      </c>
      <c r="K44" s="23">
        <v>26.03</v>
      </c>
      <c r="L44" s="23">
        <v>30.39</v>
      </c>
      <c r="M44" s="23">
        <v>27.35</v>
      </c>
      <c r="N44" s="23">
        <v>33.43</v>
      </c>
      <c r="O44" s="23">
        <v>1</v>
      </c>
      <c r="P44" s="23">
        <v>0</v>
      </c>
      <c r="Q44" s="23">
        <v>2</v>
      </c>
      <c r="R44" s="23">
        <v>12</v>
      </c>
      <c r="S44" s="23">
        <v>18</v>
      </c>
      <c r="T44" s="23">
        <v>7</v>
      </c>
      <c r="U44" s="23">
        <v>1</v>
      </c>
      <c r="V44" s="32">
        <v>-0.371384313</v>
      </c>
      <c r="W44" s="32">
        <v>0.211881967</v>
      </c>
      <c r="X44" s="32">
        <v>0.21552026</v>
      </c>
      <c r="Y44" s="32">
        <v>0</v>
      </c>
      <c r="Z44" s="32">
        <v>0.038330601</v>
      </c>
      <c r="AA44" s="32">
        <v>0.072413145</v>
      </c>
      <c r="AB44" s="32">
        <v>0.095890411</v>
      </c>
      <c r="AC44" s="32">
        <v>0.157515671</v>
      </c>
      <c r="AD44" s="23">
        <f>VLOOKUP(B:B,库存明细报表10.16!L:P,5,0)</f>
        <v>6</v>
      </c>
      <c r="AE44" s="23">
        <f>VLOOKUP(B:B,库存明细报表10.16!L:Q,6,0)</f>
        <v>1</v>
      </c>
      <c r="AF44" s="23">
        <f>VLOOKUP(B:B,库存明细报表10.16!L:T,9,0)</f>
        <v>7</v>
      </c>
      <c r="AG44" s="23">
        <f>VLOOKUP(A:A,进销存报表10.16!A:J,10,0)</f>
        <v>13</v>
      </c>
      <c r="AH44" s="23">
        <f>VLOOKUP(A:A,进销存报表10.16!A:K,11,0)</f>
        <v>74</v>
      </c>
      <c r="AI44" s="23">
        <v>121.51</v>
      </c>
      <c r="AJ44" s="23">
        <v>98.01</v>
      </c>
      <c r="AK44" s="23">
        <v>1.33</v>
      </c>
      <c r="AL44" s="26">
        <v>12.33333333</v>
      </c>
      <c r="AM44" s="32">
        <f t="shared" si="0"/>
        <v>0.0109456011850876</v>
      </c>
      <c r="AN44" s="44">
        <f t="shared" si="1"/>
        <v>0.125837499540863</v>
      </c>
      <c r="AO44" s="2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="8" customFormat="1" customHeight="1" spans="1:53">
      <c r="A45" s="13" t="s">
        <v>178</v>
      </c>
      <c r="B45" s="13" t="s">
        <v>179</v>
      </c>
      <c r="C45" s="13" t="s">
        <v>180</v>
      </c>
      <c r="D45" s="23" t="s">
        <v>43</v>
      </c>
      <c r="E45" s="23" t="s">
        <v>44</v>
      </c>
      <c r="F45" s="23" t="s">
        <v>45</v>
      </c>
      <c r="G45" s="23" t="s">
        <v>48</v>
      </c>
      <c r="H45" s="43" t="s">
        <v>48</v>
      </c>
      <c r="I45" s="23" t="s">
        <v>48</v>
      </c>
      <c r="J45" s="23">
        <v>25.99</v>
      </c>
      <c r="K45" s="23">
        <v>19.39</v>
      </c>
      <c r="L45" s="23">
        <v>21.84</v>
      </c>
      <c r="M45" s="23">
        <v>19.66</v>
      </c>
      <c r="N45" s="23">
        <v>24.03</v>
      </c>
      <c r="O45" s="23">
        <v>3</v>
      </c>
      <c r="P45" s="23">
        <v>4</v>
      </c>
      <c r="Q45" s="23">
        <v>3</v>
      </c>
      <c r="R45" s="23">
        <v>22</v>
      </c>
      <c r="S45" s="23">
        <v>21</v>
      </c>
      <c r="T45" s="23">
        <v>16</v>
      </c>
      <c r="U45" s="23">
        <v>5</v>
      </c>
      <c r="V45" s="32">
        <v>0.296923024</v>
      </c>
      <c r="W45" s="32">
        <v>0.219732098</v>
      </c>
      <c r="X45" s="32">
        <v>0.232014749</v>
      </c>
      <c r="Y45" s="32">
        <v>0</v>
      </c>
      <c r="Z45" s="32">
        <v>0.046243748</v>
      </c>
      <c r="AA45" s="32">
        <v>0.083852331</v>
      </c>
      <c r="AB45" s="32">
        <v>0.121212121</v>
      </c>
      <c r="AC45" s="32">
        <v>0.102311119</v>
      </c>
      <c r="AD45" s="23">
        <f>VLOOKUP(B:B,库存明细报表10.16!L:P,5,0)</f>
        <v>44</v>
      </c>
      <c r="AE45" s="23">
        <f>VLOOKUP(B:B,库存明细报表10.16!L:Q,6,0)</f>
        <v>17</v>
      </c>
      <c r="AF45" s="23">
        <f>VLOOKUP(B:B,库存明细报表10.16!L:T,9,0)</f>
        <v>20</v>
      </c>
      <c r="AG45" s="23">
        <f>VLOOKUP(A:A,进销存报表10.16!A:J,10,0)</f>
        <v>52</v>
      </c>
      <c r="AH45" s="23">
        <f>VLOOKUP(A:A,进销存报表10.16!A:K,11,0)</f>
        <v>23</v>
      </c>
      <c r="AI45" s="23">
        <v>320.08</v>
      </c>
      <c r="AJ45" s="23">
        <v>239.53</v>
      </c>
      <c r="AK45" s="23">
        <v>3.67</v>
      </c>
      <c r="AL45" s="26">
        <v>19.66666667</v>
      </c>
      <c r="AM45" s="32">
        <f t="shared" si="0"/>
        <v>0.0114658835291177</v>
      </c>
      <c r="AN45" s="44">
        <f t="shared" si="1"/>
        <v>0.0821052338746712</v>
      </c>
      <c r="AO45" s="2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</row>
    <row r="46" s="8" customFormat="1" customHeight="1" spans="1:53">
      <c r="A46" s="13" t="s">
        <v>181</v>
      </c>
      <c r="B46" s="13" t="s">
        <v>182</v>
      </c>
      <c r="C46" s="13" t="s">
        <v>183</v>
      </c>
      <c r="D46" s="23" t="s">
        <v>43</v>
      </c>
      <c r="E46" s="23" t="s">
        <v>55</v>
      </c>
      <c r="F46" s="23" t="s">
        <v>45</v>
      </c>
      <c r="G46" s="23" t="s">
        <v>46</v>
      </c>
      <c r="H46" s="43" t="s">
        <v>46</v>
      </c>
      <c r="I46" s="23" t="s">
        <v>46</v>
      </c>
      <c r="J46" s="23">
        <v>41.99</v>
      </c>
      <c r="K46" s="23">
        <v>34.22</v>
      </c>
      <c r="L46" s="23">
        <v>31.4</v>
      </c>
      <c r="M46" s="23">
        <v>28.26</v>
      </c>
      <c r="N46" s="23">
        <v>34.55</v>
      </c>
      <c r="O46" s="23">
        <v>0</v>
      </c>
      <c r="P46" s="23">
        <v>4</v>
      </c>
      <c r="Q46" s="23">
        <v>3</v>
      </c>
      <c r="R46" s="23">
        <v>6</v>
      </c>
      <c r="S46" s="23">
        <v>4</v>
      </c>
      <c r="T46" s="23">
        <v>13</v>
      </c>
      <c r="U46" s="23">
        <v>8</v>
      </c>
      <c r="V46" s="32">
        <v>0.184822931</v>
      </c>
      <c r="W46" s="32">
        <v>0.137623716</v>
      </c>
      <c r="X46" s="32">
        <v>0.101396443</v>
      </c>
      <c r="Y46" s="32">
        <v>0.214201363</v>
      </c>
      <c r="Z46" s="32">
        <v>0.01948512</v>
      </c>
      <c r="AA46" s="32">
        <v>0.06091042</v>
      </c>
      <c r="AB46" s="32">
        <v>0.13</v>
      </c>
      <c r="AC46" s="32">
        <v>0.039907514</v>
      </c>
      <c r="AD46" s="23">
        <f>VLOOKUP(B:B,库存明细报表10.16!L:P,5,0)</f>
        <v>19</v>
      </c>
      <c r="AE46" s="23">
        <f>VLOOKUP(B:B,库存明细报表10.16!L:Q,6,0)</f>
        <v>17</v>
      </c>
      <c r="AF46" s="23">
        <f>VLOOKUP(B:B,库存明细报表10.16!L:T,9,0)</f>
        <v>8</v>
      </c>
      <c r="AG46" s="23">
        <f>VLOOKUP(A:A,进销存报表10.16!A:J,10,0)</f>
        <v>25</v>
      </c>
      <c r="AH46" s="23">
        <f>VLOOKUP(A:A,进销存报表10.16!A:K,11,0)</f>
        <v>15</v>
      </c>
      <c r="AI46" s="23">
        <v>203.09</v>
      </c>
      <c r="AJ46" s="23">
        <v>152.19</v>
      </c>
      <c r="AK46" s="23">
        <v>2.33</v>
      </c>
      <c r="AL46" s="26">
        <v>8</v>
      </c>
      <c r="AM46" s="32">
        <f t="shared" si="0"/>
        <v>0.0114727460731695</v>
      </c>
      <c r="AN46" s="44">
        <f t="shared" si="1"/>
        <v>0.0525658716078586</v>
      </c>
      <c r="AO46" s="2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</row>
    <row r="47" s="8" customFormat="1" customHeight="1" spans="1:53">
      <c r="A47" s="13" t="s">
        <v>184</v>
      </c>
      <c r="B47" s="13" t="s">
        <v>185</v>
      </c>
      <c r="C47" s="13" t="s">
        <v>186</v>
      </c>
      <c r="D47" s="23" t="s">
        <v>43</v>
      </c>
      <c r="E47" s="23" t="s">
        <v>44</v>
      </c>
      <c r="F47" s="23" t="s">
        <v>45</v>
      </c>
      <c r="G47" s="23" t="s">
        <v>48</v>
      </c>
      <c r="H47" s="43" t="s">
        <v>46</v>
      </c>
      <c r="I47" s="23" t="s">
        <v>48</v>
      </c>
      <c r="J47" s="23">
        <v>24.99</v>
      </c>
      <c r="K47" s="23">
        <v>21.21</v>
      </c>
      <c r="L47" s="23">
        <v>20.15</v>
      </c>
      <c r="M47" s="23">
        <v>18.14</v>
      </c>
      <c r="N47" s="23">
        <v>22.17</v>
      </c>
      <c r="O47" s="23">
        <v>16</v>
      </c>
      <c r="P47" s="23">
        <v>10</v>
      </c>
      <c r="Q47" s="23">
        <v>10</v>
      </c>
      <c r="R47" s="23">
        <v>21</v>
      </c>
      <c r="S47" s="23">
        <v>8</v>
      </c>
      <c r="T47" s="23">
        <v>10</v>
      </c>
      <c r="U47" s="23">
        <v>7</v>
      </c>
      <c r="V47" s="32">
        <v>0.235232658</v>
      </c>
      <c r="W47" s="32">
        <v>0.189178405</v>
      </c>
      <c r="X47" s="32">
        <v>0.074141481</v>
      </c>
      <c r="Y47" s="32">
        <v>0.10980346</v>
      </c>
      <c r="Z47" s="32">
        <v>0.118787023</v>
      </c>
      <c r="AA47" s="32">
        <v>0.068156981</v>
      </c>
      <c r="AB47" s="32">
        <v>0.029761905</v>
      </c>
      <c r="AC47" s="32">
        <v>0.065627557</v>
      </c>
      <c r="AD47" s="23">
        <f>VLOOKUP(B:B,库存明细报表10.16!L:P,5,0)</f>
        <v>47</v>
      </c>
      <c r="AE47" s="23">
        <f>VLOOKUP(B:B,库存明细报表10.16!L:Q,6,0)</f>
        <v>46</v>
      </c>
      <c r="AF47" s="23">
        <f>VLOOKUP(B:B,库存明细报表10.16!L:T,9,0)</f>
        <v>60</v>
      </c>
      <c r="AG47" s="23">
        <f>VLOOKUP(A:A,进销存报表10.16!A:J,10,0)</f>
        <v>8</v>
      </c>
      <c r="AH47" s="23">
        <f>VLOOKUP(A:A,进销存报表10.16!A:K,11,0)</f>
        <v>27</v>
      </c>
      <c r="AI47" s="23">
        <v>947.59</v>
      </c>
      <c r="AJ47" s="23">
        <v>838.05</v>
      </c>
      <c r="AK47" s="23">
        <v>11.67</v>
      </c>
      <c r="AL47" s="26">
        <v>13.33333333</v>
      </c>
      <c r="AM47" s="32">
        <f t="shared" si="0"/>
        <v>0.0123154528857417</v>
      </c>
      <c r="AN47" s="44">
        <f t="shared" si="1"/>
        <v>0.0159099496808066</v>
      </c>
      <c r="AO47" s="2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</row>
    <row r="48" s="8" customFormat="1" customHeight="1" spans="1:53">
      <c r="A48" s="13" t="s">
        <v>187</v>
      </c>
      <c r="B48" s="13" t="s">
        <v>188</v>
      </c>
      <c r="C48" s="13" t="s">
        <v>189</v>
      </c>
      <c r="D48" s="23" t="s">
        <v>43</v>
      </c>
      <c r="E48" s="23" t="s">
        <v>44</v>
      </c>
      <c r="F48" s="23" t="s">
        <v>45</v>
      </c>
      <c r="G48" s="23" t="s">
        <v>48</v>
      </c>
      <c r="H48" s="43" t="s">
        <v>47</v>
      </c>
      <c r="I48" s="23" t="s">
        <v>48</v>
      </c>
      <c r="J48" s="23">
        <v>26.99</v>
      </c>
      <c r="K48" s="23">
        <v>20.24</v>
      </c>
      <c r="L48" s="23">
        <v>24.61</v>
      </c>
      <c r="M48" s="23">
        <v>22.15</v>
      </c>
      <c r="N48" s="23">
        <v>27.07</v>
      </c>
      <c r="O48" s="23">
        <v>0</v>
      </c>
      <c r="P48" s="23">
        <v>1</v>
      </c>
      <c r="Q48" s="23">
        <v>3</v>
      </c>
      <c r="R48" s="23">
        <v>14</v>
      </c>
      <c r="S48" s="23">
        <v>14</v>
      </c>
      <c r="T48" s="23">
        <v>11</v>
      </c>
      <c r="U48" s="23">
        <v>2</v>
      </c>
      <c r="V48" s="32">
        <v>0.302846073</v>
      </c>
      <c r="W48" s="32">
        <v>0.20537964</v>
      </c>
      <c r="X48" s="32">
        <v>0.19110717</v>
      </c>
      <c r="Y48" s="32">
        <v>0.090909091</v>
      </c>
      <c r="Z48" s="32">
        <v>0.041799993</v>
      </c>
      <c r="AA48" s="32">
        <v>0.071119216</v>
      </c>
      <c r="AB48" s="32">
        <v>0.186440678</v>
      </c>
      <c r="AC48" s="32">
        <v>0.13008279</v>
      </c>
      <c r="AD48" s="23">
        <f>VLOOKUP(B:B,库存明细报表10.16!L:P,5,0)</f>
        <v>5</v>
      </c>
      <c r="AE48" s="23">
        <f>VLOOKUP(B:B,库存明细报表10.16!L:Q,6,0)</f>
        <v>3</v>
      </c>
      <c r="AF48" s="23">
        <f>VLOOKUP(B:B,库存明细报表10.16!L:T,9,0)</f>
        <v>23</v>
      </c>
      <c r="AG48" s="23">
        <f>VLOOKUP(A:A,进销存报表10.16!A:J,10,0)</f>
        <v>35</v>
      </c>
      <c r="AH48" s="23">
        <f>VLOOKUP(A:A,进销存报表10.16!A:K,11,0)</f>
        <v>14</v>
      </c>
      <c r="AI48" s="23">
        <v>107.84</v>
      </c>
      <c r="AJ48" s="23">
        <v>82.77</v>
      </c>
      <c r="AK48" s="23">
        <v>1.33</v>
      </c>
      <c r="AL48" s="26">
        <v>13</v>
      </c>
      <c r="AM48" s="32">
        <f t="shared" si="0"/>
        <v>0.0123330860534125</v>
      </c>
      <c r="AN48" s="44">
        <f t="shared" si="1"/>
        <v>0.157061737344448</v>
      </c>
      <c r="AO48" s="2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</row>
    <row r="49" s="8" customFormat="1" customHeight="1" spans="1:53">
      <c r="A49" s="13" t="s">
        <v>190</v>
      </c>
      <c r="B49" s="13" t="s">
        <v>191</v>
      </c>
      <c r="C49" s="13" t="s">
        <v>192</v>
      </c>
      <c r="D49" s="23" t="s">
        <v>43</v>
      </c>
      <c r="E49" s="23" t="s">
        <v>44</v>
      </c>
      <c r="F49" s="23" t="s">
        <v>45</v>
      </c>
      <c r="G49" s="23" t="s">
        <v>46</v>
      </c>
      <c r="H49" s="43" t="s">
        <v>47</v>
      </c>
      <c r="I49" s="23" t="s">
        <v>48</v>
      </c>
      <c r="J49" s="23">
        <v>42.99</v>
      </c>
      <c r="K49" s="23">
        <v>32.18</v>
      </c>
      <c r="L49" s="23">
        <v>36.74</v>
      </c>
      <c r="M49" s="23">
        <v>33.07</v>
      </c>
      <c r="N49" s="23">
        <v>40.41</v>
      </c>
      <c r="O49" s="23">
        <v>0</v>
      </c>
      <c r="P49" s="23">
        <v>2</v>
      </c>
      <c r="Q49" s="23">
        <v>0</v>
      </c>
      <c r="R49" s="23">
        <v>5</v>
      </c>
      <c r="S49" s="23">
        <v>2</v>
      </c>
      <c r="T49" s="23">
        <v>4</v>
      </c>
      <c r="U49" s="23">
        <v>0</v>
      </c>
      <c r="V49" s="32">
        <v>0.101406206</v>
      </c>
      <c r="W49" s="32">
        <v>0.290674684</v>
      </c>
      <c r="X49" s="32">
        <v>0.260843987</v>
      </c>
      <c r="Y49" s="32">
        <v>0</v>
      </c>
      <c r="Z49" s="32">
        <v>0.018477574</v>
      </c>
      <c r="AA49" s="32">
        <v>0.083838387</v>
      </c>
      <c r="AB49" s="32">
        <v>0.153846154</v>
      </c>
      <c r="AC49" s="32">
        <v>0</v>
      </c>
      <c r="AD49" s="23">
        <f>VLOOKUP(B:B,库存明细报表10.16!L:P,5,0)</f>
        <v>25</v>
      </c>
      <c r="AE49" s="23">
        <f>VLOOKUP(B:B,库存明细报表10.16!L:Q,6,0)</f>
        <v>24</v>
      </c>
      <c r="AF49" s="23">
        <f>VLOOKUP(B:B,库存明细报表10.16!L:T,9,0)</f>
        <v>0</v>
      </c>
      <c r="AG49" s="23">
        <f>VLOOKUP(A:A,进销存报表10.16!A:J,10,0)</f>
        <v>40</v>
      </c>
      <c r="AH49" s="23">
        <f>VLOOKUP(A:A,进销存报表10.16!A:K,11,0)</f>
        <v>8</v>
      </c>
      <c r="AI49" s="23">
        <v>54.14</v>
      </c>
      <c r="AJ49" s="23">
        <v>36.31</v>
      </c>
      <c r="AK49" s="23">
        <v>0.67</v>
      </c>
      <c r="AL49" s="26">
        <v>3.666666667</v>
      </c>
      <c r="AM49" s="32">
        <f t="shared" si="0"/>
        <v>0.0123753232360547</v>
      </c>
      <c r="AN49" s="44">
        <f t="shared" si="1"/>
        <v>0.100982282208758</v>
      </c>
      <c r="AO49" s="2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</row>
    <row r="50" s="8" customFormat="1" customHeight="1" spans="1:53">
      <c r="A50" s="13" t="s">
        <v>193</v>
      </c>
      <c r="B50" s="13" t="s">
        <v>194</v>
      </c>
      <c r="C50" s="13" t="s">
        <v>195</v>
      </c>
      <c r="D50" s="23" t="s">
        <v>43</v>
      </c>
      <c r="E50" s="23" t="s">
        <v>44</v>
      </c>
      <c r="F50" s="23" t="s">
        <v>45</v>
      </c>
      <c r="G50" s="23" t="s">
        <v>48</v>
      </c>
      <c r="H50" s="43" t="s">
        <v>48</v>
      </c>
      <c r="I50" s="23" t="s">
        <v>47</v>
      </c>
      <c r="J50" s="23">
        <v>33.99</v>
      </c>
      <c r="K50" s="23">
        <v>20.32</v>
      </c>
      <c r="L50" s="23">
        <v>33.24</v>
      </c>
      <c r="M50" s="23">
        <v>29.91</v>
      </c>
      <c r="N50" s="23">
        <v>36.56</v>
      </c>
      <c r="O50" s="23">
        <v>0</v>
      </c>
      <c r="P50" s="23">
        <v>1</v>
      </c>
      <c r="Q50" s="23">
        <v>2</v>
      </c>
      <c r="R50" s="23">
        <v>5</v>
      </c>
      <c r="S50" s="23">
        <v>5</v>
      </c>
      <c r="T50" s="23">
        <v>2</v>
      </c>
      <c r="U50" s="23">
        <v>2</v>
      </c>
      <c r="V50" s="32">
        <v>0.204148033</v>
      </c>
      <c r="W50" s="32">
        <v>0.315086656</v>
      </c>
      <c r="X50" s="32">
        <v>0.345154888</v>
      </c>
      <c r="Y50" s="32">
        <v>0</v>
      </c>
      <c r="Z50" s="32">
        <v>0</v>
      </c>
      <c r="AA50" s="32">
        <v>0</v>
      </c>
      <c r="AB50" s="32">
        <v>0.111111111</v>
      </c>
      <c r="AC50" s="32" t="s">
        <v>69</v>
      </c>
      <c r="AD50" s="23">
        <f>VLOOKUP(B:B,库存明细报表10.16!L:P,5,0)</f>
        <v>0</v>
      </c>
      <c r="AE50" s="23">
        <f>VLOOKUP(B:B,库存明细报表10.16!L:Q,6,0)</f>
        <v>0</v>
      </c>
      <c r="AF50" s="23">
        <f>VLOOKUP(B:B,库存明细报表10.16!L:T,9,0)</f>
        <v>20</v>
      </c>
      <c r="AG50" s="23">
        <f>VLOOKUP(A:A,进销存报表10.16!A:J,10,0)</f>
        <v>14</v>
      </c>
      <c r="AH50" s="23">
        <f>VLOOKUP(A:A,进销存报表10.16!A:K,11,0)</f>
        <v>83</v>
      </c>
      <c r="AI50" s="23">
        <v>78.55</v>
      </c>
      <c r="AJ50" s="23">
        <v>51.24</v>
      </c>
      <c r="AK50" s="23">
        <v>1</v>
      </c>
      <c r="AL50" s="26">
        <v>3.333333333</v>
      </c>
      <c r="AM50" s="32">
        <f t="shared" si="0"/>
        <v>0.0127307447485678</v>
      </c>
      <c r="AN50" s="44">
        <f t="shared" si="1"/>
        <v>0.065053343735363</v>
      </c>
      <c r="AO50" s="2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</row>
    <row r="51" s="8" customFormat="1" customHeight="1" spans="1:53">
      <c r="A51" s="13" t="s">
        <v>196</v>
      </c>
      <c r="B51" s="13" t="s">
        <v>197</v>
      </c>
      <c r="C51" s="13" t="s">
        <v>198</v>
      </c>
      <c r="D51" s="23" t="s">
        <v>43</v>
      </c>
      <c r="E51" s="23" t="s">
        <v>44</v>
      </c>
      <c r="F51" s="23" t="s">
        <v>45</v>
      </c>
      <c r="G51" s="23" t="s">
        <v>48</v>
      </c>
      <c r="H51" s="43" t="s">
        <v>46</v>
      </c>
      <c r="I51" s="23" t="s">
        <v>48</v>
      </c>
      <c r="J51" s="23">
        <v>23.99</v>
      </c>
      <c r="K51" s="23">
        <v>18.44</v>
      </c>
      <c r="L51" s="23">
        <v>22.79</v>
      </c>
      <c r="M51" s="23">
        <v>20.51</v>
      </c>
      <c r="N51" s="23">
        <v>25.07</v>
      </c>
      <c r="O51" s="23">
        <v>0</v>
      </c>
      <c r="P51" s="23">
        <v>4</v>
      </c>
      <c r="Q51" s="23">
        <v>4</v>
      </c>
      <c r="R51" s="23">
        <v>18</v>
      </c>
      <c r="S51" s="23">
        <v>11</v>
      </c>
      <c r="T51" s="23">
        <v>2</v>
      </c>
      <c r="U51" s="23">
        <v>3</v>
      </c>
      <c r="V51" s="32">
        <v>0.216165923</v>
      </c>
      <c r="W51" s="32">
        <v>0.141712059</v>
      </c>
      <c r="X51" s="32">
        <v>-0.181931689</v>
      </c>
      <c r="Y51" s="32">
        <v>0.321994588</v>
      </c>
      <c r="Z51" s="32">
        <v>0.175750548</v>
      </c>
      <c r="AA51" s="32">
        <v>0.056392115</v>
      </c>
      <c r="AB51" s="32">
        <v>0.035714286</v>
      </c>
      <c r="AC51" s="32">
        <v>0.102344943</v>
      </c>
      <c r="AD51" s="23">
        <f>VLOOKUP(B:B,库存明细报表10.16!L:P,5,0)</f>
        <v>31</v>
      </c>
      <c r="AE51" s="23">
        <f>VLOOKUP(B:B,库存明细报表10.16!L:Q,6,0)</f>
        <v>14</v>
      </c>
      <c r="AF51" s="23">
        <f>VLOOKUP(B:B,库存明细报表10.16!L:T,9,0)</f>
        <v>0</v>
      </c>
      <c r="AG51" s="23">
        <f>VLOOKUP(A:A,进销存报表10.16!A:J,10,0)</f>
        <v>5</v>
      </c>
      <c r="AH51" s="23">
        <f>VLOOKUP(A:A,进销存报表10.16!A:K,11,0)</f>
        <v>13</v>
      </c>
      <c r="AI51" s="23">
        <v>201.99</v>
      </c>
      <c r="AJ51" s="23">
        <v>119.35</v>
      </c>
      <c r="AK51" s="23">
        <v>2.67</v>
      </c>
      <c r="AL51" s="26">
        <v>11</v>
      </c>
      <c r="AM51" s="32">
        <f t="shared" si="0"/>
        <v>0.0132184761621862</v>
      </c>
      <c r="AN51" s="44">
        <f t="shared" si="1"/>
        <v>0.0921658986175115</v>
      </c>
      <c r="AO51" s="2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</row>
    <row r="52" s="8" customFormat="1" customHeight="1" spans="1:53">
      <c r="A52" s="13" t="s">
        <v>199</v>
      </c>
      <c r="B52" s="13" t="s">
        <v>200</v>
      </c>
      <c r="C52" s="13" t="s">
        <v>201</v>
      </c>
      <c r="D52" s="23" t="s">
        <v>43</v>
      </c>
      <c r="E52" s="23" t="s">
        <v>44</v>
      </c>
      <c r="F52" s="23" t="s">
        <v>45</v>
      </c>
      <c r="G52" s="23" t="s">
        <v>48</v>
      </c>
      <c r="H52" s="43" t="s">
        <v>46</v>
      </c>
      <c r="I52" s="23" t="s">
        <v>48</v>
      </c>
      <c r="J52" s="23">
        <v>36.99</v>
      </c>
      <c r="K52" s="23">
        <v>26.05</v>
      </c>
      <c r="L52" s="23">
        <v>36.91</v>
      </c>
      <c r="M52" s="23">
        <v>33.22</v>
      </c>
      <c r="N52" s="23">
        <v>40.6</v>
      </c>
      <c r="O52" s="23">
        <v>0</v>
      </c>
      <c r="P52" s="23">
        <v>0</v>
      </c>
      <c r="Q52" s="23">
        <v>5</v>
      </c>
      <c r="R52" s="23">
        <v>12</v>
      </c>
      <c r="S52" s="23">
        <v>4</v>
      </c>
      <c r="T52" s="23">
        <v>8</v>
      </c>
      <c r="U52" s="23">
        <v>6</v>
      </c>
      <c r="V52" s="32">
        <v>0.274550716</v>
      </c>
      <c r="W52" s="32">
        <v>0.100323703</v>
      </c>
      <c r="X52" s="32">
        <v>0.158807657</v>
      </c>
      <c r="Y52" s="32">
        <v>0.255397237</v>
      </c>
      <c r="Z52" s="32">
        <v>0.071747265</v>
      </c>
      <c r="AA52" s="32">
        <v>0.04660364</v>
      </c>
      <c r="AB52" s="32">
        <v>0.16</v>
      </c>
      <c r="AC52" s="32">
        <v>0.080834751</v>
      </c>
      <c r="AD52" s="23">
        <f>VLOOKUP(B:B,库存明细报表10.16!L:P,5,0)</f>
        <v>9</v>
      </c>
      <c r="AE52" s="23">
        <f>VLOOKUP(B:B,库存明细报表10.16!L:Q,6,0)</f>
        <v>9</v>
      </c>
      <c r="AF52" s="23">
        <f>VLOOKUP(B:B,库存明细报表10.16!L:T,9,0)</f>
        <v>0</v>
      </c>
      <c r="AG52" s="23">
        <f>VLOOKUP(A:A,进销存报表10.16!A:J,10,0)</f>
        <v>0</v>
      </c>
      <c r="AH52" s="23">
        <f>VLOOKUP(A:A,进销存报表10.16!A:K,11,0)</f>
        <v>59</v>
      </c>
      <c r="AI52" s="23">
        <v>125.64</v>
      </c>
      <c r="AJ52" s="23">
        <v>120.76</v>
      </c>
      <c r="AK52" s="23">
        <v>1.67</v>
      </c>
      <c r="AL52" s="26">
        <v>8</v>
      </c>
      <c r="AM52" s="32">
        <f t="shared" si="0"/>
        <v>0.0132919452403693</v>
      </c>
      <c r="AN52" s="44">
        <f t="shared" si="1"/>
        <v>0.0662471016893011</v>
      </c>
      <c r="AO52" s="2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</row>
    <row r="53" s="8" customFormat="1" customHeight="1" spans="1:53">
      <c r="A53" s="13" t="s">
        <v>202</v>
      </c>
      <c r="B53" s="13" t="s">
        <v>203</v>
      </c>
      <c r="C53" s="13" t="s">
        <v>204</v>
      </c>
      <c r="D53" s="23" t="s">
        <v>43</v>
      </c>
      <c r="E53" s="23" t="s">
        <v>44</v>
      </c>
      <c r="F53" s="23" t="s">
        <v>45</v>
      </c>
      <c r="G53" s="23" t="s">
        <v>48</v>
      </c>
      <c r="H53" s="43" t="s">
        <v>47</v>
      </c>
      <c r="I53" s="23" t="s">
        <v>48</v>
      </c>
      <c r="J53" s="23">
        <v>27.99</v>
      </c>
      <c r="K53" s="23">
        <v>18.98</v>
      </c>
      <c r="L53" s="23">
        <v>22.49</v>
      </c>
      <c r="M53" s="23">
        <v>20.24</v>
      </c>
      <c r="N53" s="23">
        <v>24.74</v>
      </c>
      <c r="O53" s="23">
        <v>0</v>
      </c>
      <c r="P53" s="23">
        <v>2</v>
      </c>
      <c r="Q53" s="23">
        <v>3</v>
      </c>
      <c r="R53" s="23">
        <v>3</v>
      </c>
      <c r="S53" s="23">
        <v>14</v>
      </c>
      <c r="T53" s="23">
        <v>5</v>
      </c>
      <c r="U53" s="23">
        <v>1</v>
      </c>
      <c r="V53" s="32">
        <v>0.289791399</v>
      </c>
      <c r="W53" s="32">
        <v>0.296099195</v>
      </c>
      <c r="X53" s="32">
        <v>0.332115836</v>
      </c>
      <c r="Y53" s="32">
        <v>0</v>
      </c>
      <c r="Z53" s="32">
        <v>0.03214543</v>
      </c>
      <c r="AA53" s="32">
        <v>0.07964042</v>
      </c>
      <c r="AB53" s="32">
        <v>0.047619048</v>
      </c>
      <c r="AC53" s="32">
        <v>0.099710023</v>
      </c>
      <c r="AD53" s="23">
        <f>VLOOKUP(B:B,库存明细报表10.16!L:P,5,0)</f>
        <v>23</v>
      </c>
      <c r="AE53" s="23">
        <f>VLOOKUP(B:B,库存明细报表10.16!L:Q,6,0)</f>
        <v>3</v>
      </c>
      <c r="AF53" s="23">
        <f>VLOOKUP(B:B,库存明细报表10.16!L:T,9,0)</f>
        <v>20</v>
      </c>
      <c r="AG53" s="23">
        <f>VLOOKUP(A:A,进销存报表10.16!A:J,10,0)</f>
        <v>23</v>
      </c>
      <c r="AH53" s="23">
        <f>VLOOKUP(A:A,进销存报表10.16!A:K,11,0)</f>
        <v>5</v>
      </c>
      <c r="AI53" s="23">
        <v>99.86</v>
      </c>
      <c r="AJ53" s="23">
        <v>64.92</v>
      </c>
      <c r="AK53" s="23">
        <v>1.33</v>
      </c>
      <c r="AL53" s="26">
        <v>7.666666667</v>
      </c>
      <c r="AM53" s="32">
        <f t="shared" si="0"/>
        <v>0.0133186461045464</v>
      </c>
      <c r="AN53" s="44">
        <f t="shared" si="1"/>
        <v>0.118094064494763</v>
      </c>
      <c r="AO53" s="2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</row>
    <row r="54" s="8" customFormat="1" customHeight="1" spans="1:53">
      <c r="A54" s="13" t="s">
        <v>205</v>
      </c>
      <c r="B54" s="13" t="s">
        <v>206</v>
      </c>
      <c r="C54" s="13" t="s">
        <v>207</v>
      </c>
      <c r="D54" s="23" t="s">
        <v>43</v>
      </c>
      <c r="E54" s="23" t="s">
        <v>55</v>
      </c>
      <c r="F54" s="23" t="s">
        <v>45</v>
      </c>
      <c r="G54" s="23" t="s">
        <v>48</v>
      </c>
      <c r="H54" s="43" t="s">
        <v>56</v>
      </c>
      <c r="I54" s="23" t="s">
        <v>47</v>
      </c>
      <c r="J54" s="23">
        <v>25.99</v>
      </c>
      <c r="K54" s="23">
        <v>20.13</v>
      </c>
      <c r="L54" s="23">
        <v>25.8</v>
      </c>
      <c r="M54" s="23">
        <v>23.22</v>
      </c>
      <c r="N54" s="23">
        <v>28.38</v>
      </c>
      <c r="O54" s="23">
        <v>0</v>
      </c>
      <c r="P54" s="23">
        <v>0</v>
      </c>
      <c r="Q54" s="23">
        <v>1</v>
      </c>
      <c r="R54" s="23">
        <v>0</v>
      </c>
      <c r="S54" s="23">
        <v>4</v>
      </c>
      <c r="T54" s="23">
        <v>5</v>
      </c>
      <c r="U54" s="23">
        <v>1</v>
      </c>
      <c r="V54" s="32">
        <v>0.344889906</v>
      </c>
      <c r="W54" s="32">
        <v>0.125262489</v>
      </c>
      <c r="X54" s="32">
        <v>0.080482841</v>
      </c>
      <c r="Y54" s="32">
        <v>0.187495115</v>
      </c>
      <c r="Z54" s="32">
        <v>0.031731145</v>
      </c>
      <c r="AA54" s="32">
        <v>0.068846975</v>
      </c>
      <c r="AB54" s="32">
        <v>0.227272727</v>
      </c>
      <c r="AC54" s="32">
        <v>0.221675853</v>
      </c>
      <c r="AD54" s="23">
        <f>VLOOKUP(B:B,库存明细报表10.16!L:P,5,0)</f>
        <v>10</v>
      </c>
      <c r="AE54" s="23">
        <f>VLOOKUP(B:B,库存明细报表10.16!L:Q,6,0)</f>
        <v>9</v>
      </c>
      <c r="AF54" s="23">
        <f>VLOOKUP(B:B,库存明细报表10.16!L:T,9,0)</f>
        <v>0</v>
      </c>
      <c r="AG54" s="23">
        <f>VLOOKUP(A:A,进销存报表10.16!A:J,10,0)</f>
        <v>4</v>
      </c>
      <c r="AH54" s="23">
        <f>VLOOKUP(A:A,进销存报表10.16!A:K,11,0)</f>
        <v>2</v>
      </c>
      <c r="AI54" s="23">
        <v>23.45</v>
      </c>
      <c r="AJ54" s="23">
        <v>14.07</v>
      </c>
      <c r="AK54" s="23">
        <v>0.33</v>
      </c>
      <c r="AL54" s="26">
        <v>3</v>
      </c>
      <c r="AM54" s="32">
        <f t="shared" si="0"/>
        <v>0.0140724946695096</v>
      </c>
      <c r="AN54" s="44">
        <f t="shared" si="1"/>
        <v>0.213219616204691</v>
      </c>
      <c r="AO54" s="2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</row>
    <row r="55" s="8" customFormat="1" customHeight="1" spans="1:53">
      <c r="A55" s="13" t="s">
        <v>208</v>
      </c>
      <c r="B55" s="13" t="s">
        <v>209</v>
      </c>
      <c r="C55" s="13" t="s">
        <v>210</v>
      </c>
      <c r="D55" s="23" t="s">
        <v>211</v>
      </c>
      <c r="E55" s="23" t="s">
        <v>44</v>
      </c>
      <c r="F55" s="23" t="s">
        <v>45</v>
      </c>
      <c r="G55" s="23" t="s">
        <v>46</v>
      </c>
      <c r="H55" s="43" t="s">
        <v>46</v>
      </c>
      <c r="I55" s="23" t="s">
        <v>46</v>
      </c>
      <c r="J55" s="23">
        <v>42.66</v>
      </c>
      <c r="K55" s="23">
        <v>26.34</v>
      </c>
      <c r="L55" s="23">
        <v>31.35</v>
      </c>
      <c r="M55" s="23">
        <v>28.21</v>
      </c>
      <c r="N55" s="23">
        <v>34.48</v>
      </c>
      <c r="O55" s="23">
        <v>1</v>
      </c>
      <c r="P55" s="23">
        <v>0</v>
      </c>
      <c r="Q55" s="23">
        <v>2</v>
      </c>
      <c r="R55" s="23">
        <v>0</v>
      </c>
      <c r="S55" s="23">
        <v>1</v>
      </c>
      <c r="T55" s="23">
        <v>4</v>
      </c>
      <c r="U55" s="23">
        <v>0</v>
      </c>
      <c r="V55" s="32">
        <v>-0.028998766</v>
      </c>
      <c r="W55" s="32">
        <v>0.12061612</v>
      </c>
      <c r="X55" s="32">
        <v>0.128343011</v>
      </c>
      <c r="Y55" s="32">
        <v>0.2</v>
      </c>
      <c r="Z55" s="32">
        <v>0.024770352</v>
      </c>
      <c r="AA55" s="32">
        <v>0.089705417</v>
      </c>
      <c r="AB55" s="32">
        <v>0.210526316</v>
      </c>
      <c r="AC55" s="32">
        <v>0.222201286</v>
      </c>
      <c r="AD55" s="23" t="e">
        <f>VLOOKUP(B:B,库存明细报表10.16!L:P,5,0)</f>
        <v>#N/A</v>
      </c>
      <c r="AE55" s="23" t="e">
        <f>VLOOKUP(B:B,库存明细报表10.16!L:Q,6,0)</f>
        <v>#N/A</v>
      </c>
      <c r="AF55" s="23" t="e">
        <f>VLOOKUP(B:B,库存明细报表10.16!L:T,9,0)</f>
        <v>#N/A</v>
      </c>
      <c r="AG55" s="23">
        <f>VLOOKUP(A:A,进销存报表10.16!A:J,10,0)</f>
        <v>9</v>
      </c>
      <c r="AH55" s="23">
        <f>VLOOKUP(A:A,进销存报表10.16!A:K,11,0)</f>
        <v>1</v>
      </c>
      <c r="AI55" s="23">
        <v>46.94</v>
      </c>
      <c r="AJ55" s="23">
        <v>22.94</v>
      </c>
      <c r="AK55" s="23">
        <v>0.67</v>
      </c>
      <c r="AL55" s="26">
        <v>2</v>
      </c>
      <c r="AM55" s="32">
        <f t="shared" si="0"/>
        <v>0.0142735406902429</v>
      </c>
      <c r="AN55" s="44">
        <f t="shared" si="1"/>
        <v>0.0871839581517001</v>
      </c>
      <c r="AO55" s="2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</row>
    <row r="56" s="8" customFormat="1" customHeight="1" spans="1:53">
      <c r="A56" s="13" t="s">
        <v>212</v>
      </c>
      <c r="B56" s="13" t="s">
        <v>213</v>
      </c>
      <c r="C56" s="13" t="s">
        <v>214</v>
      </c>
      <c r="D56" s="23" t="s">
        <v>43</v>
      </c>
      <c r="E56" s="23" t="s">
        <v>44</v>
      </c>
      <c r="F56" s="23" t="s">
        <v>45</v>
      </c>
      <c r="G56" s="23" t="s">
        <v>48</v>
      </c>
      <c r="H56" s="43" t="s">
        <v>46</v>
      </c>
      <c r="I56" s="23" t="s">
        <v>48</v>
      </c>
      <c r="J56" s="23">
        <v>77.99</v>
      </c>
      <c r="K56" s="23">
        <v>54.74</v>
      </c>
      <c r="L56" s="23">
        <v>58.29</v>
      </c>
      <c r="M56" s="23">
        <v>52.46</v>
      </c>
      <c r="N56" s="23">
        <v>64.11</v>
      </c>
      <c r="O56" s="23">
        <v>6</v>
      </c>
      <c r="P56" s="23">
        <v>3</v>
      </c>
      <c r="Q56" s="23">
        <v>3</v>
      </c>
      <c r="R56" s="23">
        <v>10</v>
      </c>
      <c r="S56" s="23">
        <v>12</v>
      </c>
      <c r="T56" s="23">
        <v>0</v>
      </c>
      <c r="U56" s="23">
        <v>0</v>
      </c>
      <c r="V56" s="32">
        <v>0.212579807</v>
      </c>
      <c r="W56" s="32">
        <v>0.14881248</v>
      </c>
      <c r="X56" s="32">
        <v>0.120512372</v>
      </c>
      <c r="Y56" s="32">
        <v>2</v>
      </c>
      <c r="Z56" s="32">
        <v>0.058985492</v>
      </c>
      <c r="AA56" s="32">
        <v>0.05</v>
      </c>
      <c r="AB56" s="32">
        <v>0</v>
      </c>
      <c r="AC56" s="32">
        <v>0</v>
      </c>
      <c r="AD56" s="23">
        <f>VLOOKUP(B:B,库存明细报表10.16!L:P,5,0)</f>
        <v>0</v>
      </c>
      <c r="AE56" s="23">
        <f>VLOOKUP(B:B,库存明细报表10.16!L:Q,6,0)</f>
        <v>0</v>
      </c>
      <c r="AF56" s="23">
        <f>VLOOKUP(B:B,库存明细报表10.16!L:T,9,0)</f>
        <v>35</v>
      </c>
      <c r="AG56" s="23">
        <f>VLOOKUP(A:A,进销存报表10.16!A:J,10,0)</f>
        <v>15</v>
      </c>
      <c r="AH56" s="23">
        <f>VLOOKUP(A:A,进销存报表10.16!A:K,11,0)</f>
        <v>64</v>
      </c>
      <c r="AI56" s="23">
        <v>199.78</v>
      </c>
      <c r="AJ56" s="23">
        <v>149.23</v>
      </c>
      <c r="AK56" s="23">
        <v>3</v>
      </c>
      <c r="AL56" s="26">
        <v>8.333333333</v>
      </c>
      <c r="AM56" s="32">
        <f t="shared" si="0"/>
        <v>0.015016518169987</v>
      </c>
      <c r="AN56" s="44">
        <f t="shared" si="1"/>
        <v>0.0558422122428466</v>
      </c>
      <c r="AO56" s="2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</row>
    <row r="57" s="8" customFormat="1" customHeight="1" spans="1:53">
      <c r="A57" s="13" t="s">
        <v>215</v>
      </c>
      <c r="B57" s="13" t="s">
        <v>216</v>
      </c>
      <c r="C57" s="13" t="s">
        <v>217</v>
      </c>
      <c r="D57" s="23" t="s">
        <v>43</v>
      </c>
      <c r="E57" s="23" t="s">
        <v>44</v>
      </c>
      <c r="F57" s="23" t="s">
        <v>45</v>
      </c>
      <c r="G57" s="23" t="s">
        <v>48</v>
      </c>
      <c r="H57" s="43" t="s">
        <v>56</v>
      </c>
      <c r="I57" s="23" t="s">
        <v>48</v>
      </c>
      <c r="J57" s="23">
        <v>49.99</v>
      </c>
      <c r="K57" s="23">
        <v>36.03</v>
      </c>
      <c r="L57" s="23">
        <v>36.89</v>
      </c>
      <c r="M57" s="23">
        <v>33.2</v>
      </c>
      <c r="N57" s="23">
        <v>40.58</v>
      </c>
      <c r="O57" s="23">
        <v>0</v>
      </c>
      <c r="P57" s="23">
        <v>2</v>
      </c>
      <c r="Q57" s="23">
        <v>5</v>
      </c>
      <c r="R57" s="23">
        <v>4</v>
      </c>
      <c r="S57" s="23">
        <v>9</v>
      </c>
      <c r="T57" s="23">
        <v>12</v>
      </c>
      <c r="U57" s="23">
        <v>0</v>
      </c>
      <c r="V57" s="32">
        <v>0.31694419</v>
      </c>
      <c r="W57" s="32">
        <v>0.147742417</v>
      </c>
      <c r="X57" s="32">
        <v>0.122569678</v>
      </c>
      <c r="Y57" s="32">
        <v>0.245892769</v>
      </c>
      <c r="Z57" s="32">
        <v>0.00703394</v>
      </c>
      <c r="AA57" s="32">
        <v>0.056272771</v>
      </c>
      <c r="AB57" s="32">
        <v>0.087591241</v>
      </c>
      <c r="AC57" s="32">
        <v>0.399142323</v>
      </c>
      <c r="AD57" s="23">
        <f>VLOOKUP(B:B,库存明细报表10.16!L:P,5,0)</f>
        <v>22</v>
      </c>
      <c r="AE57" s="23">
        <f>VLOOKUP(B:B,库存明细报表10.16!L:Q,6,0)</f>
        <v>22</v>
      </c>
      <c r="AF57" s="23">
        <f>VLOOKUP(B:B,库存明细报表10.16!L:T,9,0)</f>
        <v>18</v>
      </c>
      <c r="AG57" s="23">
        <f>VLOOKUP(A:A,进销存报表10.16!A:J,10,0)</f>
        <v>36</v>
      </c>
      <c r="AH57" s="23">
        <f>VLOOKUP(A:A,进销存报表10.16!A:K,11,0)</f>
        <v>7</v>
      </c>
      <c r="AI57" s="23">
        <v>129.61</v>
      </c>
      <c r="AJ57" s="23">
        <v>88.24</v>
      </c>
      <c r="AK57" s="23">
        <v>2</v>
      </c>
      <c r="AL57" s="26">
        <v>9.333333333</v>
      </c>
      <c r="AM57" s="32">
        <f t="shared" si="0"/>
        <v>0.0154309081089422</v>
      </c>
      <c r="AN57" s="44">
        <f t="shared" si="1"/>
        <v>0.105772136593382</v>
      </c>
      <c r="AO57" s="2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</row>
    <row r="58" s="8" customFormat="1" customHeight="1" spans="1:53">
      <c r="A58" s="13" t="s">
        <v>218</v>
      </c>
      <c r="B58" s="13" t="s">
        <v>219</v>
      </c>
      <c r="C58" s="13" t="s">
        <v>220</v>
      </c>
      <c r="D58" s="23" t="s">
        <v>43</v>
      </c>
      <c r="E58" s="23" t="s">
        <v>44</v>
      </c>
      <c r="F58" s="23" t="s">
        <v>45</v>
      </c>
      <c r="G58" s="23" t="s">
        <v>46</v>
      </c>
      <c r="H58" s="43" t="s">
        <v>47</v>
      </c>
      <c r="I58" s="23" t="s">
        <v>48</v>
      </c>
      <c r="J58" s="23">
        <v>25.99</v>
      </c>
      <c r="K58" s="23">
        <v>19.07</v>
      </c>
      <c r="L58" s="23">
        <v>21.13</v>
      </c>
      <c r="M58" s="23">
        <v>19.02</v>
      </c>
      <c r="N58" s="23">
        <v>23.25</v>
      </c>
      <c r="O58" s="23">
        <v>0</v>
      </c>
      <c r="P58" s="23">
        <v>7</v>
      </c>
      <c r="Q58" s="23">
        <v>3</v>
      </c>
      <c r="R58" s="23">
        <v>26</v>
      </c>
      <c r="S58" s="23">
        <v>18</v>
      </c>
      <c r="T58" s="23">
        <v>20</v>
      </c>
      <c r="U58" s="23">
        <v>3</v>
      </c>
      <c r="V58" s="32">
        <v>0.194795298</v>
      </c>
      <c r="W58" s="32">
        <v>0.201863428</v>
      </c>
      <c r="X58" s="32">
        <v>0.259122511</v>
      </c>
      <c r="Y58" s="32">
        <v>0.049330929</v>
      </c>
      <c r="Z58" s="32">
        <v>0.024618013</v>
      </c>
      <c r="AA58" s="32">
        <v>0.078833408</v>
      </c>
      <c r="AB58" s="32">
        <v>0.215053763</v>
      </c>
      <c r="AC58" s="32">
        <v>0.258636682</v>
      </c>
      <c r="AD58" s="23">
        <f>VLOOKUP(B:B,库存明细报表10.16!L:P,5,0)</f>
        <v>18</v>
      </c>
      <c r="AE58" s="23">
        <f>VLOOKUP(B:B,库存明细报表10.16!L:Q,6,0)</f>
        <v>2</v>
      </c>
      <c r="AF58" s="23">
        <f>VLOOKUP(B:B,库存明细报表10.16!L:T,9,0)</f>
        <v>0</v>
      </c>
      <c r="AG58" s="23">
        <f>VLOOKUP(A:A,进销存报表10.16!A:J,10,0)</f>
        <v>3</v>
      </c>
      <c r="AH58" s="23">
        <f>VLOOKUP(A:A,进销存报表10.16!A:K,11,0)</f>
        <v>47</v>
      </c>
      <c r="AI58" s="23">
        <v>185.34</v>
      </c>
      <c r="AJ58" s="23">
        <v>154</v>
      </c>
      <c r="AK58" s="23">
        <v>3</v>
      </c>
      <c r="AL58" s="26">
        <v>23.66666667</v>
      </c>
      <c r="AM58" s="32">
        <f t="shared" si="0"/>
        <v>0.0161864681126578</v>
      </c>
      <c r="AN58" s="44">
        <f t="shared" si="1"/>
        <v>0.153679653701299</v>
      </c>
      <c r="AO58" s="2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</row>
    <row r="59" s="8" customFormat="1" customHeight="1" spans="1:53">
      <c r="A59" s="13" t="s">
        <v>221</v>
      </c>
      <c r="B59" s="13" t="s">
        <v>222</v>
      </c>
      <c r="C59" s="13" t="s">
        <v>223</v>
      </c>
      <c r="D59" s="23" t="s">
        <v>43</v>
      </c>
      <c r="E59" s="23" t="s">
        <v>44</v>
      </c>
      <c r="F59" s="23" t="s">
        <v>45</v>
      </c>
      <c r="G59" s="23" t="s">
        <v>46</v>
      </c>
      <c r="H59" s="43" t="s">
        <v>48</v>
      </c>
      <c r="I59" s="23" t="s">
        <v>48</v>
      </c>
      <c r="J59" s="23">
        <v>29.99</v>
      </c>
      <c r="K59" s="23">
        <v>19.99</v>
      </c>
      <c r="L59" s="23">
        <v>20.68</v>
      </c>
      <c r="M59" s="23">
        <v>18.61</v>
      </c>
      <c r="N59" s="23">
        <v>22.75</v>
      </c>
      <c r="O59" s="23">
        <v>0</v>
      </c>
      <c r="P59" s="23">
        <v>3</v>
      </c>
      <c r="Q59" s="23">
        <v>7</v>
      </c>
      <c r="R59" s="23">
        <v>5</v>
      </c>
      <c r="S59" s="23">
        <v>12</v>
      </c>
      <c r="T59" s="23">
        <v>12</v>
      </c>
      <c r="U59" s="23">
        <v>5</v>
      </c>
      <c r="V59" s="32">
        <v>-0.016661704</v>
      </c>
      <c r="W59" s="32">
        <v>0.277238799</v>
      </c>
      <c r="X59" s="32">
        <v>0.351352094</v>
      </c>
      <c r="Y59" s="32">
        <v>0.051287168</v>
      </c>
      <c r="Z59" s="32">
        <v>0.021324515</v>
      </c>
      <c r="AA59" s="32">
        <v>0.078831525</v>
      </c>
      <c r="AB59" s="32">
        <v>0.181818182</v>
      </c>
      <c r="AC59" s="32">
        <v>0.427426079</v>
      </c>
      <c r="AD59" s="23">
        <f>VLOOKUP(B:B,库存明细报表10.16!L:P,5,0)</f>
        <v>5</v>
      </c>
      <c r="AE59" s="23">
        <f>VLOOKUP(B:B,库存明细报表10.16!L:Q,6,0)</f>
        <v>2</v>
      </c>
      <c r="AF59" s="23">
        <f>VLOOKUP(B:B,库存明细报表10.16!L:T,9,0)</f>
        <v>0</v>
      </c>
      <c r="AG59" s="23">
        <f>VLOOKUP(A:A,进销存报表10.16!A:J,10,0)</f>
        <v>13</v>
      </c>
      <c r="AH59" s="23">
        <f>VLOOKUP(A:A,进销存报表10.16!A:K,11,0)</f>
        <v>0</v>
      </c>
      <c r="AI59" s="23">
        <v>176.82</v>
      </c>
      <c r="AJ59" s="23">
        <v>160.22</v>
      </c>
      <c r="AK59" s="23">
        <v>3.33</v>
      </c>
      <c r="AL59" s="26">
        <v>10</v>
      </c>
      <c r="AM59" s="32">
        <f t="shared" si="0"/>
        <v>0.0188327112317611</v>
      </c>
      <c r="AN59" s="44">
        <f t="shared" si="1"/>
        <v>0.06241418050181</v>
      </c>
      <c r="AO59" s="2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="8" customFormat="1" customHeight="1" spans="1:53">
      <c r="A60" s="13" t="s">
        <v>224</v>
      </c>
      <c r="B60" s="13" t="s">
        <v>225</v>
      </c>
      <c r="C60" s="13" t="s">
        <v>226</v>
      </c>
      <c r="D60" s="23" t="s">
        <v>43</v>
      </c>
      <c r="E60" s="23" t="s">
        <v>44</v>
      </c>
      <c r="F60" s="23" t="s">
        <v>45</v>
      </c>
      <c r="G60" s="23" t="s">
        <v>46</v>
      </c>
      <c r="H60" s="43" t="s">
        <v>56</v>
      </c>
      <c r="I60" s="23" t="s">
        <v>56</v>
      </c>
      <c r="J60" s="23">
        <v>26.99</v>
      </c>
      <c r="K60" s="23">
        <v>20.74</v>
      </c>
      <c r="L60" s="23">
        <v>27.89</v>
      </c>
      <c r="M60" s="23">
        <v>25.1</v>
      </c>
      <c r="N60" s="23">
        <v>30.68</v>
      </c>
      <c r="O60" s="23">
        <v>0</v>
      </c>
      <c r="P60" s="23">
        <v>0</v>
      </c>
      <c r="Q60" s="23">
        <v>3</v>
      </c>
      <c r="R60" s="23">
        <v>8</v>
      </c>
      <c r="S60" s="23">
        <v>11</v>
      </c>
      <c r="T60" s="23">
        <v>8</v>
      </c>
      <c r="U60" s="23">
        <v>1</v>
      </c>
      <c r="V60" s="32">
        <v>0.081571162</v>
      </c>
      <c r="W60" s="32">
        <v>0.177645504</v>
      </c>
      <c r="X60" s="32">
        <v>0.28068478</v>
      </c>
      <c r="Y60" s="32">
        <v>0</v>
      </c>
      <c r="Z60" s="32">
        <v>0.014614466</v>
      </c>
      <c r="AA60" s="32">
        <v>0.057174659</v>
      </c>
      <c r="AB60" s="32">
        <v>0.142857143</v>
      </c>
      <c r="AC60" s="32">
        <v>0</v>
      </c>
      <c r="AD60" s="23">
        <f>VLOOKUP(B:B,库存明细报表10.16!L:P,5,0)</f>
        <v>0</v>
      </c>
      <c r="AE60" s="23">
        <f>VLOOKUP(B:B,库存明细报表10.16!L:Q,6,0)</f>
        <v>0</v>
      </c>
      <c r="AF60" s="23">
        <f>VLOOKUP(B:B,库存明细报表10.16!L:T,9,0)</f>
        <v>20</v>
      </c>
      <c r="AG60" s="23">
        <f>VLOOKUP(A:A,进销存报表10.16!A:J,10,0)</f>
        <v>19</v>
      </c>
      <c r="AH60" s="23">
        <f>VLOOKUP(A:A,进销存报表10.16!A:K,11,0)</f>
        <v>13</v>
      </c>
      <c r="AI60" s="23">
        <v>52.64</v>
      </c>
      <c r="AJ60" s="23">
        <v>47.43</v>
      </c>
      <c r="AK60" s="23">
        <v>1</v>
      </c>
      <c r="AL60" s="26">
        <v>9.333333333</v>
      </c>
      <c r="AM60" s="32">
        <f t="shared" si="0"/>
        <v>0.0189969604863222</v>
      </c>
      <c r="AN60" s="44">
        <f t="shared" si="1"/>
        <v>0.196781221442125</v>
      </c>
      <c r="AO60" s="2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="8" customFormat="1" customHeight="1" spans="1:53">
      <c r="A61" s="13" t="s">
        <v>227</v>
      </c>
      <c r="B61" s="13" t="s">
        <v>228</v>
      </c>
      <c r="C61" s="13" t="s">
        <v>229</v>
      </c>
      <c r="D61" s="23" t="s">
        <v>43</v>
      </c>
      <c r="E61" s="23" t="s">
        <v>44</v>
      </c>
      <c r="F61" s="23" t="s">
        <v>45</v>
      </c>
      <c r="G61" s="23" t="s">
        <v>48</v>
      </c>
      <c r="H61" s="43" t="s">
        <v>47</v>
      </c>
      <c r="I61" s="23" t="s">
        <v>48</v>
      </c>
      <c r="J61" s="23">
        <v>28.99</v>
      </c>
      <c r="K61" s="23">
        <v>21.48</v>
      </c>
      <c r="L61" s="23">
        <v>28.14</v>
      </c>
      <c r="M61" s="23">
        <v>25.32</v>
      </c>
      <c r="N61" s="23">
        <v>30.95</v>
      </c>
      <c r="O61" s="23">
        <v>0</v>
      </c>
      <c r="P61" s="23">
        <v>2</v>
      </c>
      <c r="Q61" s="23">
        <v>2</v>
      </c>
      <c r="R61" s="23">
        <v>10</v>
      </c>
      <c r="S61" s="23">
        <v>8</v>
      </c>
      <c r="T61" s="23">
        <v>4</v>
      </c>
      <c r="U61" s="23">
        <v>4</v>
      </c>
      <c r="V61" s="32">
        <v>0.358154243</v>
      </c>
      <c r="W61" s="32">
        <v>0.270174274</v>
      </c>
      <c r="X61" s="32">
        <v>0.329041902</v>
      </c>
      <c r="Y61" s="32">
        <v>0</v>
      </c>
      <c r="Z61" s="32">
        <v>0.053588441</v>
      </c>
      <c r="AA61" s="32">
        <v>0.083846994</v>
      </c>
      <c r="AB61" s="32">
        <v>0.111111111</v>
      </c>
      <c r="AC61" s="32">
        <v>0</v>
      </c>
      <c r="AD61" s="23">
        <f>VLOOKUP(B:B,库存明细报表10.16!L:P,5,0)</f>
        <v>8</v>
      </c>
      <c r="AE61" s="23">
        <f>VLOOKUP(B:B,库存明细报表10.16!L:Q,6,0)</f>
        <v>8</v>
      </c>
      <c r="AF61" s="23">
        <f>VLOOKUP(B:B,库存明细报表10.16!L:T,9,0)</f>
        <v>1</v>
      </c>
      <c r="AG61" s="23">
        <f>VLOOKUP(A:A,进销存报表10.16!A:J,10,0)</f>
        <v>18</v>
      </c>
      <c r="AH61" s="23">
        <f>VLOOKUP(A:A,进销存报表10.16!A:K,11,0)</f>
        <v>0</v>
      </c>
      <c r="AI61" s="23">
        <v>67.58</v>
      </c>
      <c r="AJ61" s="23">
        <v>51.7</v>
      </c>
      <c r="AK61" s="23">
        <v>1.33</v>
      </c>
      <c r="AL61" s="26">
        <v>7.333333333</v>
      </c>
      <c r="AM61" s="32">
        <f t="shared" si="0"/>
        <v>0.0196803788102989</v>
      </c>
      <c r="AN61" s="44">
        <f t="shared" si="1"/>
        <v>0.141843971624758</v>
      </c>
      <c r="AO61" s="2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="8" customFormat="1" customHeight="1" spans="1:53">
      <c r="A62" s="13" t="s">
        <v>230</v>
      </c>
      <c r="B62" s="13" t="s">
        <v>231</v>
      </c>
      <c r="C62" s="13" t="s">
        <v>232</v>
      </c>
      <c r="D62" s="23" t="s">
        <v>43</v>
      </c>
      <c r="E62" s="23" t="s">
        <v>44</v>
      </c>
      <c r="F62" s="23" t="s">
        <v>45</v>
      </c>
      <c r="G62" s="23" t="s">
        <v>48</v>
      </c>
      <c r="H62" s="43" t="s">
        <v>46</v>
      </c>
      <c r="I62" s="23" t="s">
        <v>48</v>
      </c>
      <c r="J62" s="23">
        <v>22.99</v>
      </c>
      <c r="K62" s="23">
        <v>18.42</v>
      </c>
      <c r="L62" s="23">
        <v>22.83</v>
      </c>
      <c r="M62" s="23">
        <v>20.54</v>
      </c>
      <c r="N62" s="23">
        <v>25.11</v>
      </c>
      <c r="O62" s="23">
        <v>10</v>
      </c>
      <c r="P62" s="23">
        <v>6</v>
      </c>
      <c r="Q62" s="23">
        <v>21</v>
      </c>
      <c r="R62" s="23">
        <v>19</v>
      </c>
      <c r="S62" s="23">
        <v>7</v>
      </c>
      <c r="T62" s="23">
        <v>19</v>
      </c>
      <c r="U62" s="23">
        <v>8</v>
      </c>
      <c r="V62" s="32">
        <v>0.254542104</v>
      </c>
      <c r="W62" s="32">
        <v>0.057603836</v>
      </c>
      <c r="X62" s="32">
        <v>-0.03076376</v>
      </c>
      <c r="Y62" s="32">
        <v>0.156263854</v>
      </c>
      <c r="Z62" s="32">
        <v>0.071610239</v>
      </c>
      <c r="AA62" s="32">
        <v>0.071021779</v>
      </c>
      <c r="AB62" s="32">
        <v>0.048969072</v>
      </c>
      <c r="AC62" s="32">
        <v>0.085500004</v>
      </c>
      <c r="AD62" s="23">
        <f>VLOOKUP(B:B,库存明细报表10.16!L:P,5,0)</f>
        <v>26</v>
      </c>
      <c r="AE62" s="23">
        <f>VLOOKUP(B:B,库存明细报表10.16!L:Q,6,0)</f>
        <v>22</v>
      </c>
      <c r="AF62" s="23">
        <f>VLOOKUP(B:B,库存明细报表10.16!L:T,9,0)</f>
        <v>20</v>
      </c>
      <c r="AG62" s="23">
        <f>VLOOKUP(A:A,进销存报表10.16!A:J,10,0)</f>
        <v>83</v>
      </c>
      <c r="AH62" s="23">
        <f>VLOOKUP(A:A,进销存报表10.16!A:K,11,0)</f>
        <v>59</v>
      </c>
      <c r="AI62" s="23">
        <v>452.27</v>
      </c>
      <c r="AJ62" s="23">
        <v>324.08</v>
      </c>
      <c r="AK62" s="23">
        <v>9.67</v>
      </c>
      <c r="AL62" s="26">
        <v>18</v>
      </c>
      <c r="AM62" s="32">
        <f t="shared" si="0"/>
        <v>0.0213810334534681</v>
      </c>
      <c r="AN62" s="44">
        <f t="shared" si="1"/>
        <v>0.0555418415206122</v>
      </c>
      <c r="AO62" s="2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</row>
    <row r="63" s="8" customFormat="1" customHeight="1" spans="1:53">
      <c r="A63" s="13" t="s">
        <v>233</v>
      </c>
      <c r="B63" s="13" t="s">
        <v>234</v>
      </c>
      <c r="C63" s="13" t="s">
        <v>235</v>
      </c>
      <c r="D63" s="23" t="s">
        <v>43</v>
      </c>
      <c r="E63" s="23" t="s">
        <v>44</v>
      </c>
      <c r="F63" s="23" t="s">
        <v>45</v>
      </c>
      <c r="G63" s="23" t="s">
        <v>48</v>
      </c>
      <c r="H63" s="43" t="s">
        <v>47</v>
      </c>
      <c r="I63" s="23" t="s">
        <v>48</v>
      </c>
      <c r="J63" s="23">
        <v>31.99</v>
      </c>
      <c r="K63" s="23">
        <v>23.39</v>
      </c>
      <c r="L63" s="23">
        <v>25.64</v>
      </c>
      <c r="M63" s="23">
        <v>23.08</v>
      </c>
      <c r="N63" s="23">
        <v>28.2</v>
      </c>
      <c r="O63" s="23">
        <v>0</v>
      </c>
      <c r="P63" s="23">
        <v>1</v>
      </c>
      <c r="Q63" s="23">
        <v>7</v>
      </c>
      <c r="R63" s="23">
        <v>7</v>
      </c>
      <c r="S63" s="23">
        <v>9</v>
      </c>
      <c r="T63" s="23">
        <v>17</v>
      </c>
      <c r="U63" s="23">
        <v>8</v>
      </c>
      <c r="V63" s="32">
        <v>0.321158292</v>
      </c>
      <c r="W63" s="32">
        <v>0.215640949</v>
      </c>
      <c r="X63" s="32">
        <v>0.206141585</v>
      </c>
      <c r="Y63" s="32">
        <v>0</v>
      </c>
      <c r="Z63" s="32">
        <v>0.078417363</v>
      </c>
      <c r="AA63" s="32">
        <v>0.083846562</v>
      </c>
      <c r="AB63" s="32">
        <v>0.140495868</v>
      </c>
      <c r="AC63" s="32">
        <v>0.118775698</v>
      </c>
      <c r="AD63" s="23">
        <f>VLOOKUP(B:B,库存明细报表10.16!L:P,5,0)</f>
        <v>10</v>
      </c>
      <c r="AE63" s="23">
        <f>VLOOKUP(B:B,库存明细报表10.16!L:Q,6,0)</f>
        <v>9</v>
      </c>
      <c r="AF63" s="23">
        <f>VLOOKUP(B:B,库存明细报表10.16!L:T,9,0)</f>
        <v>7</v>
      </c>
      <c r="AG63" s="23">
        <f>VLOOKUP(A:A,进销存报表10.16!A:J,10,0)</f>
        <v>53</v>
      </c>
      <c r="AH63" s="23">
        <f>VLOOKUP(A:A,进销存报表10.16!A:K,11,0)</f>
        <v>28</v>
      </c>
      <c r="AI63" s="23">
        <v>110.96</v>
      </c>
      <c r="AJ63" s="23">
        <v>52.31</v>
      </c>
      <c r="AK63" s="23">
        <v>2.67</v>
      </c>
      <c r="AL63" s="26">
        <v>10.33333333</v>
      </c>
      <c r="AM63" s="32">
        <f t="shared" si="0"/>
        <v>0.0240627253064167</v>
      </c>
      <c r="AN63" s="44">
        <f t="shared" si="1"/>
        <v>0.197540304530682</v>
      </c>
      <c r="AO63" s="2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</row>
    <row r="64" s="8" customFormat="1" customHeight="1" spans="1:53">
      <c r="A64" s="13" t="s">
        <v>236</v>
      </c>
      <c r="B64" s="13" t="s">
        <v>237</v>
      </c>
      <c r="C64" s="13" t="s">
        <v>238</v>
      </c>
      <c r="D64" s="23" t="s">
        <v>43</v>
      </c>
      <c r="E64" s="23" t="s">
        <v>44</v>
      </c>
      <c r="F64" s="23" t="s">
        <v>45</v>
      </c>
      <c r="G64" s="23" t="s">
        <v>48</v>
      </c>
      <c r="H64" s="43" t="s">
        <v>48</v>
      </c>
      <c r="I64" s="23" t="s">
        <v>48</v>
      </c>
      <c r="J64" s="23">
        <v>29.99</v>
      </c>
      <c r="K64" s="23">
        <v>21.64</v>
      </c>
      <c r="L64" s="23">
        <v>20.18</v>
      </c>
      <c r="M64" s="23">
        <v>18.16</v>
      </c>
      <c r="N64" s="23">
        <v>22.2</v>
      </c>
      <c r="O64" s="23">
        <v>1</v>
      </c>
      <c r="P64" s="23">
        <v>3</v>
      </c>
      <c r="Q64" s="23">
        <v>2</v>
      </c>
      <c r="R64" s="23">
        <v>3</v>
      </c>
      <c r="S64" s="23">
        <v>0</v>
      </c>
      <c r="T64" s="23">
        <v>0</v>
      </c>
      <c r="U64" s="23">
        <v>1</v>
      </c>
      <c r="V64" s="32">
        <v>0.302726076</v>
      </c>
      <c r="W64" s="32">
        <v>0.292072407</v>
      </c>
      <c r="X64" s="32" t="s">
        <v>239</v>
      </c>
      <c r="Y64" s="32" t="s">
        <v>239</v>
      </c>
      <c r="Z64" s="32" t="s">
        <v>239</v>
      </c>
      <c r="AA64" s="32" t="s">
        <v>239</v>
      </c>
      <c r="AB64" s="32">
        <v>0</v>
      </c>
      <c r="AC64" s="32" t="s">
        <v>69</v>
      </c>
      <c r="AD64" s="23">
        <f>VLOOKUP(B:B,库存明细报表10.16!L:P,5,0)</f>
        <v>0</v>
      </c>
      <c r="AE64" s="23">
        <f>VLOOKUP(B:B,库存明细报表10.16!L:Q,6,0)</f>
        <v>0</v>
      </c>
      <c r="AF64" s="23">
        <f>VLOOKUP(B:B,库存明细报表10.16!L:T,9,0)</f>
        <v>1</v>
      </c>
      <c r="AG64" s="23">
        <f>VLOOKUP(A:A,进销存报表10.16!A:J,10,0)</f>
        <v>14</v>
      </c>
      <c r="AH64" s="23">
        <f>VLOOKUP(A:A,进销存报表10.16!A:K,11,0)</f>
        <v>10</v>
      </c>
      <c r="AI64" s="23">
        <v>80.46</v>
      </c>
      <c r="AJ64" s="23">
        <v>63.56</v>
      </c>
      <c r="AK64" s="23">
        <v>2</v>
      </c>
      <c r="AL64" s="26">
        <v>1</v>
      </c>
      <c r="AM64" s="32">
        <f t="shared" si="0"/>
        <v>0.0248570718369376</v>
      </c>
      <c r="AN64" s="44">
        <f t="shared" si="1"/>
        <v>0.0157331655129012</v>
      </c>
      <c r="AO64" s="2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</row>
    <row r="65" s="8" customFormat="1" customHeight="1" spans="1:53">
      <c r="A65" s="13" t="s">
        <v>240</v>
      </c>
      <c r="B65" s="13" t="s">
        <v>241</v>
      </c>
      <c r="C65" s="13" t="s">
        <v>242</v>
      </c>
      <c r="D65" s="23" t="s">
        <v>43</v>
      </c>
      <c r="E65" s="23" t="s">
        <v>44</v>
      </c>
      <c r="F65" s="23" t="s">
        <v>45</v>
      </c>
      <c r="G65" s="23" t="s">
        <v>46</v>
      </c>
      <c r="H65" s="43" t="s">
        <v>56</v>
      </c>
      <c r="I65" s="23" t="s">
        <v>48</v>
      </c>
      <c r="J65" s="23">
        <v>39.99</v>
      </c>
      <c r="K65" s="23">
        <v>30.14</v>
      </c>
      <c r="L65" s="23">
        <v>32.29</v>
      </c>
      <c r="M65" s="23">
        <v>29.06</v>
      </c>
      <c r="N65" s="23">
        <v>35.52</v>
      </c>
      <c r="O65" s="23">
        <v>12</v>
      </c>
      <c r="P65" s="23">
        <v>5</v>
      </c>
      <c r="Q65" s="23">
        <v>0</v>
      </c>
      <c r="R65" s="23">
        <v>24</v>
      </c>
      <c r="S65" s="23">
        <v>27</v>
      </c>
      <c r="T65" s="23">
        <v>7</v>
      </c>
      <c r="U65" s="23">
        <v>10</v>
      </c>
      <c r="V65" s="32">
        <v>0.181021127</v>
      </c>
      <c r="W65" s="32">
        <v>0.185138974</v>
      </c>
      <c r="X65" s="32">
        <v>-0.003707593</v>
      </c>
      <c r="Y65" s="32">
        <v>0.524631158</v>
      </c>
      <c r="Z65" s="32">
        <v>0.01658748</v>
      </c>
      <c r="AA65" s="32">
        <v>0.003821553</v>
      </c>
      <c r="AB65" s="32">
        <v>0.027237354</v>
      </c>
      <c r="AC65" s="32">
        <v>0.083126045</v>
      </c>
      <c r="AD65" s="23">
        <f>VLOOKUP(B:B,库存明细报表10.16!L:P,5,0)</f>
        <v>6</v>
      </c>
      <c r="AE65" s="23">
        <f>VLOOKUP(B:B,库存明细报表10.16!L:Q,6,0)</f>
        <v>0</v>
      </c>
      <c r="AF65" s="23">
        <f>VLOOKUP(B:B,库存明细报表10.16!L:T,9,0)</f>
        <v>8</v>
      </c>
      <c r="AG65" s="23">
        <f>VLOOKUP(A:A,进销存报表10.16!A:J,10,0)</f>
        <v>10</v>
      </c>
      <c r="AH65" s="23">
        <f>VLOOKUP(A:A,进销存报表10.16!A:K,11,0)</f>
        <v>6</v>
      </c>
      <c r="AI65" s="23">
        <v>225.33</v>
      </c>
      <c r="AJ65" s="23">
        <v>168.61</v>
      </c>
      <c r="AK65" s="23">
        <v>5.67</v>
      </c>
      <c r="AL65" s="26">
        <v>20.66666667</v>
      </c>
      <c r="AM65" s="32">
        <f t="shared" si="0"/>
        <v>0.0251630941286114</v>
      </c>
      <c r="AN65" s="44">
        <f t="shared" si="1"/>
        <v>0.122570824209715</v>
      </c>
      <c r="AO65" s="2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</row>
    <row r="66" s="8" customFormat="1" customHeight="1" spans="1:53">
      <c r="A66" s="13" t="s">
        <v>243</v>
      </c>
      <c r="B66" s="13" t="s">
        <v>244</v>
      </c>
      <c r="C66" s="13" t="s">
        <v>245</v>
      </c>
      <c r="D66" s="23" t="s">
        <v>43</v>
      </c>
      <c r="E66" s="23" t="s">
        <v>44</v>
      </c>
      <c r="F66" s="23" t="s">
        <v>45</v>
      </c>
      <c r="G66" s="23" t="s">
        <v>46</v>
      </c>
      <c r="H66" s="43" t="s">
        <v>46</v>
      </c>
      <c r="I66" s="23" t="s">
        <v>48</v>
      </c>
      <c r="J66" s="23">
        <v>28.99</v>
      </c>
      <c r="K66" s="23">
        <v>22.73</v>
      </c>
      <c r="L66" s="23">
        <v>24.61</v>
      </c>
      <c r="M66" s="23">
        <v>22.15</v>
      </c>
      <c r="N66" s="23">
        <v>27.07</v>
      </c>
      <c r="O66" s="23">
        <v>1</v>
      </c>
      <c r="P66" s="23">
        <v>5</v>
      </c>
      <c r="Q66" s="23">
        <v>3</v>
      </c>
      <c r="R66" s="23">
        <v>8</v>
      </c>
      <c r="S66" s="23">
        <v>2</v>
      </c>
      <c r="T66" s="23">
        <v>4</v>
      </c>
      <c r="U66" s="23">
        <v>1</v>
      </c>
      <c r="V66" s="32">
        <v>0.147117854</v>
      </c>
      <c r="W66" s="32">
        <v>0.124871125</v>
      </c>
      <c r="X66" s="32">
        <v>0.235325502</v>
      </c>
      <c r="Y66" s="32">
        <v>0</v>
      </c>
      <c r="Z66" s="32">
        <v>0.047074647</v>
      </c>
      <c r="AA66" s="32">
        <v>0.083848441</v>
      </c>
      <c r="AB66" s="32">
        <v>0.16</v>
      </c>
      <c r="AC66" s="32">
        <v>0</v>
      </c>
      <c r="AD66" s="23">
        <f>VLOOKUP(B:B,库存明细报表10.16!L:P,5,0)</f>
        <v>7</v>
      </c>
      <c r="AE66" s="23">
        <f>VLOOKUP(B:B,库存明细报表10.16!L:Q,6,0)</f>
        <v>5</v>
      </c>
      <c r="AF66" s="23">
        <f>VLOOKUP(B:B,库存明细报表10.16!L:T,9,0)</f>
        <v>3</v>
      </c>
      <c r="AG66" s="23">
        <f>VLOOKUP(A:A,进销存报表10.16!A:J,10,0)</f>
        <v>20</v>
      </c>
      <c r="AH66" s="23">
        <f>VLOOKUP(A:A,进销存报表10.16!A:K,11,0)</f>
        <v>13</v>
      </c>
      <c r="AI66" s="23">
        <v>114.08</v>
      </c>
      <c r="AJ66" s="23">
        <v>66.33</v>
      </c>
      <c r="AK66" s="23">
        <v>3.33</v>
      </c>
      <c r="AL66" s="26">
        <v>5.333333333</v>
      </c>
      <c r="AM66" s="32">
        <f t="shared" ref="AM66:AM129" si="2">AK66/AI66</f>
        <v>0.0291900420757363</v>
      </c>
      <c r="AN66" s="44">
        <f t="shared" ref="AN66:AN129" si="3">AL66/AJ66</f>
        <v>0.0804060505502789</v>
      </c>
      <c r="AO66" s="2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</row>
    <row r="67" s="8" customFormat="1" customHeight="1" spans="1:53">
      <c r="A67" s="13" t="s">
        <v>246</v>
      </c>
      <c r="B67" s="13" t="s">
        <v>247</v>
      </c>
      <c r="C67" s="13" t="s">
        <v>248</v>
      </c>
      <c r="D67" s="23" t="s">
        <v>43</v>
      </c>
      <c r="E67" s="23" t="s">
        <v>44</v>
      </c>
      <c r="F67" s="23" t="s">
        <v>45</v>
      </c>
      <c r="G67" s="23" t="s">
        <v>46</v>
      </c>
      <c r="H67" s="43" t="s">
        <v>48</v>
      </c>
      <c r="I67" s="23" t="s">
        <v>46</v>
      </c>
      <c r="J67" s="23">
        <v>55.99</v>
      </c>
      <c r="K67" s="23">
        <v>45.74</v>
      </c>
      <c r="L67" s="23">
        <v>35.84</v>
      </c>
      <c r="M67" s="23">
        <v>32.26</v>
      </c>
      <c r="N67" s="23">
        <v>39.43</v>
      </c>
      <c r="O67" s="23">
        <v>5</v>
      </c>
      <c r="P67" s="23">
        <v>2</v>
      </c>
      <c r="Q67" s="23">
        <v>10</v>
      </c>
      <c r="R67" s="23">
        <v>9</v>
      </c>
      <c r="S67" s="23">
        <v>15</v>
      </c>
      <c r="T67" s="23">
        <v>13</v>
      </c>
      <c r="U67" s="23">
        <v>0</v>
      </c>
      <c r="V67" s="32">
        <v>0.140150963</v>
      </c>
      <c r="W67" s="32">
        <v>0.214665791</v>
      </c>
      <c r="X67" s="32">
        <v>0.158927976</v>
      </c>
      <c r="Y67" s="32">
        <v>0.16366559</v>
      </c>
      <c r="Z67" s="32">
        <v>0.051210443</v>
      </c>
      <c r="AA67" s="32">
        <v>0.076561813</v>
      </c>
      <c r="AB67" s="32">
        <v>0.030444965</v>
      </c>
      <c r="AC67" s="32">
        <v>0.086807312</v>
      </c>
      <c r="AD67" s="23">
        <f>VLOOKUP(B:B,库存明细报表10.16!L:P,5,0)</f>
        <v>22</v>
      </c>
      <c r="AE67" s="23">
        <f>VLOOKUP(B:B,库存明细报表10.16!L:Q,6,0)</f>
        <v>9</v>
      </c>
      <c r="AF67" s="23">
        <f>VLOOKUP(B:B,库存明细报表10.16!L:T,9,0)</f>
        <v>21</v>
      </c>
      <c r="AG67" s="23">
        <f>VLOOKUP(A:A,进销存报表10.16!A:J,10,0)</f>
        <v>47</v>
      </c>
      <c r="AH67" s="23">
        <f>VLOOKUP(A:A,进销存报表10.16!A:K,11,0)</f>
        <v>36</v>
      </c>
      <c r="AI67" s="23">
        <v>174.08</v>
      </c>
      <c r="AJ67" s="23">
        <v>163.63</v>
      </c>
      <c r="AK67" s="23">
        <v>5.33</v>
      </c>
      <c r="AL67" s="26">
        <v>12</v>
      </c>
      <c r="AM67" s="32">
        <f t="shared" si="2"/>
        <v>0.0306181066176471</v>
      </c>
      <c r="AN67" s="44">
        <f t="shared" si="3"/>
        <v>0.0733361852960949</v>
      </c>
      <c r="AO67" s="2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</row>
    <row r="68" s="8" customFormat="1" customHeight="1" spans="1:53">
      <c r="A68" s="13" t="s">
        <v>249</v>
      </c>
      <c r="B68" s="13" t="s">
        <v>250</v>
      </c>
      <c r="C68" s="13" t="s">
        <v>251</v>
      </c>
      <c r="D68" s="23" t="s">
        <v>43</v>
      </c>
      <c r="E68" s="23" t="s">
        <v>55</v>
      </c>
      <c r="F68" s="23" t="s">
        <v>45</v>
      </c>
      <c r="G68" s="23" t="s">
        <v>48</v>
      </c>
      <c r="H68" s="43" t="s">
        <v>47</v>
      </c>
      <c r="I68" s="23" t="s">
        <v>56</v>
      </c>
      <c r="J68" s="23">
        <v>46.99</v>
      </c>
      <c r="K68" s="23">
        <v>35.67</v>
      </c>
      <c r="L68" s="23">
        <v>45.28</v>
      </c>
      <c r="M68" s="23">
        <v>40.76</v>
      </c>
      <c r="N68" s="23">
        <v>49.81</v>
      </c>
      <c r="O68" s="23">
        <v>0</v>
      </c>
      <c r="P68" s="23">
        <v>1</v>
      </c>
      <c r="Q68" s="23">
        <v>2</v>
      </c>
      <c r="R68" s="23">
        <v>9</v>
      </c>
      <c r="S68" s="23">
        <v>2</v>
      </c>
      <c r="T68" s="23">
        <v>7</v>
      </c>
      <c r="U68" s="23">
        <v>1</v>
      </c>
      <c r="V68" s="32">
        <v>0.331774706</v>
      </c>
      <c r="W68" s="32">
        <v>0.234845543</v>
      </c>
      <c r="X68" s="32">
        <v>0.176404625</v>
      </c>
      <c r="Y68" s="32">
        <v>0.139561879</v>
      </c>
      <c r="Z68" s="32">
        <v>0.013482945</v>
      </c>
      <c r="AA68" s="32">
        <v>0.059747497</v>
      </c>
      <c r="AB68" s="32">
        <v>0.08974359</v>
      </c>
      <c r="AC68" s="32">
        <v>0.076789009</v>
      </c>
      <c r="AD68" s="23" t="e">
        <f>VLOOKUP(B:B,库存明细报表10.16!L:P,5,0)</f>
        <v>#N/A</v>
      </c>
      <c r="AE68" s="23" t="e">
        <f>VLOOKUP(B:B,库存明细报表10.16!L:Q,6,0)</f>
        <v>#N/A</v>
      </c>
      <c r="AF68" s="23" t="e">
        <f>VLOOKUP(B:B,库存明细报表10.16!L:T,9,0)</f>
        <v>#N/A</v>
      </c>
      <c r="AG68" s="23">
        <f>VLOOKUP(A:A,进销存报表10.16!A:J,10,0)</f>
        <v>5</v>
      </c>
      <c r="AH68" s="23">
        <f>VLOOKUP(A:A,进销存报表10.16!A:K,11,0)</f>
        <v>24</v>
      </c>
      <c r="AI68" s="23">
        <v>30.74</v>
      </c>
      <c r="AJ68" s="23">
        <v>33.76</v>
      </c>
      <c r="AK68" s="23">
        <v>1</v>
      </c>
      <c r="AL68" s="26">
        <v>7</v>
      </c>
      <c r="AM68" s="32">
        <f t="shared" si="2"/>
        <v>0.0325309043591412</v>
      </c>
      <c r="AN68" s="44">
        <f t="shared" si="3"/>
        <v>0.207345971563981</v>
      </c>
      <c r="AO68" s="2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="8" customFormat="1" customHeight="1" spans="1:53">
      <c r="A69" s="13" t="s">
        <v>252</v>
      </c>
      <c r="B69" s="13" t="s">
        <v>253</v>
      </c>
      <c r="C69" s="13" t="s">
        <v>254</v>
      </c>
      <c r="D69" s="23" t="s">
        <v>43</v>
      </c>
      <c r="E69" s="23" t="s">
        <v>44</v>
      </c>
      <c r="F69" s="23" t="s">
        <v>45</v>
      </c>
      <c r="G69" s="23" t="s">
        <v>48</v>
      </c>
      <c r="H69" s="43" t="s">
        <v>56</v>
      </c>
      <c r="I69" s="23" t="s">
        <v>47</v>
      </c>
      <c r="J69" s="23">
        <v>31.99</v>
      </c>
      <c r="K69" s="23">
        <v>23.41</v>
      </c>
      <c r="L69" s="23">
        <v>54.96</v>
      </c>
      <c r="M69" s="23">
        <v>49.46</v>
      </c>
      <c r="N69" s="23">
        <v>60.46</v>
      </c>
      <c r="O69" s="23">
        <v>0</v>
      </c>
      <c r="P69" s="23">
        <v>1</v>
      </c>
      <c r="Q69" s="23">
        <v>0</v>
      </c>
      <c r="R69" s="23">
        <v>6</v>
      </c>
      <c r="S69" s="23">
        <v>5</v>
      </c>
      <c r="T69" s="23">
        <v>6</v>
      </c>
      <c r="U69" s="23">
        <v>2</v>
      </c>
      <c r="V69" s="32">
        <v>0.225465526</v>
      </c>
      <c r="W69" s="32">
        <v>0.103758582</v>
      </c>
      <c r="X69" s="32">
        <v>0.275471498</v>
      </c>
      <c r="Y69" s="32">
        <v>0.134774523</v>
      </c>
      <c r="Z69" s="32">
        <v>0.042677824</v>
      </c>
      <c r="AA69" s="32">
        <v>0.045244127</v>
      </c>
      <c r="AB69" s="32">
        <v>0.181818182</v>
      </c>
      <c r="AC69" s="32">
        <v>0.249282782</v>
      </c>
      <c r="AD69" s="23">
        <f>VLOOKUP(B:B,库存明细报表10.16!L:P,5,0)</f>
        <v>2</v>
      </c>
      <c r="AE69" s="23">
        <f>VLOOKUP(B:B,库存明细报表10.16!L:Q,6,0)</f>
        <v>2</v>
      </c>
      <c r="AF69" s="23">
        <f>VLOOKUP(B:B,库存明细报表10.16!L:T,9,0)</f>
        <v>2</v>
      </c>
      <c r="AG69" s="23">
        <f>VLOOKUP(A:A,进销存报表10.16!A:J,10,0)</f>
        <v>5</v>
      </c>
      <c r="AH69" s="23">
        <f>VLOOKUP(A:A,进销存报表10.16!A:K,11,0)</f>
        <v>16</v>
      </c>
      <c r="AI69" s="23">
        <v>9.34</v>
      </c>
      <c r="AJ69" s="23">
        <v>12.92</v>
      </c>
      <c r="AK69" s="23">
        <v>0.33</v>
      </c>
      <c r="AL69" s="26">
        <v>6.333333333</v>
      </c>
      <c r="AM69" s="32">
        <f t="shared" si="2"/>
        <v>0.0353319057815846</v>
      </c>
      <c r="AN69" s="44">
        <f t="shared" si="3"/>
        <v>0.490196078405573</v>
      </c>
      <c r="AO69" s="2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="8" customFormat="1" customHeight="1" spans="1:53">
      <c r="A70" s="13" t="s">
        <v>255</v>
      </c>
      <c r="B70" s="13" t="s">
        <v>256</v>
      </c>
      <c r="C70" s="13" t="s">
        <v>257</v>
      </c>
      <c r="D70" s="23" t="s">
        <v>43</v>
      </c>
      <c r="E70" s="23" t="s">
        <v>44</v>
      </c>
      <c r="F70" s="23" t="s">
        <v>45</v>
      </c>
      <c r="G70" s="23" t="s">
        <v>46</v>
      </c>
      <c r="H70" s="43" t="s">
        <v>56</v>
      </c>
      <c r="I70" s="23" t="s">
        <v>46</v>
      </c>
      <c r="J70" s="23">
        <v>29.99</v>
      </c>
      <c r="K70" s="23">
        <v>21.51</v>
      </c>
      <c r="L70" s="23">
        <v>25.64</v>
      </c>
      <c r="M70" s="23">
        <v>23.07</v>
      </c>
      <c r="N70" s="23">
        <v>28.2</v>
      </c>
      <c r="O70" s="23">
        <v>0</v>
      </c>
      <c r="P70" s="23">
        <v>0</v>
      </c>
      <c r="Q70" s="23">
        <v>2</v>
      </c>
      <c r="R70" s="23">
        <v>5</v>
      </c>
      <c r="S70" s="23">
        <v>5</v>
      </c>
      <c r="T70" s="23">
        <v>3</v>
      </c>
      <c r="U70" s="23">
        <v>0</v>
      </c>
      <c r="V70" s="32">
        <v>-0.92640615</v>
      </c>
      <c r="W70" s="32">
        <v>0.148560182</v>
      </c>
      <c r="X70" s="32">
        <v>0.246535503</v>
      </c>
      <c r="Y70" s="32">
        <v>0</v>
      </c>
      <c r="Z70" s="32">
        <v>0.034023503</v>
      </c>
      <c r="AA70" s="32">
        <v>0.07903137</v>
      </c>
      <c r="AB70" s="32">
        <v>0.333333333</v>
      </c>
      <c r="AC70" s="32">
        <v>0.332488701</v>
      </c>
      <c r="AD70" s="23">
        <f>VLOOKUP(B:B,库存明细报表10.16!L:P,5,0)</f>
        <v>2</v>
      </c>
      <c r="AE70" s="23">
        <f>VLOOKUP(B:B,库存明细报表10.16!L:Q,6,0)</f>
        <v>2</v>
      </c>
      <c r="AF70" s="23">
        <f>VLOOKUP(B:B,库存明细报表10.16!L:T,9,0)</f>
        <v>0</v>
      </c>
      <c r="AG70" s="23">
        <f>VLOOKUP(A:A,进销存报表10.16!A:J,10,0)</f>
        <v>7</v>
      </c>
      <c r="AH70" s="23">
        <f>VLOOKUP(A:A,进销存报表10.16!A:K,11,0)</f>
        <v>10</v>
      </c>
      <c r="AI70" s="23">
        <v>18</v>
      </c>
      <c r="AJ70" s="23">
        <v>18.92</v>
      </c>
      <c r="AK70" s="23">
        <v>0.67</v>
      </c>
      <c r="AL70" s="26">
        <v>6</v>
      </c>
      <c r="AM70" s="32">
        <f t="shared" si="2"/>
        <v>0.0372222222222222</v>
      </c>
      <c r="AN70" s="44">
        <f t="shared" si="3"/>
        <v>0.317124735729387</v>
      </c>
      <c r="AO70" s="2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="8" customFormat="1" customHeight="1" spans="1:53">
      <c r="A71" s="13" t="s">
        <v>258</v>
      </c>
      <c r="B71" s="13" t="s">
        <v>259</v>
      </c>
      <c r="C71" s="13" t="s">
        <v>260</v>
      </c>
      <c r="D71" s="23" t="s">
        <v>43</v>
      </c>
      <c r="E71" s="23" t="s">
        <v>44</v>
      </c>
      <c r="F71" s="23" t="s">
        <v>45</v>
      </c>
      <c r="G71" s="23" t="s">
        <v>46</v>
      </c>
      <c r="H71" s="43" t="s">
        <v>56</v>
      </c>
      <c r="I71" s="23" t="s">
        <v>47</v>
      </c>
      <c r="J71" s="23">
        <v>31.99</v>
      </c>
      <c r="K71" s="23">
        <v>23.99</v>
      </c>
      <c r="L71" s="23"/>
      <c r="M71" s="23"/>
      <c r="N71" s="23"/>
      <c r="O71" s="23">
        <v>2</v>
      </c>
      <c r="P71" s="23">
        <v>2</v>
      </c>
      <c r="Q71" s="23">
        <v>1</v>
      </c>
      <c r="R71" s="23">
        <v>6</v>
      </c>
      <c r="S71" s="23">
        <v>13</v>
      </c>
      <c r="T71" s="23">
        <v>9</v>
      </c>
      <c r="U71" s="23">
        <v>1</v>
      </c>
      <c r="V71" s="32">
        <v>0.151947892</v>
      </c>
      <c r="W71" s="32">
        <v>0.195446074</v>
      </c>
      <c r="X71" s="32">
        <v>0.196973149</v>
      </c>
      <c r="Y71" s="32">
        <v>0.09920918</v>
      </c>
      <c r="Z71" s="32">
        <v>0.027725229</v>
      </c>
      <c r="AA71" s="32">
        <v>0.067335264</v>
      </c>
      <c r="AB71" s="32">
        <v>0.204545455</v>
      </c>
      <c r="AC71" s="32">
        <v>0.186976128</v>
      </c>
      <c r="AD71" s="23">
        <f>VLOOKUP(B:B,库存明细报表10.16!L:P,5,0)</f>
        <v>2</v>
      </c>
      <c r="AE71" s="23">
        <f>VLOOKUP(B:B,库存明细报表10.16!L:Q,6,0)</f>
        <v>1</v>
      </c>
      <c r="AF71" s="23">
        <f>VLOOKUP(B:B,库存明细报表10.16!L:T,9,0)</f>
        <v>21</v>
      </c>
      <c r="AG71" s="23">
        <f>VLOOKUP(A:A,进销存报表10.16!A:J,10,0)</f>
        <v>5</v>
      </c>
      <c r="AH71" s="23">
        <f>VLOOKUP(A:A,进销存报表10.16!A:K,11,0)</f>
        <v>23</v>
      </c>
      <c r="AI71" s="23">
        <v>40.95</v>
      </c>
      <c r="AJ71" s="23">
        <v>17.54</v>
      </c>
      <c r="AK71" s="23">
        <v>1.67</v>
      </c>
      <c r="AL71" s="26">
        <v>10</v>
      </c>
      <c r="AM71" s="32">
        <f t="shared" si="2"/>
        <v>0.0407814407814408</v>
      </c>
      <c r="AN71" s="44">
        <f t="shared" si="3"/>
        <v>0.570125427594071</v>
      </c>
      <c r="AO71" s="2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="8" customFormat="1" customHeight="1" spans="1:53">
      <c r="A72" s="13" t="s">
        <v>261</v>
      </c>
      <c r="B72" s="13" t="s">
        <v>262</v>
      </c>
      <c r="C72" s="13" t="s">
        <v>263</v>
      </c>
      <c r="D72" s="23" t="s">
        <v>211</v>
      </c>
      <c r="E72" s="23" t="s">
        <v>44</v>
      </c>
      <c r="F72" s="23" t="s">
        <v>45</v>
      </c>
      <c r="G72" s="23" t="s">
        <v>48</v>
      </c>
      <c r="H72" s="43" t="s">
        <v>48</v>
      </c>
      <c r="I72" s="23" t="s">
        <v>47</v>
      </c>
      <c r="J72" s="23">
        <v>36.99</v>
      </c>
      <c r="K72" s="23">
        <v>16.23</v>
      </c>
      <c r="L72" s="23"/>
      <c r="M72" s="23"/>
      <c r="N72" s="23"/>
      <c r="O72" s="23">
        <v>1</v>
      </c>
      <c r="P72" s="23">
        <v>1</v>
      </c>
      <c r="Q72" s="23">
        <v>0</v>
      </c>
      <c r="R72" s="23">
        <v>1</v>
      </c>
      <c r="S72" s="23">
        <v>0</v>
      </c>
      <c r="T72" s="23">
        <v>0</v>
      </c>
      <c r="U72" s="23">
        <v>0</v>
      </c>
      <c r="V72" s="32">
        <v>0.381663583</v>
      </c>
      <c r="W72" s="32">
        <v>0.418704249</v>
      </c>
      <c r="X72" s="32" t="s">
        <v>239</v>
      </c>
      <c r="Y72" s="32" t="s">
        <v>239</v>
      </c>
      <c r="Z72" s="32" t="s">
        <v>239</v>
      </c>
      <c r="AA72" s="32" t="s">
        <v>239</v>
      </c>
      <c r="AB72" s="32">
        <v>0</v>
      </c>
      <c r="AC72" s="32" t="s">
        <v>69</v>
      </c>
      <c r="AD72" s="23" t="e">
        <f>VLOOKUP(B:B,库存明细报表10.16!L:P,5,0)</f>
        <v>#N/A</v>
      </c>
      <c r="AE72" s="23" t="e">
        <f>VLOOKUP(B:B,库存明细报表10.16!L:Q,6,0)</f>
        <v>#N/A</v>
      </c>
      <c r="AF72" s="23" t="e">
        <f>VLOOKUP(B:B,库存明细报表10.16!L:T,9,0)</f>
        <v>#N/A</v>
      </c>
      <c r="AG72" s="23">
        <f>VLOOKUP(A:A,进销存报表10.16!A:J,10,0)</f>
        <v>11</v>
      </c>
      <c r="AH72" s="23">
        <f>VLOOKUP(A:A,进销存报表10.16!A:K,11,0)</f>
        <v>2</v>
      </c>
      <c r="AI72" s="23">
        <v>16.39</v>
      </c>
      <c r="AJ72" s="23">
        <v>7.84</v>
      </c>
      <c r="AK72" s="23">
        <v>0.67</v>
      </c>
      <c r="AL72" s="26">
        <v>0.333333333</v>
      </c>
      <c r="AM72" s="32">
        <f t="shared" si="2"/>
        <v>0.0408785845027456</v>
      </c>
      <c r="AN72" s="44">
        <f t="shared" si="3"/>
        <v>0.0425170067602041</v>
      </c>
      <c r="AO72" s="2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="8" customFormat="1" customHeight="1" spans="1:53">
      <c r="A73" s="13" t="s">
        <v>264</v>
      </c>
      <c r="B73" s="13" t="s">
        <v>265</v>
      </c>
      <c r="C73" s="13" t="s">
        <v>266</v>
      </c>
      <c r="D73" s="23" t="s">
        <v>43</v>
      </c>
      <c r="E73" s="23" t="s">
        <v>44</v>
      </c>
      <c r="F73" s="23" t="s">
        <v>45</v>
      </c>
      <c r="G73" s="23" t="s">
        <v>46</v>
      </c>
      <c r="H73" s="43" t="s">
        <v>47</v>
      </c>
      <c r="I73" s="23" t="s">
        <v>47</v>
      </c>
      <c r="J73" s="23">
        <v>44.99</v>
      </c>
      <c r="K73" s="23">
        <v>30.36</v>
      </c>
      <c r="L73" s="23">
        <v>46.72</v>
      </c>
      <c r="M73" s="23">
        <v>42.05</v>
      </c>
      <c r="N73" s="23">
        <v>51.39</v>
      </c>
      <c r="O73" s="23">
        <v>0</v>
      </c>
      <c r="P73" s="23">
        <v>5</v>
      </c>
      <c r="Q73" s="23">
        <v>6</v>
      </c>
      <c r="R73" s="23">
        <v>4</v>
      </c>
      <c r="S73" s="23">
        <v>6</v>
      </c>
      <c r="T73" s="23">
        <v>5</v>
      </c>
      <c r="U73" s="23">
        <v>4</v>
      </c>
      <c r="V73" s="32">
        <v>0.175161275</v>
      </c>
      <c r="W73" s="32">
        <v>0.248149053</v>
      </c>
      <c r="X73" s="32">
        <v>0.326429621</v>
      </c>
      <c r="Y73" s="32">
        <v>0</v>
      </c>
      <c r="Z73" s="32">
        <v>0.008084037</v>
      </c>
      <c r="AA73" s="32">
        <v>0.003821565</v>
      </c>
      <c r="AB73" s="32">
        <v>0.102040816</v>
      </c>
      <c r="AC73" s="32">
        <v>0</v>
      </c>
      <c r="AD73" s="23">
        <f>VLOOKUP(B:B,库存明细报表10.16!L:P,5,0)</f>
        <v>2</v>
      </c>
      <c r="AE73" s="23">
        <f>VLOOKUP(B:B,库存明细报表10.16!L:Q,6,0)</f>
        <v>1</v>
      </c>
      <c r="AF73" s="23">
        <f>VLOOKUP(B:B,库存明细报表10.16!L:T,9,0)</f>
        <v>0</v>
      </c>
      <c r="AG73" s="23">
        <f>VLOOKUP(A:A,进销存报表10.16!A:J,10,0)</f>
        <v>7</v>
      </c>
      <c r="AH73" s="23">
        <f>VLOOKUP(A:A,进销存报表10.16!A:K,11,0)</f>
        <v>28</v>
      </c>
      <c r="AI73" s="23">
        <v>67.91</v>
      </c>
      <c r="AJ73" s="23">
        <v>52.74</v>
      </c>
      <c r="AK73" s="23">
        <v>3.33</v>
      </c>
      <c r="AL73" s="26">
        <v>5.333333333</v>
      </c>
      <c r="AM73" s="32">
        <f t="shared" si="2"/>
        <v>0.0490354881460757</v>
      </c>
      <c r="AN73" s="44">
        <f t="shared" si="3"/>
        <v>0.101125015794463</v>
      </c>
      <c r="AO73" s="2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="8" customFormat="1" customHeight="1" spans="1:53">
      <c r="A74" s="13" t="s">
        <v>267</v>
      </c>
      <c r="B74" s="13" t="s">
        <v>268</v>
      </c>
      <c r="C74" s="13" t="s">
        <v>269</v>
      </c>
      <c r="D74" s="23" t="s">
        <v>43</v>
      </c>
      <c r="E74" s="23" t="s">
        <v>44</v>
      </c>
      <c r="F74" s="23" t="s">
        <v>45</v>
      </c>
      <c r="G74" s="23" t="s">
        <v>46</v>
      </c>
      <c r="H74" s="43" t="s">
        <v>56</v>
      </c>
      <c r="I74" s="23" t="s">
        <v>47</v>
      </c>
      <c r="J74" s="23">
        <v>35.99</v>
      </c>
      <c r="K74" s="23">
        <v>32.62</v>
      </c>
      <c r="L74" s="23">
        <v>30.62</v>
      </c>
      <c r="M74" s="23">
        <v>27.55</v>
      </c>
      <c r="N74" s="23">
        <v>33.68</v>
      </c>
      <c r="O74" s="23">
        <v>0</v>
      </c>
      <c r="P74" s="23">
        <v>1</v>
      </c>
      <c r="Q74" s="23">
        <v>1</v>
      </c>
      <c r="R74" s="23">
        <v>5</v>
      </c>
      <c r="S74" s="23">
        <v>1</v>
      </c>
      <c r="T74" s="23">
        <v>0</v>
      </c>
      <c r="U74" s="23">
        <v>0</v>
      </c>
      <c r="V74" s="32">
        <v>0.195247529</v>
      </c>
      <c r="W74" s="32">
        <v>0.169136607</v>
      </c>
      <c r="X74" s="32">
        <v>0</v>
      </c>
      <c r="Y74" s="32">
        <v>0</v>
      </c>
      <c r="Z74" s="32" t="s">
        <v>69</v>
      </c>
      <c r="AA74" s="32" t="s">
        <v>69</v>
      </c>
      <c r="AB74" s="32">
        <v>0</v>
      </c>
      <c r="AC74" s="32">
        <v>0</v>
      </c>
      <c r="AD74" s="23">
        <f>VLOOKUP(B:B,库存明细报表10.16!L:P,5,0)</f>
        <v>19</v>
      </c>
      <c r="AE74" s="23">
        <f>VLOOKUP(B:B,库存明细报表10.16!L:Q,6,0)</f>
        <v>19</v>
      </c>
      <c r="AF74" s="23">
        <f>VLOOKUP(B:B,库存明细报表10.16!L:T,9,0)</f>
        <v>0</v>
      </c>
      <c r="AG74" s="23">
        <f>VLOOKUP(A:A,进销存报表10.16!A:J,10,0)</f>
        <v>17</v>
      </c>
      <c r="AH74" s="23">
        <f>VLOOKUP(A:A,进销存报表10.16!A:K,11,0)</f>
        <v>1</v>
      </c>
      <c r="AI74" s="23">
        <v>5.73</v>
      </c>
      <c r="AJ74" s="23">
        <v>6.25</v>
      </c>
      <c r="AK74" s="23">
        <v>0.33</v>
      </c>
      <c r="AL74" s="26">
        <v>2.333333333</v>
      </c>
      <c r="AM74" s="32">
        <f t="shared" si="2"/>
        <v>0.0575916230366492</v>
      </c>
      <c r="AN74" s="44">
        <f t="shared" si="3"/>
        <v>0.37333333328</v>
      </c>
      <c r="AO74" s="2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="8" customFormat="1" customHeight="1" spans="1:53">
      <c r="A75" s="13" t="s">
        <v>270</v>
      </c>
      <c r="B75" s="13" t="s">
        <v>271</v>
      </c>
      <c r="C75" s="13" t="s">
        <v>272</v>
      </c>
      <c r="D75" s="23" t="s">
        <v>43</v>
      </c>
      <c r="E75" s="23" t="s">
        <v>44</v>
      </c>
      <c r="F75" s="23" t="s">
        <v>45</v>
      </c>
      <c r="G75" s="23" t="s">
        <v>46</v>
      </c>
      <c r="H75" s="43" t="s">
        <v>47</v>
      </c>
      <c r="I75" s="23" t="s">
        <v>47</v>
      </c>
      <c r="J75" s="23">
        <v>38.99</v>
      </c>
      <c r="K75" s="23">
        <v>32.06</v>
      </c>
      <c r="L75" s="23">
        <v>43.77</v>
      </c>
      <c r="M75" s="23">
        <v>39.4</v>
      </c>
      <c r="N75" s="23">
        <v>48.15</v>
      </c>
      <c r="O75" s="23">
        <v>1</v>
      </c>
      <c r="P75" s="23">
        <v>7</v>
      </c>
      <c r="Q75" s="23">
        <v>8</v>
      </c>
      <c r="R75" s="23">
        <v>9</v>
      </c>
      <c r="S75" s="23">
        <v>16</v>
      </c>
      <c r="T75" s="23">
        <v>5</v>
      </c>
      <c r="U75" s="23">
        <v>5</v>
      </c>
      <c r="V75" s="32">
        <v>0.130726544</v>
      </c>
      <c r="W75" s="32">
        <v>0.214557468</v>
      </c>
      <c r="X75" s="32">
        <v>0.130639593</v>
      </c>
      <c r="Y75" s="32">
        <v>0</v>
      </c>
      <c r="Z75" s="32">
        <v>0.040616317</v>
      </c>
      <c r="AA75" s="32">
        <v>0.083841754</v>
      </c>
      <c r="AB75" s="32">
        <v>0.166666667</v>
      </c>
      <c r="AC75" s="32">
        <v>0.213670739</v>
      </c>
      <c r="AD75" s="23">
        <f>VLOOKUP(B:B,库存明细报表10.16!L:P,5,0)</f>
        <v>24</v>
      </c>
      <c r="AE75" s="23">
        <f>VLOOKUP(B:B,库存明细报表10.16!L:Q,6,0)</f>
        <v>23</v>
      </c>
      <c r="AF75" s="23">
        <f>VLOOKUP(B:B,库存明细报表10.16!L:T,9,0)</f>
        <v>0</v>
      </c>
      <c r="AG75" s="23">
        <f>VLOOKUP(A:A,进销存报表10.16!A:J,10,0)</f>
        <v>22</v>
      </c>
      <c r="AH75" s="23">
        <f>VLOOKUP(A:A,进销存报表10.16!A:K,11,0)</f>
        <v>48</v>
      </c>
      <c r="AI75" s="23">
        <v>91.42</v>
      </c>
      <c r="AJ75" s="23">
        <v>86.02</v>
      </c>
      <c r="AK75" s="23">
        <v>6</v>
      </c>
      <c r="AL75" s="26">
        <v>10</v>
      </c>
      <c r="AM75" s="32">
        <f t="shared" si="2"/>
        <v>0.0656311529205863</v>
      </c>
      <c r="AN75" s="44">
        <f t="shared" si="3"/>
        <v>0.116252034410602</v>
      </c>
      <c r="AO75" s="2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</row>
    <row r="76" s="8" customFormat="1" customHeight="1" spans="1:53">
      <c r="A76" s="13" t="s">
        <v>273</v>
      </c>
      <c r="B76" s="13" t="s">
        <v>274</v>
      </c>
      <c r="C76" s="13" t="s">
        <v>275</v>
      </c>
      <c r="D76" s="23" t="s">
        <v>43</v>
      </c>
      <c r="E76" s="23" t="s">
        <v>44</v>
      </c>
      <c r="F76" s="23" t="s">
        <v>45</v>
      </c>
      <c r="G76" s="23" t="s">
        <v>48</v>
      </c>
      <c r="H76" s="43" t="s">
        <v>47</v>
      </c>
      <c r="I76" s="23" t="s">
        <v>47</v>
      </c>
      <c r="J76" s="23">
        <v>51.99</v>
      </c>
      <c r="K76" s="23">
        <v>43.65</v>
      </c>
      <c r="L76" s="23">
        <v>51.08</v>
      </c>
      <c r="M76" s="23">
        <v>45.97</v>
      </c>
      <c r="N76" s="23">
        <v>56.19</v>
      </c>
      <c r="O76" s="23">
        <v>0</v>
      </c>
      <c r="P76" s="23">
        <v>3</v>
      </c>
      <c r="Q76" s="23">
        <v>12</v>
      </c>
      <c r="R76" s="23">
        <v>15</v>
      </c>
      <c r="S76" s="23">
        <v>3</v>
      </c>
      <c r="T76" s="23">
        <v>10</v>
      </c>
      <c r="U76" s="23">
        <v>4</v>
      </c>
      <c r="V76" s="32">
        <v>0.242547167</v>
      </c>
      <c r="W76" s="32">
        <v>0.206994823</v>
      </c>
      <c r="X76" s="32">
        <v>0.392438541</v>
      </c>
      <c r="Y76" s="32">
        <v>0.107318435</v>
      </c>
      <c r="Z76" s="32">
        <v>0.021167429</v>
      </c>
      <c r="AA76" s="32">
        <v>0.040896758</v>
      </c>
      <c r="AB76" s="32">
        <v>0.144927536</v>
      </c>
      <c r="AC76" s="32">
        <v>0.117414385</v>
      </c>
      <c r="AD76" s="23">
        <f>VLOOKUP(B:B,库存明细报表10.16!L:P,5,0)</f>
        <v>46</v>
      </c>
      <c r="AE76" s="23">
        <f>VLOOKUP(B:B,库存明细报表10.16!L:Q,6,0)</f>
        <v>38</v>
      </c>
      <c r="AF76" s="23">
        <f>VLOOKUP(B:B,库存明细报表10.16!L:T,9,0)</f>
        <v>4</v>
      </c>
      <c r="AG76" s="23">
        <f>VLOOKUP(A:A,进销存报表10.16!A:J,10,0)</f>
        <v>44</v>
      </c>
      <c r="AH76" s="23">
        <f>VLOOKUP(A:A,进销存报表10.16!A:K,11,0)</f>
        <v>24</v>
      </c>
      <c r="AI76" s="23">
        <v>68.51</v>
      </c>
      <c r="AJ76" s="23">
        <v>42.92</v>
      </c>
      <c r="AK76" s="23">
        <v>5.33</v>
      </c>
      <c r="AL76" s="26">
        <v>9</v>
      </c>
      <c r="AM76" s="32">
        <f t="shared" si="2"/>
        <v>0.0777988614800759</v>
      </c>
      <c r="AN76" s="44">
        <f t="shared" si="3"/>
        <v>0.209692451071761</v>
      </c>
      <c r="AO76" s="2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</row>
    <row r="77" s="8" customFormat="1" customHeight="1" spans="1:53">
      <c r="A77" s="13" t="s">
        <v>276</v>
      </c>
      <c r="B77" s="13" t="s">
        <v>277</v>
      </c>
      <c r="C77" s="13" t="s">
        <v>278</v>
      </c>
      <c r="D77" s="23" t="s">
        <v>43</v>
      </c>
      <c r="E77" s="23" t="s">
        <v>44</v>
      </c>
      <c r="F77" s="23" t="s">
        <v>45</v>
      </c>
      <c r="G77" s="23" t="s">
        <v>46</v>
      </c>
      <c r="H77" s="43" t="s">
        <v>47</v>
      </c>
      <c r="I77" s="23" t="s">
        <v>56</v>
      </c>
      <c r="J77" s="23">
        <v>28.99</v>
      </c>
      <c r="K77" s="23">
        <v>20.43</v>
      </c>
      <c r="L77" s="23">
        <v>41.28</v>
      </c>
      <c r="M77" s="23">
        <v>37.15</v>
      </c>
      <c r="N77" s="23">
        <v>45.41</v>
      </c>
      <c r="O77" s="23">
        <v>5</v>
      </c>
      <c r="P77" s="23">
        <v>13</v>
      </c>
      <c r="Q77" s="23">
        <v>3</v>
      </c>
      <c r="R77" s="23">
        <v>14</v>
      </c>
      <c r="S77" s="23">
        <v>11</v>
      </c>
      <c r="T77" s="23">
        <v>14</v>
      </c>
      <c r="U77" s="23">
        <v>3</v>
      </c>
      <c r="V77" s="32">
        <v>0.024451522</v>
      </c>
      <c r="W77" s="32">
        <v>0.204771276</v>
      </c>
      <c r="X77" s="32">
        <v>0.089931218</v>
      </c>
      <c r="Y77" s="32">
        <v>0.282200457</v>
      </c>
      <c r="Z77" s="32">
        <v>0.026879741</v>
      </c>
      <c r="AA77" s="32">
        <v>0.032296899</v>
      </c>
      <c r="AB77" s="32">
        <v>0.068627451</v>
      </c>
      <c r="AC77" s="32">
        <v>0.094989778</v>
      </c>
      <c r="AD77" s="23">
        <f>VLOOKUP(B:B,库存明细报表10.16!L:P,5,0)</f>
        <v>21</v>
      </c>
      <c r="AE77" s="23">
        <f>VLOOKUP(B:B,库存明细报表10.16!L:Q,6,0)</f>
        <v>18</v>
      </c>
      <c r="AF77" s="23">
        <f>VLOOKUP(B:B,库存明细报表10.16!L:T,9,0)</f>
        <v>0</v>
      </c>
      <c r="AG77" s="23">
        <f>VLOOKUP(A:A,进销存报表10.16!A:J,10,0)</f>
        <v>39</v>
      </c>
      <c r="AH77" s="23">
        <f>VLOOKUP(A:A,进销存报表10.16!A:K,11,0)</f>
        <v>31</v>
      </c>
      <c r="AI77" s="23">
        <v>81.06</v>
      </c>
      <c r="AJ77" s="23">
        <v>74.65</v>
      </c>
      <c r="AK77" s="23">
        <v>7.33</v>
      </c>
      <c r="AL77" s="26">
        <v>14</v>
      </c>
      <c r="AM77" s="32">
        <f t="shared" si="2"/>
        <v>0.0904268443128547</v>
      </c>
      <c r="AN77" s="44">
        <f t="shared" si="3"/>
        <v>0.187541862022773</v>
      </c>
      <c r="AO77" s="2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="8" customFormat="1" customHeight="1" spans="1:53">
      <c r="A78" s="13" t="s">
        <v>279</v>
      </c>
      <c r="B78" s="13" t="s">
        <v>280</v>
      </c>
      <c r="C78" s="13" t="s">
        <v>281</v>
      </c>
      <c r="D78" s="23" t="s">
        <v>43</v>
      </c>
      <c r="E78" s="23" t="s">
        <v>44</v>
      </c>
      <c r="F78" s="23" t="s">
        <v>45</v>
      </c>
      <c r="G78" s="23" t="s">
        <v>47</v>
      </c>
      <c r="H78" s="43" t="s">
        <v>56</v>
      </c>
      <c r="I78" s="23" t="s">
        <v>47</v>
      </c>
      <c r="J78" s="23">
        <v>25.99</v>
      </c>
      <c r="K78" s="23">
        <v>19.48</v>
      </c>
      <c r="L78" s="23">
        <v>28.73</v>
      </c>
      <c r="M78" s="23">
        <v>25.85</v>
      </c>
      <c r="N78" s="23">
        <v>31.6</v>
      </c>
      <c r="O78" s="23">
        <v>3</v>
      </c>
      <c r="P78" s="23">
        <v>10</v>
      </c>
      <c r="Q78" s="23">
        <v>2</v>
      </c>
      <c r="R78" s="23">
        <v>0</v>
      </c>
      <c r="S78" s="23">
        <v>4</v>
      </c>
      <c r="T78" s="23">
        <v>3</v>
      </c>
      <c r="U78" s="23">
        <v>0</v>
      </c>
      <c r="V78" s="32">
        <v>0.271619689</v>
      </c>
      <c r="W78" s="32">
        <v>0.031096479</v>
      </c>
      <c r="X78" s="32">
        <v>-0.266315413</v>
      </c>
      <c r="Y78" s="32">
        <v>0.864483627</v>
      </c>
      <c r="Z78" s="32">
        <v>0.029974811</v>
      </c>
      <c r="AA78" s="32">
        <v>0.023468934</v>
      </c>
      <c r="AB78" s="32">
        <v>0.027522936</v>
      </c>
      <c r="AC78" s="32">
        <v>0</v>
      </c>
      <c r="AD78" s="23">
        <f>VLOOKUP(B:B,库存明细报表10.16!L:P,5,0)</f>
        <v>14</v>
      </c>
      <c r="AE78" s="23">
        <f>VLOOKUP(B:B,库存明细报表10.16!L:Q,6,0)</f>
        <v>14</v>
      </c>
      <c r="AF78" s="23">
        <f>VLOOKUP(B:B,库存明细报表10.16!L:T,9,0)</f>
        <v>0</v>
      </c>
      <c r="AG78" s="23">
        <f>VLOOKUP(A:A,进销存报表10.16!A:J,10,0)</f>
        <v>7</v>
      </c>
      <c r="AH78" s="23">
        <f>VLOOKUP(A:A,进销存报表10.16!A:K,11,0)</f>
        <v>9</v>
      </c>
      <c r="AI78" s="23">
        <v>34.14</v>
      </c>
      <c r="AJ78" s="23">
        <v>21.88</v>
      </c>
      <c r="AK78" s="23">
        <v>5.33</v>
      </c>
      <c r="AL78" s="26">
        <v>2.666666667</v>
      </c>
      <c r="AM78" s="32">
        <f t="shared" si="2"/>
        <v>0.156121851200937</v>
      </c>
      <c r="AN78" s="44">
        <f t="shared" si="3"/>
        <v>0.121876904341865</v>
      </c>
      <c r="AO78" s="2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</row>
    <row r="79" s="8" customFormat="1" customHeight="1" spans="1:53">
      <c r="A79" s="13" t="s">
        <v>282</v>
      </c>
      <c r="B79" s="13" t="s">
        <v>283</v>
      </c>
      <c r="C79" s="13" t="s">
        <v>284</v>
      </c>
      <c r="D79" s="23" t="s">
        <v>43</v>
      </c>
      <c r="E79" s="23" t="s">
        <v>55</v>
      </c>
      <c r="F79" s="23" t="s">
        <v>45</v>
      </c>
      <c r="G79" s="23" t="s">
        <v>47</v>
      </c>
      <c r="H79" s="43" t="s">
        <v>47</v>
      </c>
      <c r="I79" s="23" t="s">
        <v>47</v>
      </c>
      <c r="J79" s="23">
        <v>59.99</v>
      </c>
      <c r="K79" s="23">
        <v>42.4</v>
      </c>
      <c r="L79" s="23"/>
      <c r="M79" s="23"/>
      <c r="N79" s="23"/>
      <c r="O79" s="23">
        <v>3</v>
      </c>
      <c r="P79" s="23">
        <v>4</v>
      </c>
      <c r="Q79" s="23">
        <v>2</v>
      </c>
      <c r="R79" s="23">
        <v>4</v>
      </c>
      <c r="S79" s="23">
        <v>6</v>
      </c>
      <c r="T79" s="23">
        <v>8</v>
      </c>
      <c r="U79" s="23">
        <v>2</v>
      </c>
      <c r="V79" s="32">
        <v>0.320570459</v>
      </c>
      <c r="W79" s="32">
        <v>0.272407909</v>
      </c>
      <c r="X79" s="32">
        <v>0.284338224</v>
      </c>
      <c r="Y79" s="32">
        <v>0.123111968</v>
      </c>
      <c r="Z79" s="32">
        <v>0.023682482</v>
      </c>
      <c r="AA79" s="32">
        <v>0.050611897</v>
      </c>
      <c r="AB79" s="32">
        <v>0.093023256</v>
      </c>
      <c r="AC79" s="32">
        <v>0.058723535</v>
      </c>
      <c r="AD79" s="23">
        <f>VLOOKUP(B:B,库存明细报表10.16!L:P,5,0)</f>
        <v>3</v>
      </c>
      <c r="AE79" s="23">
        <f>VLOOKUP(B:B,库存明细报表10.16!L:Q,6,0)</f>
        <v>0</v>
      </c>
      <c r="AF79" s="23">
        <f>VLOOKUP(B:B,库存明细报表10.16!L:T,9,0)</f>
        <v>9</v>
      </c>
      <c r="AG79" s="23">
        <f>VLOOKUP(A:A,进销存报表10.16!A:J,10,0)</f>
        <v>13</v>
      </c>
      <c r="AH79" s="23">
        <f>VLOOKUP(A:A,进销存报表10.16!A:K,11,0)</f>
        <v>12</v>
      </c>
      <c r="AI79" s="23">
        <v>8.25</v>
      </c>
      <c r="AJ79" s="23">
        <v>7.37</v>
      </c>
      <c r="AK79" s="23">
        <v>3</v>
      </c>
      <c r="AL79" s="26">
        <v>6</v>
      </c>
      <c r="AM79" s="32">
        <f t="shared" si="2"/>
        <v>0.363636363636364</v>
      </c>
      <c r="AN79" s="44">
        <f t="shared" si="3"/>
        <v>0.814111261872456</v>
      </c>
      <c r="AO79" s="2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="8" customFormat="1" customHeight="1" spans="1:53">
      <c r="A80" s="13" t="s">
        <v>285</v>
      </c>
      <c r="B80" s="13" t="s">
        <v>286</v>
      </c>
      <c r="C80" s="13" t="s">
        <v>287</v>
      </c>
      <c r="D80" s="23" t="s">
        <v>43</v>
      </c>
      <c r="E80" s="23" t="s">
        <v>44</v>
      </c>
      <c r="F80" s="23" t="s">
        <v>45</v>
      </c>
      <c r="G80" s="23" t="s">
        <v>46</v>
      </c>
      <c r="H80" s="43" t="s">
        <v>288</v>
      </c>
      <c r="I80" s="23" t="s">
        <v>239</v>
      </c>
      <c r="J80" s="23">
        <v>51.99</v>
      </c>
      <c r="K80" s="23">
        <v>39.2</v>
      </c>
      <c r="L80" s="23" t="s">
        <v>239</v>
      </c>
      <c r="M80" s="23" t="s">
        <v>239</v>
      </c>
      <c r="N80" s="23" t="s">
        <v>239</v>
      </c>
      <c r="O80" s="23">
        <v>0</v>
      </c>
      <c r="P80" s="23">
        <v>0</v>
      </c>
      <c r="Q80" s="23">
        <v>9</v>
      </c>
      <c r="R80" s="23">
        <v>16</v>
      </c>
      <c r="S80" s="23">
        <v>14</v>
      </c>
      <c r="T80" s="23">
        <v>2</v>
      </c>
      <c r="U80" s="23">
        <v>0</v>
      </c>
      <c r="V80" s="32">
        <v>0.148161704</v>
      </c>
      <c r="W80" s="32">
        <v>0.211451754</v>
      </c>
      <c r="X80" s="32">
        <v>1.315221869</v>
      </c>
      <c r="Y80" s="32">
        <v>0</v>
      </c>
      <c r="Z80" s="32">
        <v>0.010802179</v>
      </c>
      <c r="AA80" s="32">
        <v>0.003821582</v>
      </c>
      <c r="AB80" s="32">
        <v>0.043478261</v>
      </c>
      <c r="AC80" s="32">
        <v>0</v>
      </c>
      <c r="AD80" s="23">
        <f>VLOOKUP(B:B,库存明细报表10.16!L:P,5,0)</f>
        <v>0</v>
      </c>
      <c r="AE80" s="23">
        <f>VLOOKUP(B:B,库存明细报表10.16!L:Q,6,0)</f>
        <v>0</v>
      </c>
      <c r="AF80" s="23">
        <f>VLOOKUP(B:B,库存明细报表10.16!L:T,9,0)</f>
        <v>24</v>
      </c>
      <c r="AG80" s="23">
        <f>VLOOKUP(A:A,进销存报表10.16!A:J,10,0)</f>
        <v>13</v>
      </c>
      <c r="AH80" s="23">
        <f>VLOOKUP(A:A,进销存报表10.16!A:K,11,0)</f>
        <v>42</v>
      </c>
      <c r="AI80" s="23" t="s">
        <v>239</v>
      </c>
      <c r="AJ80" s="23">
        <v>0</v>
      </c>
      <c r="AK80" s="23">
        <v>3</v>
      </c>
      <c r="AL80" s="26">
        <v>12</v>
      </c>
      <c r="AM80" s="32" t="e">
        <f t="shared" si="2"/>
        <v>#VALUE!</v>
      </c>
      <c r="AN80" s="44" t="e">
        <f t="shared" si="3"/>
        <v>#DIV/0!</v>
      </c>
      <c r="AO80" s="2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="8" customFormat="1" customHeight="1" spans="1:53">
      <c r="A81" s="13" t="s">
        <v>289</v>
      </c>
      <c r="B81" s="13" t="s">
        <v>290</v>
      </c>
      <c r="C81" s="13" t="s">
        <v>291</v>
      </c>
      <c r="D81" s="23" t="s">
        <v>43</v>
      </c>
      <c r="E81" s="23" t="s">
        <v>55</v>
      </c>
      <c r="F81" s="23" t="s">
        <v>45</v>
      </c>
      <c r="G81" s="23" t="s">
        <v>46</v>
      </c>
      <c r="H81" s="43" t="s">
        <v>288</v>
      </c>
      <c r="I81" s="23" t="s">
        <v>239</v>
      </c>
      <c r="J81" s="23">
        <v>52.99</v>
      </c>
      <c r="K81" s="23">
        <v>41.84</v>
      </c>
      <c r="L81" s="23" t="s">
        <v>239</v>
      </c>
      <c r="M81" s="23" t="s">
        <v>239</v>
      </c>
      <c r="N81" s="23" t="s">
        <v>239</v>
      </c>
      <c r="O81" s="23">
        <v>0</v>
      </c>
      <c r="P81" s="23">
        <v>2</v>
      </c>
      <c r="Q81" s="23">
        <v>2</v>
      </c>
      <c r="R81" s="23">
        <v>1</v>
      </c>
      <c r="S81" s="23">
        <v>1</v>
      </c>
      <c r="T81" s="23">
        <v>4</v>
      </c>
      <c r="U81" s="23">
        <v>2</v>
      </c>
      <c r="V81" s="32">
        <v>0.103062211</v>
      </c>
      <c r="W81" s="32">
        <v>0.016300264</v>
      </c>
      <c r="X81" s="32">
        <v>-0.032533966</v>
      </c>
      <c r="Y81" s="32">
        <v>0.310342687</v>
      </c>
      <c r="Z81" s="32">
        <v>0.053948349</v>
      </c>
      <c r="AA81" s="32">
        <v>0.05646621</v>
      </c>
      <c r="AB81" s="32">
        <v>0.105263158</v>
      </c>
      <c r="AC81" s="32">
        <v>0.090729348</v>
      </c>
      <c r="AD81" s="23">
        <f>VLOOKUP(B:B,库存明细报表10.16!L:P,5,0)</f>
        <v>19</v>
      </c>
      <c r="AE81" s="23">
        <f>VLOOKUP(B:B,库存明细报表10.16!L:Q,6,0)</f>
        <v>8</v>
      </c>
      <c r="AF81" s="23">
        <f>VLOOKUP(B:B,库存明细报表10.16!L:T,9,0)</f>
        <v>0</v>
      </c>
      <c r="AG81" s="23">
        <f>VLOOKUP(A:A,进销存报表10.16!A:J,10,0)</f>
        <v>18</v>
      </c>
      <c r="AH81" s="23">
        <f>VLOOKUP(A:A,进销存报表10.16!A:K,11,0)</f>
        <v>2</v>
      </c>
      <c r="AI81" s="23" t="s">
        <v>239</v>
      </c>
      <c r="AJ81" s="23">
        <v>0</v>
      </c>
      <c r="AK81" s="23">
        <v>1.33</v>
      </c>
      <c r="AL81" s="26">
        <v>2</v>
      </c>
      <c r="AM81" s="32" t="e">
        <f t="shared" si="2"/>
        <v>#VALUE!</v>
      </c>
      <c r="AN81" s="44" t="e">
        <f t="shared" si="3"/>
        <v>#DIV/0!</v>
      </c>
      <c r="AO81" s="2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="8" customFormat="1" customHeight="1" spans="1:53">
      <c r="A82" s="13" t="s">
        <v>292</v>
      </c>
      <c r="B82" s="13" t="s">
        <v>293</v>
      </c>
      <c r="C82" s="13" t="s">
        <v>294</v>
      </c>
      <c r="D82" s="23" t="s">
        <v>43</v>
      </c>
      <c r="E82" s="23" t="s">
        <v>55</v>
      </c>
      <c r="F82" s="23" t="s">
        <v>45</v>
      </c>
      <c r="G82" s="23" t="s">
        <v>239</v>
      </c>
      <c r="H82" s="43" t="s">
        <v>48</v>
      </c>
      <c r="I82" s="23" t="s">
        <v>48</v>
      </c>
      <c r="J82" s="23">
        <v>29.99</v>
      </c>
      <c r="K82" s="23">
        <v>22.57</v>
      </c>
      <c r="L82" s="23">
        <v>25.64</v>
      </c>
      <c r="M82" s="23">
        <v>23.07</v>
      </c>
      <c r="N82" s="23">
        <v>28.2</v>
      </c>
      <c r="O82" s="23">
        <v>0</v>
      </c>
      <c r="P82" s="23">
        <v>0</v>
      </c>
      <c r="Q82" s="23">
        <v>0</v>
      </c>
      <c r="R82" s="23">
        <v>1</v>
      </c>
      <c r="S82" s="23">
        <v>1</v>
      </c>
      <c r="T82" s="23">
        <v>0</v>
      </c>
      <c r="U82" s="23">
        <v>2</v>
      </c>
      <c r="V82" s="32">
        <v>0</v>
      </c>
      <c r="W82" s="32">
        <v>0.60386116</v>
      </c>
      <c r="X82" s="32">
        <v>0</v>
      </c>
      <c r="Y82" s="32">
        <v>0</v>
      </c>
      <c r="Z82" s="32" t="s">
        <v>69</v>
      </c>
      <c r="AA82" s="32" t="s">
        <v>69</v>
      </c>
      <c r="AB82" s="32">
        <v>0</v>
      </c>
      <c r="AC82" s="32">
        <v>0</v>
      </c>
      <c r="AD82" s="23">
        <f>VLOOKUP(B:B,库存明细报表10.16!L:P,5,0)</f>
        <v>16</v>
      </c>
      <c r="AE82" s="23">
        <f>VLOOKUP(B:B,库存明细报表10.16!L:Q,6,0)</f>
        <v>16</v>
      </c>
      <c r="AF82" s="23">
        <f>VLOOKUP(B:B,库存明细报表10.16!L:T,9,0)</f>
        <v>0</v>
      </c>
      <c r="AG82" s="23">
        <f>VLOOKUP(A:A,进销存报表10.16!A:J,10,0)</f>
        <v>26</v>
      </c>
      <c r="AH82" s="23">
        <f>VLOOKUP(A:A,进销存报表10.16!A:K,11,0)</f>
        <v>10</v>
      </c>
      <c r="AI82" s="23">
        <v>207.47</v>
      </c>
      <c r="AJ82" s="23">
        <v>137.19</v>
      </c>
      <c r="AK82" s="23" t="s">
        <v>239</v>
      </c>
      <c r="AL82" s="26">
        <v>0.666666667</v>
      </c>
      <c r="AM82" s="32" t="e">
        <f t="shared" si="2"/>
        <v>#VALUE!</v>
      </c>
      <c r="AN82" s="44">
        <f t="shared" si="3"/>
        <v>0.00485944068080764</v>
      </c>
      <c r="AO82" s="2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="8" customFormat="1" customHeight="1" spans="1:53">
      <c r="A83" s="13" t="s">
        <v>295</v>
      </c>
      <c r="B83" s="13" t="s">
        <v>296</v>
      </c>
      <c r="C83" s="13" t="s">
        <v>297</v>
      </c>
      <c r="D83" s="23" t="s">
        <v>43</v>
      </c>
      <c r="E83" s="23" t="s">
        <v>44</v>
      </c>
      <c r="F83" s="23" t="s">
        <v>45</v>
      </c>
      <c r="G83" s="23" t="s">
        <v>46</v>
      </c>
      <c r="H83" s="43" t="s">
        <v>288</v>
      </c>
      <c r="I83" s="23" t="s">
        <v>239</v>
      </c>
      <c r="J83" s="23">
        <v>47.99</v>
      </c>
      <c r="K83" s="23">
        <v>36.13</v>
      </c>
      <c r="L83" s="23" t="s">
        <v>239</v>
      </c>
      <c r="M83" s="23" t="s">
        <v>239</v>
      </c>
      <c r="N83" s="23" t="s">
        <v>239</v>
      </c>
      <c r="O83" s="23">
        <v>0</v>
      </c>
      <c r="P83" s="23">
        <v>0</v>
      </c>
      <c r="Q83" s="23">
        <v>1</v>
      </c>
      <c r="R83" s="23">
        <v>1</v>
      </c>
      <c r="S83" s="23">
        <v>3</v>
      </c>
      <c r="T83" s="23">
        <v>8</v>
      </c>
      <c r="U83" s="23">
        <v>2</v>
      </c>
      <c r="V83" s="32">
        <v>0.266359872</v>
      </c>
      <c r="W83" s="32">
        <v>0.180529321</v>
      </c>
      <c r="X83" s="32">
        <v>0.14846169</v>
      </c>
      <c r="Y83" s="32">
        <v>0.141392416</v>
      </c>
      <c r="Z83" s="32">
        <v>0.026339825</v>
      </c>
      <c r="AA83" s="32">
        <v>0.048958694</v>
      </c>
      <c r="AB83" s="32">
        <v>0.205128205</v>
      </c>
      <c r="AC83" s="32">
        <v>0.157523074</v>
      </c>
      <c r="AD83" s="23">
        <f>VLOOKUP(B:B,库存明细报表10.16!L:P,5,0)</f>
        <v>28</v>
      </c>
      <c r="AE83" s="23">
        <f>VLOOKUP(B:B,库存明细报表10.16!L:Q,6,0)</f>
        <v>28</v>
      </c>
      <c r="AF83" s="23">
        <f>VLOOKUP(B:B,库存明细报表10.16!L:T,9,0)</f>
        <v>0</v>
      </c>
      <c r="AG83" s="23">
        <f>VLOOKUP(A:A,进销存报表10.16!A:J,10,0)</f>
        <v>13</v>
      </c>
      <c r="AH83" s="23">
        <f>VLOOKUP(A:A,进销存报表10.16!A:K,11,0)</f>
        <v>24</v>
      </c>
      <c r="AI83" s="23" t="s">
        <v>239</v>
      </c>
      <c r="AJ83" s="23">
        <v>0</v>
      </c>
      <c r="AK83" s="23">
        <v>0.33</v>
      </c>
      <c r="AL83" s="26">
        <v>4</v>
      </c>
      <c r="AM83" s="32" t="e">
        <f t="shared" si="2"/>
        <v>#VALUE!</v>
      </c>
      <c r="AN83" s="44" t="e">
        <f t="shared" si="3"/>
        <v>#DIV/0!</v>
      </c>
      <c r="AO83" s="2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="8" customFormat="1" customHeight="1" spans="1:53">
      <c r="A84" s="13" t="s">
        <v>298</v>
      </c>
      <c r="B84" s="13" t="s">
        <v>299</v>
      </c>
      <c r="C84" s="13" t="s">
        <v>300</v>
      </c>
      <c r="D84" s="23" t="s">
        <v>43</v>
      </c>
      <c r="E84" s="23" t="s">
        <v>44</v>
      </c>
      <c r="F84" s="23" t="s">
        <v>45</v>
      </c>
      <c r="G84" s="23" t="s">
        <v>239</v>
      </c>
      <c r="H84" s="43" t="s">
        <v>46</v>
      </c>
      <c r="I84" s="23" t="s">
        <v>48</v>
      </c>
      <c r="J84" s="23">
        <v>29.99</v>
      </c>
      <c r="K84" s="23">
        <v>21.84</v>
      </c>
      <c r="L84" s="23">
        <v>32.17</v>
      </c>
      <c r="M84" s="23">
        <v>28.95</v>
      </c>
      <c r="N84" s="23">
        <v>35.39</v>
      </c>
      <c r="O84" s="23">
        <v>0</v>
      </c>
      <c r="P84" s="23">
        <v>0</v>
      </c>
      <c r="Q84" s="23">
        <v>1</v>
      </c>
      <c r="R84" s="23">
        <v>1</v>
      </c>
      <c r="S84" s="23">
        <v>0</v>
      </c>
      <c r="T84" s="23">
        <v>3</v>
      </c>
      <c r="U84" s="23">
        <v>4</v>
      </c>
      <c r="V84" s="32">
        <v>0</v>
      </c>
      <c r="W84" s="32">
        <v>0.124643489</v>
      </c>
      <c r="X84" s="32">
        <v>0.052059714</v>
      </c>
      <c r="Y84" s="32">
        <v>0.333704239</v>
      </c>
      <c r="Z84" s="32">
        <v>0.077000111</v>
      </c>
      <c r="AA84" s="32">
        <v>0.05712083</v>
      </c>
      <c r="AB84" s="32">
        <v>0.130434783</v>
      </c>
      <c r="AC84" s="32">
        <v>0.15343669</v>
      </c>
      <c r="AD84" s="23">
        <f>VLOOKUP(B:B,库存明细报表10.16!L:P,5,0)</f>
        <v>14</v>
      </c>
      <c r="AE84" s="23">
        <f>VLOOKUP(B:B,库存明细报表10.16!L:Q,6,0)</f>
        <v>13</v>
      </c>
      <c r="AF84" s="23">
        <f>VLOOKUP(B:B,库存明细报表10.16!L:T,9,0)</f>
        <v>3</v>
      </c>
      <c r="AG84" s="23">
        <f>VLOOKUP(A:A,进销存报表10.16!A:J,10,0)</f>
        <v>9</v>
      </c>
      <c r="AH84" s="23">
        <f>VLOOKUP(A:A,进销存报表10.16!A:K,11,0)</f>
        <v>12</v>
      </c>
      <c r="AI84" s="23">
        <v>274.4</v>
      </c>
      <c r="AJ84" s="23">
        <v>204.01</v>
      </c>
      <c r="AK84" s="23" t="s">
        <v>239</v>
      </c>
      <c r="AL84" s="26">
        <v>1.666666667</v>
      </c>
      <c r="AM84" s="32" t="e">
        <f t="shared" si="2"/>
        <v>#VALUE!</v>
      </c>
      <c r="AN84" s="44">
        <f t="shared" si="3"/>
        <v>0.00816953417479535</v>
      </c>
      <c r="AO84" s="2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</row>
    <row r="85" s="8" customFormat="1" customHeight="1" spans="1:53">
      <c r="A85" s="13" t="s">
        <v>301</v>
      </c>
      <c r="B85" s="13" t="s">
        <v>302</v>
      </c>
      <c r="C85" s="13" t="s">
        <v>303</v>
      </c>
      <c r="D85" s="23" t="s">
        <v>43</v>
      </c>
      <c r="E85" s="23" t="s">
        <v>44</v>
      </c>
      <c r="F85" s="23" t="s">
        <v>45</v>
      </c>
      <c r="G85" s="23" t="s">
        <v>239</v>
      </c>
      <c r="H85" s="43" t="s">
        <v>47</v>
      </c>
      <c r="I85" s="23" t="s">
        <v>47</v>
      </c>
      <c r="J85" s="23">
        <v>24.99</v>
      </c>
      <c r="K85" s="23">
        <v>17.04</v>
      </c>
      <c r="L85" s="23">
        <v>23.43</v>
      </c>
      <c r="M85" s="23">
        <v>21.09</v>
      </c>
      <c r="N85" s="23">
        <v>25.77</v>
      </c>
      <c r="O85" s="23">
        <v>0</v>
      </c>
      <c r="P85" s="23">
        <v>0</v>
      </c>
      <c r="Q85" s="23">
        <v>0</v>
      </c>
      <c r="R85" s="23">
        <v>1</v>
      </c>
      <c r="S85" s="23">
        <v>3</v>
      </c>
      <c r="T85" s="23">
        <v>5</v>
      </c>
      <c r="U85" s="23">
        <v>5</v>
      </c>
      <c r="V85" s="32">
        <v>0</v>
      </c>
      <c r="W85" s="32">
        <v>0.272091563</v>
      </c>
      <c r="X85" s="32">
        <v>0.230731983</v>
      </c>
      <c r="Y85" s="32">
        <v>0</v>
      </c>
      <c r="Z85" s="32">
        <v>0.077904687</v>
      </c>
      <c r="AA85" s="32">
        <v>0.083853099</v>
      </c>
      <c r="AB85" s="32">
        <v>0.119047619</v>
      </c>
      <c r="AC85" s="32">
        <v>0</v>
      </c>
      <c r="AD85" s="23">
        <f>VLOOKUP(B:B,库存明细报表10.16!L:P,5,0)</f>
        <v>2</v>
      </c>
      <c r="AE85" s="23">
        <f>VLOOKUP(B:B,库存明细报表10.16!L:Q,6,0)</f>
        <v>2</v>
      </c>
      <c r="AF85" s="23">
        <f>VLOOKUP(B:B,库存明细报表10.16!L:T,9,0)</f>
        <v>2</v>
      </c>
      <c r="AG85" s="23">
        <f>VLOOKUP(A:A,进销存报表10.16!A:J,10,0)</f>
        <v>12</v>
      </c>
      <c r="AH85" s="23">
        <f>VLOOKUP(A:A,进销存报表10.16!A:K,11,0)</f>
        <v>6</v>
      </c>
      <c r="AI85" s="23">
        <v>24.01</v>
      </c>
      <c r="AJ85" s="23">
        <v>12.54</v>
      </c>
      <c r="AK85" s="23" t="s">
        <v>239</v>
      </c>
      <c r="AL85" s="26">
        <v>3</v>
      </c>
      <c r="AM85" s="32" t="e">
        <f t="shared" si="2"/>
        <v>#VALUE!</v>
      </c>
      <c r="AN85" s="44">
        <f t="shared" si="3"/>
        <v>0.239234449760766</v>
      </c>
      <c r="AO85" s="2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</row>
    <row r="86" s="8" customFormat="1" customHeight="1" spans="1:53">
      <c r="A86" s="13" t="s">
        <v>304</v>
      </c>
      <c r="B86" s="13" t="s">
        <v>305</v>
      </c>
      <c r="C86" s="13" t="s">
        <v>306</v>
      </c>
      <c r="D86" s="23" t="s">
        <v>43</v>
      </c>
      <c r="E86" s="23" t="s">
        <v>44</v>
      </c>
      <c r="F86" s="23" t="s">
        <v>45</v>
      </c>
      <c r="G86" s="23" t="s">
        <v>239</v>
      </c>
      <c r="H86" s="43" t="s">
        <v>56</v>
      </c>
      <c r="I86" s="23" t="s">
        <v>48</v>
      </c>
      <c r="J86" s="23">
        <v>29.99</v>
      </c>
      <c r="K86" s="23">
        <v>27.94</v>
      </c>
      <c r="L86" s="23">
        <v>19</v>
      </c>
      <c r="M86" s="23">
        <v>17.1</v>
      </c>
      <c r="N86" s="23">
        <v>20.9</v>
      </c>
      <c r="O86" s="23">
        <v>0</v>
      </c>
      <c r="P86" s="23">
        <v>0</v>
      </c>
      <c r="Q86" s="23">
        <v>0</v>
      </c>
      <c r="R86" s="23">
        <v>0</v>
      </c>
      <c r="S86" s="23">
        <v>6</v>
      </c>
      <c r="T86" s="23">
        <v>1</v>
      </c>
      <c r="U86" s="23">
        <v>1</v>
      </c>
      <c r="V86" s="32">
        <v>0</v>
      </c>
      <c r="W86" s="32">
        <v>0.119529995</v>
      </c>
      <c r="X86" s="32">
        <v>-0.426563646</v>
      </c>
      <c r="Y86" s="32">
        <v>1</v>
      </c>
      <c r="Z86" s="32">
        <v>0.152860269</v>
      </c>
      <c r="AA86" s="32">
        <v>0.003821456</v>
      </c>
      <c r="AB86" s="32">
        <v>0.04</v>
      </c>
      <c r="AC86" s="32">
        <v>0</v>
      </c>
      <c r="AD86" s="23">
        <f>VLOOKUP(B:B,库存明细报表10.16!L:P,5,0)</f>
        <v>4</v>
      </c>
      <c r="AE86" s="23">
        <f>VLOOKUP(B:B,库存明细报表10.16!L:Q,6,0)</f>
        <v>4</v>
      </c>
      <c r="AF86" s="23">
        <f>VLOOKUP(B:B,库存明细报表10.16!L:T,9,0)</f>
        <v>0</v>
      </c>
      <c r="AG86" s="23">
        <f>VLOOKUP(A:A,进销存报表10.16!A:J,10,0)</f>
        <v>14</v>
      </c>
      <c r="AH86" s="23">
        <f>VLOOKUP(A:A,进销存报表10.16!A:K,11,0)</f>
        <v>0</v>
      </c>
      <c r="AI86" s="23">
        <v>59.07</v>
      </c>
      <c r="AJ86" s="23">
        <v>22.2</v>
      </c>
      <c r="AK86" s="23" t="s">
        <v>239</v>
      </c>
      <c r="AL86" s="26">
        <v>2.333333333</v>
      </c>
      <c r="AM86" s="32" t="e">
        <f t="shared" si="2"/>
        <v>#VALUE!</v>
      </c>
      <c r="AN86" s="44">
        <f t="shared" si="3"/>
        <v>0.10510510509009</v>
      </c>
      <c r="AO86" s="2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</row>
    <row r="87" s="8" customFormat="1" customHeight="1" spans="1:53">
      <c r="A87" s="13" t="s">
        <v>307</v>
      </c>
      <c r="B87" s="13" t="s">
        <v>308</v>
      </c>
      <c r="C87" s="13" t="s">
        <v>309</v>
      </c>
      <c r="D87" s="23" t="s">
        <v>43</v>
      </c>
      <c r="E87" s="23" t="s">
        <v>55</v>
      </c>
      <c r="F87" s="23" t="s">
        <v>45</v>
      </c>
      <c r="G87" s="23" t="s">
        <v>239</v>
      </c>
      <c r="H87" s="43" t="s">
        <v>46</v>
      </c>
      <c r="I87" s="23" t="s">
        <v>48</v>
      </c>
      <c r="J87" s="23">
        <v>31.99</v>
      </c>
      <c r="K87" s="23">
        <v>25.5</v>
      </c>
      <c r="L87" s="23">
        <v>27.54</v>
      </c>
      <c r="M87" s="23">
        <v>24.78</v>
      </c>
      <c r="N87" s="23">
        <v>30.29</v>
      </c>
      <c r="O87" s="23">
        <v>0</v>
      </c>
      <c r="P87" s="23">
        <v>0</v>
      </c>
      <c r="Q87" s="23">
        <v>1</v>
      </c>
      <c r="R87" s="23">
        <v>2</v>
      </c>
      <c r="S87" s="23">
        <v>7</v>
      </c>
      <c r="T87" s="23">
        <v>0</v>
      </c>
      <c r="U87" s="23">
        <v>3</v>
      </c>
      <c r="V87" s="32">
        <v>0</v>
      </c>
      <c r="W87" s="32">
        <v>0.066169115</v>
      </c>
      <c r="X87" s="32">
        <v>0.235059124</v>
      </c>
      <c r="Y87" s="32">
        <v>3.965144231</v>
      </c>
      <c r="Z87" s="32">
        <v>0.385817308</v>
      </c>
      <c r="AA87" s="32">
        <v>-0.31348593</v>
      </c>
      <c r="AB87" s="32">
        <v>0</v>
      </c>
      <c r="AC87" s="32">
        <v>0</v>
      </c>
      <c r="AD87" s="23">
        <f>VLOOKUP(B:B,库存明细报表10.16!L:P,5,0)</f>
        <v>5</v>
      </c>
      <c r="AE87" s="23">
        <f>VLOOKUP(B:B,库存明细报表10.16!L:Q,6,0)</f>
        <v>3</v>
      </c>
      <c r="AF87" s="23">
        <f>VLOOKUP(B:B,库存明细报表10.16!L:T,9,0)</f>
        <v>0</v>
      </c>
      <c r="AG87" s="23">
        <f>VLOOKUP(A:A,进销存报表10.16!A:J,10,0)</f>
        <v>12</v>
      </c>
      <c r="AH87" s="23">
        <f>VLOOKUP(A:A,进销存报表10.16!A:K,11,0)</f>
        <v>2</v>
      </c>
      <c r="AI87" s="23">
        <v>157.34</v>
      </c>
      <c r="AJ87" s="23">
        <v>104.2</v>
      </c>
      <c r="AK87" s="23" t="s">
        <v>239</v>
      </c>
      <c r="AL87" s="26">
        <v>4</v>
      </c>
      <c r="AM87" s="32" t="e">
        <f t="shared" si="2"/>
        <v>#VALUE!</v>
      </c>
      <c r="AN87" s="44">
        <f t="shared" si="3"/>
        <v>0.0383877159309021</v>
      </c>
      <c r="AO87" s="2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="8" customFormat="1" customHeight="1" spans="1:53">
      <c r="A88" s="13" t="s">
        <v>310</v>
      </c>
      <c r="B88" s="13" t="s">
        <v>311</v>
      </c>
      <c r="C88" s="13" t="s">
        <v>312</v>
      </c>
      <c r="D88" s="23" t="s">
        <v>43</v>
      </c>
      <c r="E88" s="23" t="s">
        <v>44</v>
      </c>
      <c r="F88" s="23" t="s">
        <v>45</v>
      </c>
      <c r="G88" s="23" t="s">
        <v>239</v>
      </c>
      <c r="H88" s="43" t="s">
        <v>48</v>
      </c>
      <c r="I88" s="23" t="s">
        <v>48</v>
      </c>
      <c r="J88" s="23">
        <v>24.99</v>
      </c>
      <c r="K88" s="23">
        <v>18.46</v>
      </c>
      <c r="L88" s="23">
        <v>20.89</v>
      </c>
      <c r="M88" s="23">
        <v>18.8</v>
      </c>
      <c r="N88" s="23">
        <v>22.98</v>
      </c>
      <c r="O88" s="23">
        <v>0</v>
      </c>
      <c r="P88" s="23">
        <v>0</v>
      </c>
      <c r="Q88" s="23">
        <v>0</v>
      </c>
      <c r="R88" s="23">
        <v>7</v>
      </c>
      <c r="S88" s="23">
        <v>6</v>
      </c>
      <c r="T88" s="23">
        <v>6</v>
      </c>
      <c r="U88" s="23">
        <v>4</v>
      </c>
      <c r="V88" s="32">
        <v>0</v>
      </c>
      <c r="W88" s="32">
        <v>0.229173895</v>
      </c>
      <c r="X88" s="32">
        <v>0.2401587</v>
      </c>
      <c r="Y88" s="32">
        <v>0</v>
      </c>
      <c r="Z88" s="32">
        <v>0.047504716</v>
      </c>
      <c r="AA88" s="32">
        <v>0.049554137</v>
      </c>
      <c r="AB88" s="32">
        <v>0.142857143</v>
      </c>
      <c r="AC88" s="32">
        <v>0.105032821</v>
      </c>
      <c r="AD88" s="23">
        <f>VLOOKUP(B:B,库存明细报表10.16!L:P,5,0)</f>
        <v>20</v>
      </c>
      <c r="AE88" s="23">
        <f>VLOOKUP(B:B,库存明细报表10.16!L:Q,6,0)</f>
        <v>17</v>
      </c>
      <c r="AF88" s="23">
        <f>VLOOKUP(B:B,库存明细报表10.16!L:T,9,0)</f>
        <v>5</v>
      </c>
      <c r="AG88" s="23">
        <f>VLOOKUP(A:A,进销存报表10.16!A:J,10,0)</f>
        <v>10</v>
      </c>
      <c r="AH88" s="23">
        <f>VLOOKUP(A:A,进销存报表10.16!A:K,11,0)</f>
        <v>11</v>
      </c>
      <c r="AI88" s="23">
        <v>126.29</v>
      </c>
      <c r="AJ88" s="23">
        <v>87.07</v>
      </c>
      <c r="AK88" s="23" t="s">
        <v>239</v>
      </c>
      <c r="AL88" s="26">
        <v>6.333333333</v>
      </c>
      <c r="AM88" s="32" t="e">
        <f t="shared" si="2"/>
        <v>#VALUE!</v>
      </c>
      <c r="AN88" s="44">
        <f t="shared" si="3"/>
        <v>0.0727384097048352</v>
      </c>
      <c r="AO88" s="2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="8" customFormat="1" customHeight="1" spans="1:53">
      <c r="A89" s="13" t="s">
        <v>313</v>
      </c>
      <c r="B89" s="13" t="s">
        <v>314</v>
      </c>
      <c r="C89" s="13" t="s">
        <v>315</v>
      </c>
      <c r="D89" s="23" t="s">
        <v>43</v>
      </c>
      <c r="E89" s="23" t="s">
        <v>44</v>
      </c>
      <c r="F89" s="23" t="s">
        <v>45</v>
      </c>
      <c r="G89" s="23" t="s">
        <v>46</v>
      </c>
      <c r="H89" s="43" t="s">
        <v>288</v>
      </c>
      <c r="I89" s="23" t="s">
        <v>239</v>
      </c>
      <c r="J89" s="23">
        <v>33.99</v>
      </c>
      <c r="K89" s="23">
        <v>26.21</v>
      </c>
      <c r="L89" s="23" t="s">
        <v>239</v>
      </c>
      <c r="M89" s="23" t="s">
        <v>239</v>
      </c>
      <c r="N89" s="23" t="s">
        <v>239</v>
      </c>
      <c r="O89" s="23">
        <v>0</v>
      </c>
      <c r="P89" s="23">
        <v>0</v>
      </c>
      <c r="Q89" s="23">
        <v>0</v>
      </c>
      <c r="R89" s="23">
        <v>4</v>
      </c>
      <c r="S89" s="23">
        <v>11</v>
      </c>
      <c r="T89" s="23">
        <v>2</v>
      </c>
      <c r="U89" s="23">
        <v>4</v>
      </c>
      <c r="V89" s="32">
        <v>0</v>
      </c>
      <c r="W89" s="32">
        <v>0.136912521</v>
      </c>
      <c r="X89" s="32">
        <v>0.120051857</v>
      </c>
      <c r="Y89" s="32">
        <v>0.324393968</v>
      </c>
      <c r="Z89" s="32">
        <v>0.085417064</v>
      </c>
      <c r="AA89" s="32">
        <v>0.049250046</v>
      </c>
      <c r="AB89" s="32">
        <v>0.071428571</v>
      </c>
      <c r="AC89" s="32">
        <v>0.117337233</v>
      </c>
      <c r="AD89" s="23">
        <f>VLOOKUP(B:B,库存明细报表10.16!L:P,5,0)</f>
        <v>10</v>
      </c>
      <c r="AE89" s="23">
        <f>VLOOKUP(B:B,库存明细报表10.16!L:Q,6,0)</f>
        <v>10</v>
      </c>
      <c r="AF89" s="23">
        <f>VLOOKUP(B:B,库存明细报表10.16!L:T,9,0)</f>
        <v>0</v>
      </c>
      <c r="AG89" s="23">
        <f>VLOOKUP(A:A,进销存报表10.16!A:J,10,0)</f>
        <v>1</v>
      </c>
      <c r="AH89" s="23">
        <f>VLOOKUP(A:A,进销存报表10.16!A:K,11,0)</f>
        <v>6</v>
      </c>
      <c r="AI89" s="23" t="s">
        <v>239</v>
      </c>
      <c r="AJ89" s="23">
        <v>0</v>
      </c>
      <c r="AK89" s="23">
        <v>0</v>
      </c>
      <c r="AL89" s="26">
        <v>6.333333333</v>
      </c>
      <c r="AM89" s="32" t="e">
        <f t="shared" si="2"/>
        <v>#VALUE!</v>
      </c>
      <c r="AN89" s="44" t="e">
        <f t="shared" si="3"/>
        <v>#DIV/0!</v>
      </c>
      <c r="AO89" s="2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="8" customFormat="1" customHeight="1" spans="1:53">
      <c r="A90" s="13" t="s">
        <v>316</v>
      </c>
      <c r="B90" s="13" t="s">
        <v>317</v>
      </c>
      <c r="C90" s="13" t="s">
        <v>318</v>
      </c>
      <c r="D90" s="23" t="s">
        <v>43</v>
      </c>
      <c r="E90" s="23" t="s">
        <v>44</v>
      </c>
      <c r="F90" s="23" t="s">
        <v>45</v>
      </c>
      <c r="G90" s="23" t="s">
        <v>239</v>
      </c>
      <c r="H90" s="43" t="s">
        <v>288</v>
      </c>
      <c r="I90" s="23" t="s">
        <v>48</v>
      </c>
      <c r="J90" s="23">
        <v>25.99</v>
      </c>
      <c r="K90" s="23">
        <v>20.34</v>
      </c>
      <c r="L90" s="23">
        <v>21.84</v>
      </c>
      <c r="M90" s="23">
        <v>19.65</v>
      </c>
      <c r="N90" s="23">
        <v>24.02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32">
        <v>0</v>
      </c>
      <c r="W90" s="32">
        <v>0</v>
      </c>
      <c r="X90" s="32">
        <v>0</v>
      </c>
      <c r="Y90" s="32">
        <v>0</v>
      </c>
      <c r="Z90" s="32" t="s">
        <v>69</v>
      </c>
      <c r="AA90" s="32" t="s">
        <v>69</v>
      </c>
      <c r="AB90" s="32">
        <v>0</v>
      </c>
      <c r="AC90" s="32" t="s">
        <v>69</v>
      </c>
      <c r="AD90" s="23">
        <f>VLOOKUP(B:B,库存明细报表10.16!L:P,5,0)</f>
        <v>16</v>
      </c>
      <c r="AE90" s="23">
        <f>VLOOKUP(B:B,库存明细报表10.16!L:Q,6,0)</f>
        <v>16</v>
      </c>
      <c r="AF90" s="23">
        <f>VLOOKUP(B:B,库存明细报表10.16!L:T,9,0)</f>
        <v>0</v>
      </c>
      <c r="AG90" s="23">
        <f>VLOOKUP(A:A,进销存报表10.16!A:J,10,0)</f>
        <v>26</v>
      </c>
      <c r="AH90" s="23">
        <f>VLOOKUP(A:A,进销存报表10.16!A:K,11,0)</f>
        <v>5</v>
      </c>
      <c r="AI90" s="23">
        <v>36.42</v>
      </c>
      <c r="AJ90" s="23">
        <v>17.02</v>
      </c>
      <c r="AK90" s="23" t="s">
        <v>239</v>
      </c>
      <c r="AL90" s="26">
        <v>0</v>
      </c>
      <c r="AM90" s="32" t="e">
        <f t="shared" si="2"/>
        <v>#VALUE!</v>
      </c>
      <c r="AN90" s="44">
        <f t="shared" si="3"/>
        <v>0</v>
      </c>
      <c r="AO90" s="2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</row>
    <row r="91" s="8" customFormat="1" customHeight="1" spans="1:53">
      <c r="A91" s="13" t="s">
        <v>319</v>
      </c>
      <c r="B91" s="13" t="s">
        <v>320</v>
      </c>
      <c r="C91" s="13" t="s">
        <v>321</v>
      </c>
      <c r="D91" s="23" t="s">
        <v>43</v>
      </c>
      <c r="E91" s="23" t="s">
        <v>44</v>
      </c>
      <c r="F91" s="23" t="s">
        <v>45</v>
      </c>
      <c r="G91" s="23" t="s">
        <v>239</v>
      </c>
      <c r="H91" s="43" t="s">
        <v>48</v>
      </c>
      <c r="I91" s="23" t="s">
        <v>47</v>
      </c>
      <c r="J91" s="23">
        <v>27.99</v>
      </c>
      <c r="K91" s="23">
        <v>17.32</v>
      </c>
      <c r="L91" s="23">
        <v>30.35</v>
      </c>
      <c r="M91" s="23">
        <v>27.32</v>
      </c>
      <c r="N91" s="23">
        <v>33.39</v>
      </c>
      <c r="O91" s="23">
        <v>0</v>
      </c>
      <c r="P91" s="23">
        <v>0</v>
      </c>
      <c r="Q91" s="23">
        <v>0</v>
      </c>
      <c r="R91" s="23">
        <v>1</v>
      </c>
      <c r="S91" s="23">
        <v>0</v>
      </c>
      <c r="T91" s="23">
        <v>2</v>
      </c>
      <c r="U91" s="23">
        <v>3</v>
      </c>
      <c r="V91" s="32">
        <v>0</v>
      </c>
      <c r="W91" s="32">
        <v>0.268396914</v>
      </c>
      <c r="X91" s="32">
        <v>0.382863876</v>
      </c>
      <c r="Y91" s="32">
        <v>0</v>
      </c>
      <c r="Z91" s="32">
        <v>0.102034011</v>
      </c>
      <c r="AA91" s="32">
        <v>0.083848221</v>
      </c>
      <c r="AB91" s="32">
        <v>0.125</v>
      </c>
      <c r="AC91" s="32">
        <v>0.142544726</v>
      </c>
      <c r="AD91" s="23">
        <f>VLOOKUP(B:B,库存明细报表10.16!L:P,5,0)</f>
        <v>9</v>
      </c>
      <c r="AE91" s="23">
        <f>VLOOKUP(B:B,库存明细报表10.16!L:Q,6,0)</f>
        <v>9</v>
      </c>
      <c r="AF91" s="23">
        <f>VLOOKUP(B:B,库存明细报表10.16!L:T,9,0)</f>
        <v>0</v>
      </c>
      <c r="AG91" s="23">
        <f>VLOOKUP(A:A,进销存报表10.16!A:J,10,0)</f>
        <v>12</v>
      </c>
      <c r="AH91" s="23">
        <f>VLOOKUP(A:A,进销存报表10.16!A:K,11,0)</f>
        <v>7</v>
      </c>
      <c r="AI91" s="23">
        <v>12.89</v>
      </c>
      <c r="AJ91" s="23">
        <v>10.8</v>
      </c>
      <c r="AK91" s="23" t="s">
        <v>239</v>
      </c>
      <c r="AL91" s="26">
        <v>1</v>
      </c>
      <c r="AM91" s="32" t="e">
        <f t="shared" si="2"/>
        <v>#VALUE!</v>
      </c>
      <c r="AN91" s="44">
        <f t="shared" si="3"/>
        <v>0.0925925925925926</v>
      </c>
      <c r="AO91" s="2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</row>
    <row r="92" s="8" customFormat="1" customHeight="1" spans="1:53">
      <c r="A92" s="13" t="s">
        <v>322</v>
      </c>
      <c r="B92" s="13" t="s">
        <v>323</v>
      </c>
      <c r="C92" s="13" t="s">
        <v>324</v>
      </c>
      <c r="D92" s="23" t="s">
        <v>43</v>
      </c>
      <c r="E92" s="23" t="s">
        <v>55</v>
      </c>
      <c r="F92" s="23" t="s">
        <v>45</v>
      </c>
      <c r="G92" s="23" t="s">
        <v>239</v>
      </c>
      <c r="H92" s="43" t="s">
        <v>48</v>
      </c>
      <c r="I92" s="23" t="s">
        <v>48</v>
      </c>
      <c r="J92" s="23">
        <v>29.99</v>
      </c>
      <c r="K92" s="23">
        <v>19.15</v>
      </c>
      <c r="L92" s="23">
        <v>19.3</v>
      </c>
      <c r="M92" s="23">
        <v>17.37</v>
      </c>
      <c r="N92" s="23">
        <v>21.23</v>
      </c>
      <c r="O92" s="23">
        <v>0</v>
      </c>
      <c r="P92" s="23">
        <v>0</v>
      </c>
      <c r="Q92" s="23">
        <v>1</v>
      </c>
      <c r="R92" s="23">
        <v>1</v>
      </c>
      <c r="S92" s="23">
        <v>0</v>
      </c>
      <c r="T92" s="23">
        <v>4</v>
      </c>
      <c r="U92" s="23">
        <v>4</v>
      </c>
      <c r="V92" s="32">
        <v>0</v>
      </c>
      <c r="W92" s="32">
        <v>0.313348249</v>
      </c>
      <c r="X92" s="32">
        <v>0.332732325</v>
      </c>
      <c r="Y92" s="32">
        <v>0</v>
      </c>
      <c r="Z92" s="32">
        <v>0.043014338</v>
      </c>
      <c r="AA92" s="32">
        <v>0.083848235</v>
      </c>
      <c r="AB92" s="32">
        <v>0.16</v>
      </c>
      <c r="AC92" s="32">
        <v>0.398968706</v>
      </c>
      <c r="AD92" s="23">
        <f>VLOOKUP(B:B,库存明细报表10.16!L:P,5,0)</f>
        <v>9</v>
      </c>
      <c r="AE92" s="23">
        <f>VLOOKUP(B:B,库存明细报表10.16!L:Q,6,0)</f>
        <v>9</v>
      </c>
      <c r="AF92" s="23">
        <f>VLOOKUP(B:B,库存明细报表10.16!L:T,9,0)</f>
        <v>1</v>
      </c>
      <c r="AG92" s="23">
        <f>VLOOKUP(A:A,进销存报表10.16!A:J,10,0)</f>
        <v>22</v>
      </c>
      <c r="AH92" s="23">
        <f>VLOOKUP(A:A,进销存报表10.16!A:K,11,0)</f>
        <v>3</v>
      </c>
      <c r="AI92" s="23">
        <v>164.48</v>
      </c>
      <c r="AJ92" s="23">
        <v>125.66</v>
      </c>
      <c r="AK92" s="23" t="s">
        <v>239</v>
      </c>
      <c r="AL92" s="26">
        <v>2</v>
      </c>
      <c r="AM92" s="32" t="e">
        <f t="shared" si="2"/>
        <v>#VALUE!</v>
      </c>
      <c r="AN92" s="44">
        <f t="shared" si="3"/>
        <v>0.0159159637116027</v>
      </c>
      <c r="AO92" s="2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</row>
    <row r="93" s="8" customFormat="1" customHeight="1" spans="1:53">
      <c r="A93" s="13" t="s">
        <v>325</v>
      </c>
      <c r="B93" s="13" t="s">
        <v>326</v>
      </c>
      <c r="C93" s="13" t="s">
        <v>327</v>
      </c>
      <c r="D93" s="23" t="s">
        <v>43</v>
      </c>
      <c r="E93" s="23" t="s">
        <v>44</v>
      </c>
      <c r="F93" s="23" t="s">
        <v>45</v>
      </c>
      <c r="G93" s="23" t="s">
        <v>46</v>
      </c>
      <c r="H93" s="43" t="s">
        <v>288</v>
      </c>
      <c r="I93" s="23" t="s">
        <v>239</v>
      </c>
      <c r="J93" s="23">
        <v>37.99</v>
      </c>
      <c r="K93" s="23">
        <v>26.47</v>
      </c>
      <c r="L93" s="23" t="s">
        <v>239</v>
      </c>
      <c r="M93" s="23" t="s">
        <v>239</v>
      </c>
      <c r="N93" s="23" t="s">
        <v>239</v>
      </c>
      <c r="O93" s="23">
        <v>0</v>
      </c>
      <c r="P93" s="23">
        <v>0</v>
      </c>
      <c r="Q93" s="23">
        <v>0</v>
      </c>
      <c r="R93" s="23">
        <v>3</v>
      </c>
      <c r="S93" s="23">
        <v>7</v>
      </c>
      <c r="T93" s="23">
        <v>1</v>
      </c>
      <c r="U93" s="23">
        <v>1</v>
      </c>
      <c r="V93" s="32">
        <v>0</v>
      </c>
      <c r="W93" s="32">
        <v>0.261117585</v>
      </c>
      <c r="X93" s="32">
        <v>0.247588469</v>
      </c>
      <c r="Y93" s="32">
        <v>0</v>
      </c>
      <c r="Z93" s="32">
        <v>0.079099763</v>
      </c>
      <c r="AA93" s="32">
        <v>0.043832067</v>
      </c>
      <c r="AB93" s="32">
        <v>0.016949153</v>
      </c>
      <c r="AC93" s="32">
        <v>0</v>
      </c>
      <c r="AD93" s="23">
        <f>VLOOKUP(B:B,库存明细报表10.16!L:P,5,0)</f>
        <v>13</v>
      </c>
      <c r="AE93" s="23">
        <f>VLOOKUP(B:B,库存明细报表10.16!L:Q,6,0)</f>
        <v>13</v>
      </c>
      <c r="AF93" s="23">
        <f>VLOOKUP(B:B,库存明细报表10.16!L:T,9,0)</f>
        <v>0</v>
      </c>
      <c r="AG93" s="23">
        <f>VLOOKUP(A:A,进销存报表10.16!A:J,10,0)</f>
        <v>0</v>
      </c>
      <c r="AH93" s="23">
        <f>VLOOKUP(A:A,进销存报表10.16!A:K,11,0)</f>
        <v>11</v>
      </c>
      <c r="AI93" s="23" t="s">
        <v>239</v>
      </c>
      <c r="AJ93" s="23">
        <v>0</v>
      </c>
      <c r="AK93" s="23">
        <v>0</v>
      </c>
      <c r="AL93" s="26">
        <v>4</v>
      </c>
      <c r="AM93" s="32" t="e">
        <f t="shared" si="2"/>
        <v>#VALUE!</v>
      </c>
      <c r="AN93" s="44" t="e">
        <f t="shared" si="3"/>
        <v>#DIV/0!</v>
      </c>
      <c r="AO93" s="2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</row>
    <row r="94" s="8" customFormat="1" customHeight="1" spans="1:53">
      <c r="A94" s="13" t="s">
        <v>328</v>
      </c>
      <c r="B94" s="13" t="s">
        <v>329</v>
      </c>
      <c r="C94" s="13" t="s">
        <v>330</v>
      </c>
      <c r="D94" s="23" t="s">
        <v>43</v>
      </c>
      <c r="E94" s="23" t="s">
        <v>55</v>
      </c>
      <c r="F94" s="23" t="s">
        <v>45</v>
      </c>
      <c r="G94" s="23" t="s">
        <v>239</v>
      </c>
      <c r="H94" s="43" t="s">
        <v>46</v>
      </c>
      <c r="I94" s="23" t="s">
        <v>46</v>
      </c>
      <c r="J94" s="23">
        <v>62.99</v>
      </c>
      <c r="K94" s="23">
        <v>47.2</v>
      </c>
      <c r="L94" s="23">
        <v>41.48</v>
      </c>
      <c r="M94" s="23">
        <v>37.33</v>
      </c>
      <c r="N94" s="23">
        <v>45.63</v>
      </c>
      <c r="O94" s="23">
        <v>0</v>
      </c>
      <c r="P94" s="23">
        <v>0</v>
      </c>
      <c r="Q94" s="23">
        <v>0</v>
      </c>
      <c r="R94" s="23">
        <v>0</v>
      </c>
      <c r="S94" s="23">
        <v>1</v>
      </c>
      <c r="T94" s="23">
        <v>0</v>
      </c>
      <c r="U94" s="23">
        <v>1</v>
      </c>
      <c r="V94" s="32">
        <v>0</v>
      </c>
      <c r="W94" s="32">
        <v>0.030056489</v>
      </c>
      <c r="X94" s="32">
        <v>0</v>
      </c>
      <c r="Y94" s="32">
        <v>0</v>
      </c>
      <c r="Z94" s="32" t="s">
        <v>69</v>
      </c>
      <c r="AA94" s="32" t="s">
        <v>69</v>
      </c>
      <c r="AB94" s="32">
        <v>0</v>
      </c>
      <c r="AC94" s="32">
        <v>0</v>
      </c>
      <c r="AD94" s="23">
        <f>VLOOKUP(B:B,库存明细报表10.16!L:P,5,0)</f>
        <v>10</v>
      </c>
      <c r="AE94" s="23">
        <f>VLOOKUP(B:B,库存明细报表10.16!L:Q,6,0)</f>
        <v>7</v>
      </c>
      <c r="AF94" s="23">
        <f>VLOOKUP(B:B,库存明细报表10.16!L:T,9,0)</f>
        <v>0</v>
      </c>
      <c r="AG94" s="23">
        <f>VLOOKUP(A:A,进销存报表10.16!A:J,10,0)</f>
        <v>3</v>
      </c>
      <c r="AH94" s="23">
        <f>VLOOKUP(A:A,进销存报表10.16!A:K,11,0)</f>
        <v>10</v>
      </c>
      <c r="AI94" s="23">
        <v>74.39</v>
      </c>
      <c r="AJ94" s="23">
        <v>46.89</v>
      </c>
      <c r="AK94" s="23" t="s">
        <v>239</v>
      </c>
      <c r="AL94" s="26">
        <v>0.333333333</v>
      </c>
      <c r="AM94" s="32" t="e">
        <f t="shared" si="2"/>
        <v>#VALUE!</v>
      </c>
      <c r="AN94" s="44">
        <f t="shared" si="3"/>
        <v>0.00710883627639155</v>
      </c>
      <c r="AO94" s="2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</row>
    <row r="95" s="8" customFormat="1" customHeight="1" spans="1:53">
      <c r="A95" s="13" t="s">
        <v>331</v>
      </c>
      <c r="B95" s="13" t="s">
        <v>332</v>
      </c>
      <c r="C95" s="13" t="s">
        <v>333</v>
      </c>
      <c r="D95" s="23" t="s">
        <v>43</v>
      </c>
      <c r="E95" s="23" t="s">
        <v>44</v>
      </c>
      <c r="F95" s="23" t="s">
        <v>45</v>
      </c>
      <c r="G95" s="23" t="s">
        <v>239</v>
      </c>
      <c r="H95" s="43" t="s">
        <v>48</v>
      </c>
      <c r="I95" s="23" t="s">
        <v>48</v>
      </c>
      <c r="J95" s="23">
        <v>48.99</v>
      </c>
      <c r="K95" s="23">
        <v>34.17</v>
      </c>
      <c r="L95" s="23">
        <v>44.99</v>
      </c>
      <c r="M95" s="23">
        <v>40.49</v>
      </c>
      <c r="N95" s="23">
        <v>49.49</v>
      </c>
      <c r="O95" s="23">
        <v>0</v>
      </c>
      <c r="P95" s="23">
        <v>0</v>
      </c>
      <c r="Q95" s="23">
        <v>0</v>
      </c>
      <c r="R95" s="23">
        <v>0</v>
      </c>
      <c r="S95" s="23">
        <v>4</v>
      </c>
      <c r="T95" s="23">
        <v>8</v>
      </c>
      <c r="U95" s="23">
        <v>4</v>
      </c>
      <c r="V95" s="32">
        <v>0</v>
      </c>
      <c r="W95" s="32">
        <v>0.266997471</v>
      </c>
      <c r="X95" s="32">
        <v>0.285442545</v>
      </c>
      <c r="Y95" s="32">
        <v>0</v>
      </c>
      <c r="Z95" s="32">
        <v>0.00806287</v>
      </c>
      <c r="AA95" s="32">
        <v>0.043829715</v>
      </c>
      <c r="AB95" s="32">
        <v>0.170212766</v>
      </c>
      <c r="AC95" s="32">
        <v>0.28506954</v>
      </c>
      <c r="AD95" s="23">
        <f>VLOOKUP(B:B,库存明细报表10.16!L:P,5,0)</f>
        <v>25</v>
      </c>
      <c r="AE95" s="23">
        <f>VLOOKUP(B:B,库存明细报表10.16!L:Q,6,0)</f>
        <v>19</v>
      </c>
      <c r="AF95" s="23">
        <f>VLOOKUP(B:B,库存明细报表10.16!L:T,9,0)</f>
        <v>0</v>
      </c>
      <c r="AG95" s="23">
        <f>VLOOKUP(A:A,进销存报表10.16!A:J,10,0)</f>
        <v>0</v>
      </c>
      <c r="AH95" s="23">
        <f>VLOOKUP(A:A,进销存报表10.16!A:K,11,0)</f>
        <v>66</v>
      </c>
      <c r="AI95" s="23">
        <v>195.89</v>
      </c>
      <c r="AJ95" s="23">
        <v>153.74</v>
      </c>
      <c r="AK95" s="23" t="s">
        <v>239</v>
      </c>
      <c r="AL95" s="26">
        <v>4</v>
      </c>
      <c r="AM95" s="32" t="e">
        <f t="shared" si="2"/>
        <v>#VALUE!</v>
      </c>
      <c r="AN95" s="44">
        <f t="shared" si="3"/>
        <v>0.0260179523871471</v>
      </c>
      <c r="AO95" s="2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</row>
    <row r="96" s="8" customFormat="1" customHeight="1" spans="1:53">
      <c r="A96" s="13" t="s">
        <v>334</v>
      </c>
      <c r="B96" s="13" t="s">
        <v>335</v>
      </c>
      <c r="C96" s="13" t="s">
        <v>336</v>
      </c>
      <c r="D96" s="23" t="s">
        <v>43</v>
      </c>
      <c r="E96" s="23" t="s">
        <v>44</v>
      </c>
      <c r="F96" s="23" t="s">
        <v>45</v>
      </c>
      <c r="G96" s="23" t="s">
        <v>239</v>
      </c>
      <c r="H96" s="43" t="s">
        <v>288</v>
      </c>
      <c r="I96" s="23" t="s">
        <v>46</v>
      </c>
      <c r="J96" s="23">
        <v>79.99</v>
      </c>
      <c r="K96" s="23">
        <v>51.18</v>
      </c>
      <c r="L96" s="23">
        <v>46.73</v>
      </c>
      <c r="M96" s="23">
        <v>42.06</v>
      </c>
      <c r="N96" s="23">
        <v>51.4</v>
      </c>
      <c r="O96" s="23" t="s">
        <v>239</v>
      </c>
      <c r="P96" s="23" t="s">
        <v>239</v>
      </c>
      <c r="Q96" s="23" t="s">
        <v>239</v>
      </c>
      <c r="R96" s="23" t="s">
        <v>239</v>
      </c>
      <c r="S96" s="23">
        <v>0</v>
      </c>
      <c r="T96" s="23">
        <v>0</v>
      </c>
      <c r="U96" s="23">
        <v>0</v>
      </c>
      <c r="V96" s="32">
        <v>0</v>
      </c>
      <c r="W96" s="32">
        <v>0</v>
      </c>
      <c r="X96" s="32" t="s">
        <v>239</v>
      </c>
      <c r="Y96" s="32" t="s">
        <v>239</v>
      </c>
      <c r="Z96" s="32" t="s">
        <v>239</v>
      </c>
      <c r="AA96" s="32" t="s">
        <v>239</v>
      </c>
      <c r="AB96" s="32">
        <v>0</v>
      </c>
      <c r="AC96" s="32" t="s">
        <v>69</v>
      </c>
      <c r="AD96" s="23">
        <f>VLOOKUP(B:B,库存明细报表10.16!L:P,5,0)</f>
        <v>12</v>
      </c>
      <c r="AE96" s="23">
        <f>VLOOKUP(B:B,库存明细报表10.16!L:Q,6,0)</f>
        <v>3</v>
      </c>
      <c r="AF96" s="23">
        <f>VLOOKUP(B:B,库存明细报表10.16!L:T,9,0)</f>
        <v>6</v>
      </c>
      <c r="AG96" s="23">
        <f>VLOOKUP(A:A,进销存报表10.16!A:J,10,0)</f>
        <v>29</v>
      </c>
      <c r="AH96" s="23">
        <f>VLOOKUP(A:A,进销存报表10.16!A:K,11,0)</f>
        <v>25</v>
      </c>
      <c r="AI96" s="23">
        <v>452.32</v>
      </c>
      <c r="AJ96" s="23">
        <v>307.15</v>
      </c>
      <c r="AK96" s="23" t="s">
        <v>239</v>
      </c>
      <c r="AL96" s="26">
        <v>0</v>
      </c>
      <c r="AM96" s="32" t="e">
        <f t="shared" si="2"/>
        <v>#VALUE!</v>
      </c>
      <c r="AN96" s="44">
        <f t="shared" si="3"/>
        <v>0</v>
      </c>
      <c r="AO96" s="2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</row>
    <row r="97" s="8" customFormat="1" customHeight="1" spans="1:53">
      <c r="A97" s="13" t="s">
        <v>337</v>
      </c>
      <c r="B97" s="13" t="s">
        <v>338</v>
      </c>
      <c r="C97" s="13" t="s">
        <v>339</v>
      </c>
      <c r="D97" s="23" t="s">
        <v>43</v>
      </c>
      <c r="E97" s="23" t="s">
        <v>44</v>
      </c>
      <c r="F97" s="23" t="s">
        <v>45</v>
      </c>
      <c r="G97" s="23" t="s">
        <v>239</v>
      </c>
      <c r="H97" s="43" t="s">
        <v>48</v>
      </c>
      <c r="I97" s="23" t="s">
        <v>48</v>
      </c>
      <c r="J97" s="23">
        <v>36.99</v>
      </c>
      <c r="K97" s="23">
        <v>21.19</v>
      </c>
      <c r="L97" s="23">
        <v>24.28</v>
      </c>
      <c r="M97" s="23">
        <v>21.85</v>
      </c>
      <c r="N97" s="23">
        <v>26.71</v>
      </c>
      <c r="O97" s="23" t="s">
        <v>239</v>
      </c>
      <c r="P97" s="23" t="s">
        <v>239</v>
      </c>
      <c r="Q97" s="23" t="s">
        <v>239</v>
      </c>
      <c r="R97" s="23" t="s">
        <v>239</v>
      </c>
      <c r="S97" s="23">
        <v>1</v>
      </c>
      <c r="T97" s="23">
        <v>1</v>
      </c>
      <c r="U97" s="23">
        <v>0</v>
      </c>
      <c r="V97" s="32">
        <v>0</v>
      </c>
      <c r="W97" s="32">
        <v>0.282916863</v>
      </c>
      <c r="X97" s="32" t="s">
        <v>239</v>
      </c>
      <c r="Y97" s="32" t="s">
        <v>239</v>
      </c>
      <c r="Z97" s="32" t="s">
        <v>239</v>
      </c>
      <c r="AA97" s="32" t="s">
        <v>239</v>
      </c>
      <c r="AB97" s="32">
        <v>0.111111111</v>
      </c>
      <c r="AC97" s="32" t="s">
        <v>69</v>
      </c>
      <c r="AD97" s="23">
        <f>VLOOKUP(B:B,库存明细报表10.16!L:P,5,0)</f>
        <v>0</v>
      </c>
      <c r="AE97" s="23">
        <f>VLOOKUP(B:B,库存明细报表10.16!L:Q,6,0)</f>
        <v>0</v>
      </c>
      <c r="AF97" s="23">
        <f>VLOOKUP(B:B,库存明细报表10.16!L:T,9,0)</f>
        <v>0</v>
      </c>
      <c r="AG97" s="23">
        <f>VLOOKUP(A:A,进销存报表10.16!A:J,10,0)</f>
        <v>14</v>
      </c>
      <c r="AH97" s="23">
        <f>VLOOKUP(A:A,进销存报表10.16!A:K,11,0)</f>
        <v>38</v>
      </c>
      <c r="AI97" s="23">
        <v>486.18</v>
      </c>
      <c r="AJ97" s="23">
        <v>408.33</v>
      </c>
      <c r="AK97" s="23" t="s">
        <v>239</v>
      </c>
      <c r="AL97" s="26">
        <v>0.333333333</v>
      </c>
      <c r="AM97" s="32" t="e">
        <f t="shared" si="2"/>
        <v>#VALUE!</v>
      </c>
      <c r="AN97" s="44">
        <f t="shared" si="3"/>
        <v>0.000816333193740357</v>
      </c>
      <c r="AO97" s="2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</row>
    <row r="98" s="8" customFormat="1" customHeight="1" spans="1:53">
      <c r="A98" s="13" t="s">
        <v>340</v>
      </c>
      <c r="B98" s="13" t="s">
        <v>341</v>
      </c>
      <c r="C98" s="13" t="s">
        <v>342</v>
      </c>
      <c r="D98" s="23" t="s">
        <v>43</v>
      </c>
      <c r="E98" s="23" t="s">
        <v>343</v>
      </c>
      <c r="F98" s="23" t="s">
        <v>344</v>
      </c>
      <c r="G98" s="23" t="s">
        <v>239</v>
      </c>
      <c r="H98" s="43" t="s">
        <v>288</v>
      </c>
      <c r="I98" s="23" t="s">
        <v>345</v>
      </c>
      <c r="J98" s="23">
        <v>59.99</v>
      </c>
      <c r="K98" s="23">
        <v>44.26</v>
      </c>
      <c r="L98" s="23"/>
      <c r="M98" s="23"/>
      <c r="N98" s="23"/>
      <c r="O98" s="23" t="s">
        <v>239</v>
      </c>
      <c r="P98" s="23" t="s">
        <v>239</v>
      </c>
      <c r="Q98" s="23" t="s">
        <v>239</v>
      </c>
      <c r="R98" s="23" t="s">
        <v>239</v>
      </c>
      <c r="S98" s="23">
        <v>0</v>
      </c>
      <c r="T98" s="23">
        <v>0</v>
      </c>
      <c r="U98" s="23">
        <v>0</v>
      </c>
      <c r="V98" s="32">
        <v>0</v>
      </c>
      <c r="W98" s="32">
        <v>0</v>
      </c>
      <c r="X98" s="32" t="s">
        <v>239</v>
      </c>
      <c r="Y98" s="32" t="s">
        <v>239</v>
      </c>
      <c r="Z98" s="32" t="s">
        <v>239</v>
      </c>
      <c r="AA98" s="32" t="s">
        <v>239</v>
      </c>
      <c r="AB98" s="32">
        <v>0</v>
      </c>
      <c r="AC98" s="32" t="s">
        <v>69</v>
      </c>
      <c r="AD98" s="23" t="e">
        <f>VLOOKUP(B:B,库存明细报表10.16!L:P,5,0)</f>
        <v>#N/A</v>
      </c>
      <c r="AE98" s="23" t="e">
        <f>VLOOKUP(B:B,库存明细报表10.16!L:Q,6,0)</f>
        <v>#N/A</v>
      </c>
      <c r="AF98" s="23" t="e">
        <f>VLOOKUP(B:B,库存明细报表10.16!L:T,9,0)</f>
        <v>#N/A</v>
      </c>
      <c r="AG98" s="23">
        <f>VLOOKUP(A:A,进销存报表10.16!A:J,10,0)</f>
        <v>41</v>
      </c>
      <c r="AH98" s="23">
        <f>VLOOKUP(A:A,进销存报表10.16!A:K,11,0)</f>
        <v>30</v>
      </c>
      <c r="AI98" s="23">
        <v>56.99</v>
      </c>
      <c r="AJ98" s="23">
        <v>41.42</v>
      </c>
      <c r="AK98" s="23" t="s">
        <v>239</v>
      </c>
      <c r="AL98" s="26">
        <v>0</v>
      </c>
      <c r="AM98" s="32" t="e">
        <f t="shared" si="2"/>
        <v>#VALUE!</v>
      </c>
      <c r="AN98" s="44">
        <f t="shared" si="3"/>
        <v>0</v>
      </c>
      <c r="AO98" s="2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="8" customFormat="1" customHeight="1" spans="1:53">
      <c r="A99" s="13" t="s">
        <v>346</v>
      </c>
      <c r="B99" s="13" t="s">
        <v>347</v>
      </c>
      <c r="C99" s="13" t="s">
        <v>348</v>
      </c>
      <c r="D99" s="23" t="s">
        <v>43</v>
      </c>
      <c r="E99" s="23" t="s">
        <v>44</v>
      </c>
      <c r="F99" s="23" t="s">
        <v>45</v>
      </c>
      <c r="G99" s="23" t="s">
        <v>239</v>
      </c>
      <c r="H99" s="43" t="s">
        <v>288</v>
      </c>
      <c r="I99" s="23" t="s">
        <v>46</v>
      </c>
      <c r="J99" s="23">
        <v>49.99</v>
      </c>
      <c r="K99" s="23">
        <v>38.09</v>
      </c>
      <c r="L99" s="23">
        <v>35.88</v>
      </c>
      <c r="M99" s="23">
        <v>32.3</v>
      </c>
      <c r="N99" s="23">
        <v>39.47</v>
      </c>
      <c r="O99" s="23" t="s">
        <v>239</v>
      </c>
      <c r="P99" s="23" t="s">
        <v>239</v>
      </c>
      <c r="Q99" s="23" t="s">
        <v>239</v>
      </c>
      <c r="R99" s="23" t="s">
        <v>239</v>
      </c>
      <c r="S99" s="23">
        <v>0</v>
      </c>
      <c r="T99" s="23">
        <v>0</v>
      </c>
      <c r="U99" s="23">
        <v>0</v>
      </c>
      <c r="V99" s="32">
        <v>0</v>
      </c>
      <c r="W99" s="32">
        <v>0</v>
      </c>
      <c r="X99" s="32" t="s">
        <v>239</v>
      </c>
      <c r="Y99" s="32" t="s">
        <v>239</v>
      </c>
      <c r="Z99" s="32" t="s">
        <v>239</v>
      </c>
      <c r="AA99" s="32" t="s">
        <v>239</v>
      </c>
      <c r="AB99" s="32">
        <v>0</v>
      </c>
      <c r="AC99" s="32" t="s">
        <v>69</v>
      </c>
      <c r="AD99" s="23">
        <f>VLOOKUP(B:B,库存明细报表10.16!L:P,5,0)</f>
        <v>6</v>
      </c>
      <c r="AE99" s="23">
        <f>VLOOKUP(B:B,库存明细报表10.16!L:Q,6,0)</f>
        <v>0</v>
      </c>
      <c r="AF99" s="23">
        <f>VLOOKUP(B:B,库存明细报表10.16!L:T,9,0)</f>
        <v>0</v>
      </c>
      <c r="AG99" s="23">
        <f>VLOOKUP(A:A,进销存报表10.16!A:J,10,0)</f>
        <v>10</v>
      </c>
      <c r="AH99" s="23">
        <f>VLOOKUP(A:A,进销存报表10.16!A:K,11,0)</f>
        <v>2</v>
      </c>
      <c r="AI99" s="23">
        <v>372.38</v>
      </c>
      <c r="AJ99" s="23">
        <v>247.87</v>
      </c>
      <c r="AK99" s="23" t="s">
        <v>239</v>
      </c>
      <c r="AL99" s="26">
        <v>0</v>
      </c>
      <c r="AM99" s="32" t="e">
        <f t="shared" si="2"/>
        <v>#VALUE!</v>
      </c>
      <c r="AN99" s="44">
        <f t="shared" si="3"/>
        <v>0</v>
      </c>
      <c r="AO99" s="2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="8" customFormat="1" customHeight="1" spans="1:53">
      <c r="A100" s="13" t="s">
        <v>349</v>
      </c>
      <c r="B100" s="13" t="s">
        <v>350</v>
      </c>
      <c r="C100" s="13" t="s">
        <v>351</v>
      </c>
      <c r="D100" s="23" t="s">
        <v>43</v>
      </c>
      <c r="E100" s="23" t="s">
        <v>55</v>
      </c>
      <c r="F100" s="23" t="s">
        <v>45</v>
      </c>
      <c r="G100" s="23" t="s">
        <v>239</v>
      </c>
      <c r="H100" s="43" t="s">
        <v>288</v>
      </c>
      <c r="I100" s="23" t="s">
        <v>239</v>
      </c>
      <c r="J100" s="23">
        <v>59.99</v>
      </c>
      <c r="K100" s="23">
        <v>47.74</v>
      </c>
      <c r="L100" s="23" t="s">
        <v>239</v>
      </c>
      <c r="M100" s="23" t="s">
        <v>239</v>
      </c>
      <c r="N100" s="23" t="s">
        <v>239</v>
      </c>
      <c r="O100" s="23" t="s">
        <v>239</v>
      </c>
      <c r="P100" s="23" t="s">
        <v>239</v>
      </c>
      <c r="Q100" s="23" t="s">
        <v>239</v>
      </c>
      <c r="R100" s="23" t="s">
        <v>239</v>
      </c>
      <c r="S100" s="23">
        <v>0</v>
      </c>
      <c r="T100" s="23">
        <v>2</v>
      </c>
      <c r="U100" s="23">
        <v>1</v>
      </c>
      <c r="V100" s="32">
        <v>0</v>
      </c>
      <c r="W100" s="32">
        <v>0.12667136</v>
      </c>
      <c r="X100" s="32">
        <v>0.12667136</v>
      </c>
      <c r="Y100" s="32">
        <v>0</v>
      </c>
      <c r="Z100" s="32">
        <v>0</v>
      </c>
      <c r="AA100" s="32">
        <v>0.193371249</v>
      </c>
      <c r="AB100" s="32">
        <v>0.017857143</v>
      </c>
      <c r="AC100" s="32" t="s">
        <v>69</v>
      </c>
      <c r="AD100" s="23">
        <f>VLOOKUP(B:B,库存明细报表10.16!L:P,5,0)</f>
        <v>11</v>
      </c>
      <c r="AE100" s="23">
        <f>VLOOKUP(B:B,库存明细报表10.16!L:Q,6,0)</f>
        <v>6</v>
      </c>
      <c r="AF100" s="23">
        <f>VLOOKUP(B:B,库存明细报表10.16!L:T,9,0)</f>
        <v>21</v>
      </c>
      <c r="AG100" s="23">
        <f>VLOOKUP(A:A,进销存报表10.16!A:J,10,0)</f>
        <v>11</v>
      </c>
      <c r="AH100" s="23">
        <f>VLOOKUP(A:A,进销存报表10.16!A:K,11,0)</f>
        <v>6</v>
      </c>
      <c r="AI100" s="23" t="s">
        <v>239</v>
      </c>
      <c r="AJ100" s="23">
        <v>0</v>
      </c>
      <c r="AK100" s="23" t="s">
        <v>239</v>
      </c>
      <c r="AL100" s="26">
        <v>0.333333333</v>
      </c>
      <c r="AM100" s="32" t="e">
        <f t="shared" si="2"/>
        <v>#VALUE!</v>
      </c>
      <c r="AN100" s="44" t="e">
        <f t="shared" si="3"/>
        <v>#DIV/0!</v>
      </c>
      <c r="AO100" s="2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="8" customFormat="1" customHeight="1" spans="1:53">
      <c r="A101" s="13" t="s">
        <v>352</v>
      </c>
      <c r="B101" s="13" t="s">
        <v>353</v>
      </c>
      <c r="C101" s="13" t="s">
        <v>354</v>
      </c>
      <c r="D101" s="23" t="s">
        <v>43</v>
      </c>
      <c r="E101" s="23" t="s">
        <v>355</v>
      </c>
      <c r="F101" s="23" t="s">
        <v>344</v>
      </c>
      <c r="G101" s="23" t="s">
        <v>239</v>
      </c>
      <c r="H101" s="43" t="s">
        <v>48</v>
      </c>
      <c r="I101" s="23" t="s">
        <v>345</v>
      </c>
      <c r="J101" s="23">
        <v>34.99</v>
      </c>
      <c r="K101" s="23">
        <v>23.6</v>
      </c>
      <c r="L101" s="23"/>
      <c r="M101" s="23"/>
      <c r="N101" s="23"/>
      <c r="O101" s="23" t="s">
        <v>239</v>
      </c>
      <c r="P101" s="23" t="s">
        <v>239</v>
      </c>
      <c r="Q101" s="23" t="s">
        <v>239</v>
      </c>
      <c r="R101" s="23" t="s">
        <v>239</v>
      </c>
      <c r="S101" s="23">
        <v>0</v>
      </c>
      <c r="T101" s="23">
        <v>4</v>
      </c>
      <c r="U101" s="23">
        <v>0</v>
      </c>
      <c r="V101" s="32">
        <v>0</v>
      </c>
      <c r="W101" s="32">
        <v>0.205530422</v>
      </c>
      <c r="X101" s="32">
        <v>0.205528411</v>
      </c>
      <c r="Y101" s="32">
        <v>0</v>
      </c>
      <c r="Z101" s="32">
        <v>0.052631579</v>
      </c>
      <c r="AA101" s="32">
        <v>0.060243584</v>
      </c>
      <c r="AB101" s="32">
        <v>0.222222222</v>
      </c>
      <c r="AC101" s="32">
        <v>0</v>
      </c>
      <c r="AD101" s="23">
        <f>VLOOKUP(B:B,库存明细报表10.16!L:P,5,0)</f>
        <v>0</v>
      </c>
      <c r="AE101" s="23">
        <f>VLOOKUP(B:B,库存明细报表10.16!L:Q,6,0)</f>
        <v>0</v>
      </c>
      <c r="AF101" s="23">
        <f>VLOOKUP(B:B,库存明细报表10.16!L:T,9,0)</f>
        <v>16</v>
      </c>
      <c r="AG101" s="23">
        <f>VLOOKUP(A:A,进销存报表10.16!A:J,10,0)</f>
        <v>8</v>
      </c>
      <c r="AH101" s="23">
        <f>VLOOKUP(A:A,进销存报表10.16!A:K,11,0)</f>
        <v>7</v>
      </c>
      <c r="AI101" s="23">
        <v>98.68</v>
      </c>
      <c r="AJ101" s="23">
        <v>69.8</v>
      </c>
      <c r="AK101" s="23" t="s">
        <v>239</v>
      </c>
      <c r="AL101" s="26">
        <v>0.666666667</v>
      </c>
      <c r="AM101" s="32" t="e">
        <f t="shared" si="2"/>
        <v>#VALUE!</v>
      </c>
      <c r="AN101" s="44">
        <f t="shared" si="3"/>
        <v>0.00955109838108882</v>
      </c>
      <c r="AO101" s="2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="8" customFormat="1" customHeight="1" spans="1:53">
      <c r="A102" s="13" t="s">
        <v>356</v>
      </c>
      <c r="B102" s="13" t="s">
        <v>357</v>
      </c>
      <c r="C102" s="13" t="s">
        <v>358</v>
      </c>
      <c r="D102" s="23" t="s">
        <v>43</v>
      </c>
      <c r="E102" s="23" t="s">
        <v>343</v>
      </c>
      <c r="F102" s="23" t="s">
        <v>344</v>
      </c>
      <c r="G102" s="23" t="s">
        <v>239</v>
      </c>
      <c r="H102" s="43" t="s">
        <v>46</v>
      </c>
      <c r="I102" s="23" t="s">
        <v>345</v>
      </c>
      <c r="J102" s="23">
        <v>29.99</v>
      </c>
      <c r="K102" s="23">
        <v>21.09</v>
      </c>
      <c r="L102" s="23"/>
      <c r="M102" s="23"/>
      <c r="N102" s="23"/>
      <c r="O102" s="23" t="s">
        <v>239</v>
      </c>
      <c r="P102" s="23" t="s">
        <v>239</v>
      </c>
      <c r="Q102" s="23" t="s">
        <v>239</v>
      </c>
      <c r="R102" s="23" t="s">
        <v>239</v>
      </c>
      <c r="S102" s="23">
        <v>0</v>
      </c>
      <c r="T102" s="23">
        <v>1</v>
      </c>
      <c r="U102" s="23">
        <v>0</v>
      </c>
      <c r="V102" s="32">
        <v>0</v>
      </c>
      <c r="W102" s="32">
        <v>-0.005952373</v>
      </c>
      <c r="X102" s="32">
        <v>0.015053733</v>
      </c>
      <c r="Y102" s="32">
        <v>0</v>
      </c>
      <c r="Z102" s="32">
        <v>0.170085043</v>
      </c>
      <c r="AA102" s="32">
        <v>0.126563282</v>
      </c>
      <c r="AB102" s="32">
        <v>0.029411765</v>
      </c>
      <c r="AC102" s="32">
        <v>0.142842124</v>
      </c>
      <c r="AD102" s="23">
        <f>VLOOKUP(B:B,库存明细报表10.16!L:P,5,0)</f>
        <v>0</v>
      </c>
      <c r="AE102" s="23">
        <f>VLOOKUP(B:B,库存明细报表10.16!L:Q,6,0)</f>
        <v>0</v>
      </c>
      <c r="AF102" s="23">
        <f>VLOOKUP(B:B,库存明细报表10.16!L:T,9,0)</f>
        <v>15</v>
      </c>
      <c r="AG102" s="23">
        <f>VLOOKUP(A:A,进销存报表10.16!A:J,10,0)</f>
        <v>14</v>
      </c>
      <c r="AH102" s="23">
        <f>VLOOKUP(A:A,进销存报表10.16!A:K,11,0)</f>
        <v>14</v>
      </c>
      <c r="AI102" s="23">
        <v>54.89</v>
      </c>
      <c r="AJ102" s="23">
        <v>38.12</v>
      </c>
      <c r="AK102" s="23" t="s">
        <v>239</v>
      </c>
      <c r="AL102" s="26">
        <v>0.333333333</v>
      </c>
      <c r="AM102" s="32" t="e">
        <f t="shared" si="2"/>
        <v>#VALUE!</v>
      </c>
      <c r="AN102" s="44">
        <f t="shared" si="3"/>
        <v>0.00874431618572928</v>
      </c>
      <c r="AO102" s="2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</row>
    <row r="103" s="8" customFormat="1" customHeight="1" spans="1:53">
      <c r="A103" s="13" t="s">
        <v>359</v>
      </c>
      <c r="B103" s="13" t="s">
        <v>360</v>
      </c>
      <c r="C103" s="13" t="s">
        <v>361</v>
      </c>
      <c r="D103" s="23" t="s">
        <v>43</v>
      </c>
      <c r="E103" s="23" t="s">
        <v>355</v>
      </c>
      <c r="F103" s="23" t="s">
        <v>344</v>
      </c>
      <c r="G103" s="23" t="s">
        <v>239</v>
      </c>
      <c r="H103" s="43" t="s">
        <v>288</v>
      </c>
      <c r="I103" s="23" t="s">
        <v>345</v>
      </c>
      <c r="J103" s="23">
        <v>35.99</v>
      </c>
      <c r="K103" s="23">
        <v>24.74</v>
      </c>
      <c r="L103" s="23"/>
      <c r="M103" s="23"/>
      <c r="N103" s="23"/>
      <c r="O103" s="23" t="s">
        <v>239</v>
      </c>
      <c r="P103" s="23" t="s">
        <v>239</v>
      </c>
      <c r="Q103" s="23" t="s">
        <v>239</v>
      </c>
      <c r="R103" s="23" t="s">
        <v>239</v>
      </c>
      <c r="S103" s="23">
        <v>0</v>
      </c>
      <c r="T103" s="23">
        <v>0</v>
      </c>
      <c r="U103" s="23">
        <v>0</v>
      </c>
      <c r="V103" s="32">
        <v>0</v>
      </c>
      <c r="W103" s="32">
        <v>0</v>
      </c>
      <c r="X103" s="32">
        <v>0</v>
      </c>
      <c r="Y103" s="32">
        <v>0</v>
      </c>
      <c r="Z103" s="32" t="s">
        <v>69</v>
      </c>
      <c r="AA103" s="32" t="s">
        <v>69</v>
      </c>
      <c r="AB103" s="32">
        <v>0</v>
      </c>
      <c r="AC103" s="32">
        <v>0</v>
      </c>
      <c r="AD103" s="23">
        <f>VLOOKUP(B:B,库存明细报表10.16!L:P,5,0)</f>
        <v>0</v>
      </c>
      <c r="AE103" s="23">
        <f>VLOOKUP(B:B,库存明细报表10.16!L:Q,6,0)</f>
        <v>0</v>
      </c>
      <c r="AF103" s="23">
        <f>VLOOKUP(B:B,库存明细报表10.16!L:T,9,0)</f>
        <v>18</v>
      </c>
      <c r="AG103" s="23">
        <f>VLOOKUP(A:A,进销存报表10.16!A:J,10,0)</f>
        <v>15</v>
      </c>
      <c r="AH103" s="23">
        <f>VLOOKUP(A:A,进销存报表10.16!A:K,11,0)</f>
        <v>7</v>
      </c>
      <c r="AI103" s="23">
        <v>65.62</v>
      </c>
      <c r="AJ103" s="23">
        <v>56.97</v>
      </c>
      <c r="AK103" s="23" t="s">
        <v>239</v>
      </c>
      <c r="AL103" s="26">
        <v>0</v>
      </c>
      <c r="AM103" s="32" t="e">
        <f t="shared" si="2"/>
        <v>#VALUE!</v>
      </c>
      <c r="AN103" s="44">
        <f t="shared" si="3"/>
        <v>0</v>
      </c>
      <c r="AO103" s="2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</row>
    <row r="104" s="8" customFormat="1" customHeight="1" spans="1:53">
      <c r="A104" s="13" t="s">
        <v>362</v>
      </c>
      <c r="B104" s="13" t="s">
        <v>363</v>
      </c>
      <c r="C104" s="13" t="s">
        <v>364</v>
      </c>
      <c r="D104" s="23" t="s">
        <v>43</v>
      </c>
      <c r="E104" s="23" t="s">
        <v>355</v>
      </c>
      <c r="F104" s="23" t="s">
        <v>344</v>
      </c>
      <c r="G104" s="23" t="s">
        <v>239</v>
      </c>
      <c r="H104" s="43" t="s">
        <v>288</v>
      </c>
      <c r="I104" s="23" t="s">
        <v>345</v>
      </c>
      <c r="J104" s="23">
        <v>31.99</v>
      </c>
      <c r="K104" s="23">
        <v>21.64</v>
      </c>
      <c r="L104" s="23"/>
      <c r="M104" s="23"/>
      <c r="N104" s="23"/>
      <c r="O104" s="23" t="s">
        <v>239</v>
      </c>
      <c r="P104" s="23" t="s">
        <v>239</v>
      </c>
      <c r="Q104" s="23" t="s">
        <v>239</v>
      </c>
      <c r="R104" s="23" t="s">
        <v>239</v>
      </c>
      <c r="S104" s="23">
        <v>0</v>
      </c>
      <c r="T104" s="23">
        <v>0</v>
      </c>
      <c r="U104" s="23">
        <v>0</v>
      </c>
      <c r="V104" s="32">
        <v>0</v>
      </c>
      <c r="W104" s="32">
        <v>0</v>
      </c>
      <c r="X104" s="32" t="s">
        <v>239</v>
      </c>
      <c r="Y104" s="32" t="s">
        <v>239</v>
      </c>
      <c r="Z104" s="32" t="s">
        <v>239</v>
      </c>
      <c r="AA104" s="32" t="s">
        <v>239</v>
      </c>
      <c r="AB104" s="32">
        <v>0</v>
      </c>
      <c r="AC104" s="32" t="s">
        <v>69</v>
      </c>
      <c r="AD104" s="23">
        <f>VLOOKUP(B:B,库存明细报表10.16!L:P,5,0)</f>
        <v>0</v>
      </c>
      <c r="AE104" s="23">
        <f>VLOOKUP(B:B,库存明细报表10.16!L:Q,6,0)</f>
        <v>0</v>
      </c>
      <c r="AF104" s="23">
        <f>VLOOKUP(B:B,库存明细报表10.16!L:T,9,0)</f>
        <v>24</v>
      </c>
      <c r="AG104" s="23">
        <f>VLOOKUP(A:A,进销存报表10.16!A:J,10,0)</f>
        <v>12</v>
      </c>
      <c r="AH104" s="23">
        <f>VLOOKUP(A:A,进销存报表10.16!A:K,11,0)</f>
        <v>4</v>
      </c>
      <c r="AI104" s="23">
        <v>56.91</v>
      </c>
      <c r="AJ104" s="23">
        <v>40.81</v>
      </c>
      <c r="AK104" s="23" t="s">
        <v>239</v>
      </c>
      <c r="AL104" s="26">
        <v>0</v>
      </c>
      <c r="AM104" s="32" t="e">
        <f t="shared" si="2"/>
        <v>#VALUE!</v>
      </c>
      <c r="AN104" s="44">
        <f t="shared" si="3"/>
        <v>0</v>
      </c>
      <c r="AO104" s="2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="8" customFormat="1" customHeight="1" spans="1:53">
      <c r="A105" s="13" t="s">
        <v>365</v>
      </c>
      <c r="B105" s="13" t="s">
        <v>366</v>
      </c>
      <c r="C105" s="13" t="s">
        <v>367</v>
      </c>
      <c r="D105" s="23" t="s">
        <v>43</v>
      </c>
      <c r="E105" s="23" t="s">
        <v>343</v>
      </c>
      <c r="F105" s="23" t="s">
        <v>344</v>
      </c>
      <c r="G105" s="23" t="s">
        <v>239</v>
      </c>
      <c r="H105" s="43" t="s">
        <v>47</v>
      </c>
      <c r="I105" s="23" t="s">
        <v>345</v>
      </c>
      <c r="J105" s="23">
        <v>39.99</v>
      </c>
      <c r="K105" s="23">
        <v>27.75</v>
      </c>
      <c r="L105" s="23"/>
      <c r="M105" s="23"/>
      <c r="N105" s="23"/>
      <c r="O105" s="23">
        <v>0</v>
      </c>
      <c r="P105" s="23">
        <v>0</v>
      </c>
      <c r="Q105" s="23">
        <v>0</v>
      </c>
      <c r="R105" s="23">
        <v>1</v>
      </c>
      <c r="S105" s="23">
        <v>6</v>
      </c>
      <c r="T105" s="23">
        <v>12</v>
      </c>
      <c r="U105" s="23">
        <v>2</v>
      </c>
      <c r="V105" s="32">
        <v>0</v>
      </c>
      <c r="W105" s="32">
        <v>0.336359356</v>
      </c>
      <c r="X105" s="32">
        <v>0.337343588</v>
      </c>
      <c r="Y105" s="32">
        <v>0</v>
      </c>
      <c r="Z105" s="32">
        <v>0.019513874</v>
      </c>
      <c r="AA105" s="32">
        <v>0.075548674</v>
      </c>
      <c r="AB105" s="32">
        <v>0.141176471</v>
      </c>
      <c r="AC105" s="32">
        <v>0.058817554</v>
      </c>
      <c r="AD105" s="23" t="e">
        <f>VLOOKUP(B:B,库存明细报表10.16!L:P,5,0)</f>
        <v>#N/A</v>
      </c>
      <c r="AE105" s="23" t="e">
        <f>VLOOKUP(B:B,库存明细报表10.16!L:Q,6,0)</f>
        <v>#N/A</v>
      </c>
      <c r="AF105" s="23" t="e">
        <f>VLOOKUP(B:B,库存明细报表10.16!L:T,9,0)</f>
        <v>#N/A</v>
      </c>
      <c r="AG105" s="23">
        <f>VLOOKUP(A:A,进销存报表10.16!A:J,10,0)</f>
        <v>0</v>
      </c>
      <c r="AH105" s="23">
        <f>VLOOKUP(A:A,进销存报表10.16!A:K,11,0)</f>
        <v>4</v>
      </c>
      <c r="AI105" s="23">
        <v>44.82</v>
      </c>
      <c r="AJ105" s="23">
        <v>27.49</v>
      </c>
      <c r="AK105" s="23" t="s">
        <v>239</v>
      </c>
      <c r="AL105" s="26">
        <v>5.333333333</v>
      </c>
      <c r="AM105" s="32" t="e">
        <f t="shared" si="2"/>
        <v>#VALUE!</v>
      </c>
      <c r="AN105" s="44">
        <f t="shared" si="3"/>
        <v>0.194009942997454</v>
      </c>
      <c r="AO105" s="2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="8" customFormat="1" customHeight="1" spans="1:53">
      <c r="A106" s="13" t="s">
        <v>368</v>
      </c>
      <c r="B106" s="13" t="s">
        <v>369</v>
      </c>
      <c r="C106" s="13" t="s">
        <v>370</v>
      </c>
      <c r="D106" s="23" t="s">
        <v>43</v>
      </c>
      <c r="E106" s="23" t="s">
        <v>343</v>
      </c>
      <c r="F106" s="23" t="s">
        <v>344</v>
      </c>
      <c r="G106" s="23" t="s">
        <v>239</v>
      </c>
      <c r="H106" s="43" t="s">
        <v>46</v>
      </c>
      <c r="I106" s="23" t="s">
        <v>345</v>
      </c>
      <c r="J106" s="23">
        <v>26.99</v>
      </c>
      <c r="K106" s="23">
        <v>17.95</v>
      </c>
      <c r="L106" s="23"/>
      <c r="M106" s="23"/>
      <c r="N106" s="23"/>
      <c r="O106" s="23">
        <v>0</v>
      </c>
      <c r="P106" s="23">
        <v>0</v>
      </c>
      <c r="Q106" s="23">
        <v>0</v>
      </c>
      <c r="R106" s="23">
        <v>0</v>
      </c>
      <c r="S106" s="23">
        <v>3</v>
      </c>
      <c r="T106" s="23">
        <v>8</v>
      </c>
      <c r="U106" s="23">
        <v>2</v>
      </c>
      <c r="V106" s="32">
        <v>0</v>
      </c>
      <c r="W106" s="32">
        <v>0.172671863</v>
      </c>
      <c r="X106" s="32">
        <v>0.111109898</v>
      </c>
      <c r="Y106" s="32">
        <v>0</v>
      </c>
      <c r="Z106" s="32">
        <v>0.122178988</v>
      </c>
      <c r="AA106" s="32">
        <v>0.13307393</v>
      </c>
      <c r="AB106" s="32">
        <v>0.079207921</v>
      </c>
      <c r="AC106" s="32">
        <v>0.1249876</v>
      </c>
      <c r="AD106" s="23">
        <f>VLOOKUP(B:B,库存明细报表10.16!L:P,5,0)</f>
        <v>0</v>
      </c>
      <c r="AE106" s="23">
        <f>VLOOKUP(B:B,库存明细报表10.16!L:Q,6,0)</f>
        <v>0</v>
      </c>
      <c r="AF106" s="23">
        <f>VLOOKUP(B:B,库存明细报表10.16!L:T,9,0)</f>
        <v>8</v>
      </c>
      <c r="AG106" s="23">
        <f>VLOOKUP(A:A,进销存报表10.16!A:J,10,0)</f>
        <v>1</v>
      </c>
      <c r="AH106" s="23">
        <f>VLOOKUP(A:A,进销存报表10.16!A:K,11,0)</f>
        <v>9</v>
      </c>
      <c r="AI106" s="23">
        <v>29.49</v>
      </c>
      <c r="AJ106" s="23">
        <v>28.14</v>
      </c>
      <c r="AK106" s="23" t="s">
        <v>239</v>
      </c>
      <c r="AL106" s="26">
        <v>2.666666667</v>
      </c>
      <c r="AM106" s="32" t="e">
        <f t="shared" si="2"/>
        <v>#VALUE!</v>
      </c>
      <c r="AN106" s="44">
        <f t="shared" si="3"/>
        <v>0.094764273880597</v>
      </c>
      <c r="AO106" s="2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="8" customFormat="1" customHeight="1" spans="1:53">
      <c r="A107" s="13" t="s">
        <v>371</v>
      </c>
      <c r="B107" s="13" t="s">
        <v>372</v>
      </c>
      <c r="C107" s="13" t="s">
        <v>373</v>
      </c>
      <c r="D107" s="23" t="s">
        <v>43</v>
      </c>
      <c r="E107" s="23" t="s">
        <v>355</v>
      </c>
      <c r="F107" s="23" t="s">
        <v>344</v>
      </c>
      <c r="G107" s="23" t="s">
        <v>239</v>
      </c>
      <c r="H107" s="43" t="s">
        <v>48</v>
      </c>
      <c r="I107" s="23" t="s">
        <v>345</v>
      </c>
      <c r="J107" s="23">
        <v>123.99</v>
      </c>
      <c r="K107" s="23">
        <v>91.19</v>
      </c>
      <c r="L107" s="23"/>
      <c r="M107" s="23"/>
      <c r="N107" s="23"/>
      <c r="O107" s="23" t="s">
        <v>239</v>
      </c>
      <c r="P107" s="23" t="s">
        <v>239</v>
      </c>
      <c r="Q107" s="23" t="s">
        <v>239</v>
      </c>
      <c r="R107" s="23" t="s">
        <v>239</v>
      </c>
      <c r="S107" s="23">
        <v>0</v>
      </c>
      <c r="T107" s="23">
        <v>2</v>
      </c>
      <c r="U107" s="23">
        <v>2</v>
      </c>
      <c r="V107" s="32">
        <v>0</v>
      </c>
      <c r="W107" s="32">
        <v>0.28693345</v>
      </c>
      <c r="X107" s="32">
        <v>0.286932705</v>
      </c>
      <c r="Y107" s="32">
        <v>0</v>
      </c>
      <c r="Z107" s="32">
        <v>0.019287436</v>
      </c>
      <c r="AA107" s="32">
        <v>0</v>
      </c>
      <c r="AB107" s="32">
        <v>0.117647059</v>
      </c>
      <c r="AC107" s="32">
        <v>0.249970691</v>
      </c>
      <c r="AD107" s="23">
        <f>VLOOKUP(B:B,库存明细报表10.16!L:P,5,0)</f>
        <v>0</v>
      </c>
      <c r="AE107" s="23">
        <f>VLOOKUP(B:B,库存明细报表10.16!L:Q,6,0)</f>
        <v>0</v>
      </c>
      <c r="AF107" s="23">
        <f>VLOOKUP(B:B,库存明细报表10.16!L:T,9,0)</f>
        <v>4</v>
      </c>
      <c r="AG107" s="23">
        <f>VLOOKUP(A:A,进销存报表10.16!A:J,10,0)</f>
        <v>4</v>
      </c>
      <c r="AH107" s="23">
        <f>VLOOKUP(A:A,进销存报表10.16!A:K,11,0)</f>
        <v>24</v>
      </c>
      <c r="AI107" s="23">
        <v>144.39</v>
      </c>
      <c r="AJ107" s="23">
        <v>81.81</v>
      </c>
      <c r="AK107" s="23" t="s">
        <v>239</v>
      </c>
      <c r="AL107" s="26">
        <v>0.333333333</v>
      </c>
      <c r="AM107" s="32" t="e">
        <f t="shared" si="2"/>
        <v>#VALUE!</v>
      </c>
      <c r="AN107" s="44">
        <f t="shared" si="3"/>
        <v>0.00407448151815182</v>
      </c>
      <c r="AO107" s="2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="8" customFormat="1" customHeight="1" spans="1:53">
      <c r="A108" s="13" t="s">
        <v>374</v>
      </c>
      <c r="B108" s="13" t="s">
        <v>375</v>
      </c>
      <c r="C108" s="13" t="s">
        <v>376</v>
      </c>
      <c r="D108" s="23" t="s">
        <v>43</v>
      </c>
      <c r="E108" s="23" t="s">
        <v>343</v>
      </c>
      <c r="F108" s="23" t="s">
        <v>344</v>
      </c>
      <c r="G108" s="23" t="s">
        <v>239</v>
      </c>
      <c r="H108" s="43" t="s">
        <v>48</v>
      </c>
      <c r="I108" s="23" t="s">
        <v>345</v>
      </c>
      <c r="J108" s="23">
        <v>59.99</v>
      </c>
      <c r="K108" s="23">
        <v>42.87</v>
      </c>
      <c r="L108" s="23"/>
      <c r="M108" s="23"/>
      <c r="N108" s="23"/>
      <c r="O108" s="23" t="s">
        <v>239</v>
      </c>
      <c r="P108" s="23" t="s">
        <v>239</v>
      </c>
      <c r="Q108" s="23" t="s">
        <v>239</v>
      </c>
      <c r="R108" s="23" t="s">
        <v>239</v>
      </c>
      <c r="S108" s="23">
        <v>0</v>
      </c>
      <c r="T108" s="23">
        <v>2</v>
      </c>
      <c r="U108" s="23">
        <v>2</v>
      </c>
      <c r="V108" s="32">
        <v>0</v>
      </c>
      <c r="W108" s="32">
        <v>0.244843061</v>
      </c>
      <c r="X108" s="32">
        <v>0.249343214</v>
      </c>
      <c r="Y108" s="32">
        <v>0</v>
      </c>
      <c r="Z108" s="32">
        <v>0.032006401</v>
      </c>
      <c r="AA108" s="32">
        <v>0.049309862</v>
      </c>
      <c r="AB108" s="32">
        <v>0.058823529</v>
      </c>
      <c r="AC108" s="32">
        <v>0</v>
      </c>
      <c r="AD108" s="23" t="e">
        <f>VLOOKUP(B:B,库存明细报表10.16!L:P,5,0)</f>
        <v>#N/A</v>
      </c>
      <c r="AE108" s="23" t="e">
        <f>VLOOKUP(B:B,库存明细报表10.16!L:Q,6,0)</f>
        <v>#N/A</v>
      </c>
      <c r="AF108" s="23" t="e">
        <f>VLOOKUP(B:B,库存明细报表10.16!L:T,9,0)</f>
        <v>#N/A</v>
      </c>
      <c r="AG108" s="23">
        <f>VLOOKUP(A:A,进销存报表10.16!A:J,10,0)</f>
        <v>21</v>
      </c>
      <c r="AH108" s="23">
        <f>VLOOKUP(A:A,进销存报表10.16!A:K,11,0)</f>
        <v>12</v>
      </c>
      <c r="AI108" s="23">
        <v>45.71</v>
      </c>
      <c r="AJ108" s="23">
        <v>13.73</v>
      </c>
      <c r="AK108" s="23" t="s">
        <v>239</v>
      </c>
      <c r="AL108" s="26">
        <v>0.666666667</v>
      </c>
      <c r="AM108" s="32" t="e">
        <f t="shared" si="2"/>
        <v>#VALUE!</v>
      </c>
      <c r="AN108" s="44">
        <f t="shared" si="3"/>
        <v>0.0485554746540422</v>
      </c>
      <c r="AO108" s="2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</row>
    <row r="109" s="8" customFormat="1" customHeight="1" spans="1:53">
      <c r="A109" s="13" t="s">
        <v>377</v>
      </c>
      <c r="B109" s="13" t="s">
        <v>378</v>
      </c>
      <c r="C109" s="13" t="s">
        <v>379</v>
      </c>
      <c r="D109" s="23" t="s">
        <v>43</v>
      </c>
      <c r="E109" s="23" t="s">
        <v>44</v>
      </c>
      <c r="F109" s="23" t="s">
        <v>45</v>
      </c>
      <c r="G109" s="23" t="s">
        <v>239</v>
      </c>
      <c r="H109" s="43" t="s">
        <v>288</v>
      </c>
      <c r="I109" s="23" t="s">
        <v>47</v>
      </c>
      <c r="J109" s="23">
        <v>34.99</v>
      </c>
      <c r="K109" s="23">
        <v>25.99</v>
      </c>
      <c r="L109" s="23">
        <v>31.48</v>
      </c>
      <c r="M109" s="23">
        <v>28.34</v>
      </c>
      <c r="N109" s="23">
        <v>34.63</v>
      </c>
      <c r="O109" s="23" t="s">
        <v>239</v>
      </c>
      <c r="P109" s="23" t="s">
        <v>239</v>
      </c>
      <c r="Q109" s="23" t="s">
        <v>239</v>
      </c>
      <c r="R109" s="23" t="s">
        <v>239</v>
      </c>
      <c r="S109" s="23">
        <v>0</v>
      </c>
      <c r="T109" s="23">
        <v>0</v>
      </c>
      <c r="U109" s="23">
        <v>0</v>
      </c>
      <c r="V109" s="32">
        <v>0</v>
      </c>
      <c r="W109" s="32">
        <v>0</v>
      </c>
      <c r="X109" s="32" t="s">
        <v>239</v>
      </c>
      <c r="Y109" s="32" t="s">
        <v>239</v>
      </c>
      <c r="Z109" s="32" t="s">
        <v>239</v>
      </c>
      <c r="AA109" s="32" t="s">
        <v>239</v>
      </c>
      <c r="AB109" s="32">
        <v>0</v>
      </c>
      <c r="AC109" s="32" t="s">
        <v>69</v>
      </c>
      <c r="AD109" s="23">
        <f>VLOOKUP(B:B,库存明细报表10.16!L:P,5,0)</f>
        <v>0</v>
      </c>
      <c r="AE109" s="23">
        <f>VLOOKUP(B:B,库存明细报表10.16!L:Q,6,0)</f>
        <v>0</v>
      </c>
      <c r="AF109" s="23">
        <f>VLOOKUP(B:B,库存明细报表10.16!L:T,9,0)</f>
        <v>15</v>
      </c>
      <c r="AG109" s="23">
        <f>VLOOKUP(A:A,进销存报表10.16!A:J,10,0)</f>
        <v>9</v>
      </c>
      <c r="AH109" s="23">
        <f>VLOOKUP(A:A,进销存报表10.16!A:K,11,0)</f>
        <v>11</v>
      </c>
      <c r="AI109" s="23">
        <v>13.76</v>
      </c>
      <c r="AJ109" s="23">
        <v>7.88</v>
      </c>
      <c r="AK109" s="23" t="s">
        <v>239</v>
      </c>
      <c r="AL109" s="26">
        <v>0</v>
      </c>
      <c r="AM109" s="32" t="e">
        <f t="shared" si="2"/>
        <v>#VALUE!</v>
      </c>
      <c r="AN109" s="44">
        <f t="shared" si="3"/>
        <v>0</v>
      </c>
      <c r="AO109" s="2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</row>
    <row r="110" s="8" customFormat="1" customHeight="1" spans="1:53">
      <c r="A110" s="13" t="s">
        <v>380</v>
      </c>
      <c r="B110" s="13" t="s">
        <v>381</v>
      </c>
      <c r="C110" s="13" t="s">
        <v>382</v>
      </c>
      <c r="D110" s="23" t="s">
        <v>43</v>
      </c>
      <c r="E110" s="23" t="s">
        <v>355</v>
      </c>
      <c r="F110" s="23" t="s">
        <v>344</v>
      </c>
      <c r="G110" s="23" t="s">
        <v>239</v>
      </c>
      <c r="H110" s="43" t="s">
        <v>46</v>
      </c>
      <c r="I110" s="23" t="s">
        <v>345</v>
      </c>
      <c r="J110" s="23">
        <v>42.99</v>
      </c>
      <c r="K110" s="23">
        <v>30.79</v>
      </c>
      <c r="L110" s="23"/>
      <c r="M110" s="23"/>
      <c r="N110" s="23"/>
      <c r="O110" s="23" t="s">
        <v>239</v>
      </c>
      <c r="P110" s="23" t="s">
        <v>239</v>
      </c>
      <c r="Q110" s="23" t="s">
        <v>239</v>
      </c>
      <c r="R110" s="23" t="s">
        <v>239</v>
      </c>
      <c r="S110" s="23">
        <v>1</v>
      </c>
      <c r="T110" s="23">
        <v>4</v>
      </c>
      <c r="U110" s="23">
        <v>3</v>
      </c>
      <c r="V110" s="32">
        <v>0</v>
      </c>
      <c r="W110" s="32">
        <v>0.19699777</v>
      </c>
      <c r="X110" s="32">
        <v>0.196996834</v>
      </c>
      <c r="Y110" s="32">
        <v>0</v>
      </c>
      <c r="Z110" s="32">
        <v>0.025399627</v>
      </c>
      <c r="AA110" s="32">
        <v>0.10865941</v>
      </c>
      <c r="AB110" s="32">
        <v>0.142857143</v>
      </c>
      <c r="AC110" s="32">
        <v>0</v>
      </c>
      <c r="AD110" s="23" t="e">
        <f>VLOOKUP(B:B,库存明细报表10.16!L:P,5,0)</f>
        <v>#N/A</v>
      </c>
      <c r="AE110" s="23" t="e">
        <f>VLOOKUP(B:B,库存明细报表10.16!L:Q,6,0)</f>
        <v>#N/A</v>
      </c>
      <c r="AF110" s="23" t="e">
        <f>VLOOKUP(B:B,库存明细报表10.16!L:T,9,0)</f>
        <v>#N/A</v>
      </c>
      <c r="AG110" s="23">
        <f>VLOOKUP(A:A,进销存报表10.16!A:J,10,0)</f>
        <v>19</v>
      </c>
      <c r="AH110" s="23">
        <f>VLOOKUP(A:A,进销存报表10.16!A:K,11,0)</f>
        <v>19</v>
      </c>
      <c r="AI110" s="23">
        <v>70.51</v>
      </c>
      <c r="AJ110" s="23">
        <v>43.74</v>
      </c>
      <c r="AK110" s="23" t="s">
        <v>239</v>
      </c>
      <c r="AL110" s="26">
        <v>1</v>
      </c>
      <c r="AM110" s="32" t="e">
        <f t="shared" si="2"/>
        <v>#VALUE!</v>
      </c>
      <c r="AN110" s="44">
        <f t="shared" si="3"/>
        <v>0.0228623685413809</v>
      </c>
      <c r="AO110" s="2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="8" customFormat="1" customHeight="1" spans="1:53">
      <c r="A111" s="13" t="s">
        <v>383</v>
      </c>
      <c r="B111" s="13" t="s">
        <v>384</v>
      </c>
      <c r="C111" s="13" t="s">
        <v>385</v>
      </c>
      <c r="D111" s="23" t="s">
        <v>43</v>
      </c>
      <c r="E111" s="23" t="s">
        <v>343</v>
      </c>
      <c r="F111" s="23" t="s">
        <v>344</v>
      </c>
      <c r="G111" s="23" t="s">
        <v>239</v>
      </c>
      <c r="H111" s="43" t="s">
        <v>288</v>
      </c>
      <c r="I111" s="23" t="s">
        <v>345</v>
      </c>
      <c r="J111" s="23">
        <v>32.99</v>
      </c>
      <c r="K111" s="23">
        <v>23.18</v>
      </c>
      <c r="L111" s="23"/>
      <c r="M111" s="23"/>
      <c r="N111" s="23"/>
      <c r="O111" s="23" t="s">
        <v>239</v>
      </c>
      <c r="P111" s="23" t="s">
        <v>239</v>
      </c>
      <c r="Q111" s="23" t="s">
        <v>239</v>
      </c>
      <c r="R111" s="23" t="s">
        <v>239</v>
      </c>
      <c r="S111" s="23">
        <v>0</v>
      </c>
      <c r="T111" s="23">
        <v>0</v>
      </c>
      <c r="U111" s="23">
        <v>0</v>
      </c>
      <c r="V111" s="32">
        <v>0</v>
      </c>
      <c r="W111" s="32">
        <v>0</v>
      </c>
      <c r="X111" s="32">
        <v>0</v>
      </c>
      <c r="Y111" s="32">
        <v>0</v>
      </c>
      <c r="Z111" s="32" t="s">
        <v>69</v>
      </c>
      <c r="AA111" s="32" t="s">
        <v>69</v>
      </c>
      <c r="AB111" s="32">
        <v>0</v>
      </c>
      <c r="AC111" s="32">
        <v>0</v>
      </c>
      <c r="AD111" s="23" t="e">
        <f>VLOOKUP(B:B,库存明细报表10.16!L:P,5,0)</f>
        <v>#N/A</v>
      </c>
      <c r="AE111" s="23" t="e">
        <f>VLOOKUP(B:B,库存明细报表10.16!L:Q,6,0)</f>
        <v>#N/A</v>
      </c>
      <c r="AF111" s="23" t="e">
        <f>VLOOKUP(B:B,库存明细报表10.16!L:T,9,0)</f>
        <v>#N/A</v>
      </c>
      <c r="AG111" s="23">
        <f>VLOOKUP(A:A,进销存报表10.16!A:J,10,0)</f>
        <v>28</v>
      </c>
      <c r="AH111" s="23">
        <f>VLOOKUP(A:A,进销存报表10.16!A:K,11,0)</f>
        <v>0</v>
      </c>
      <c r="AI111" s="23">
        <v>55.08</v>
      </c>
      <c r="AJ111" s="23">
        <v>30.89</v>
      </c>
      <c r="AK111" s="23" t="s">
        <v>239</v>
      </c>
      <c r="AL111" s="26">
        <v>0</v>
      </c>
      <c r="AM111" s="32" t="e">
        <f t="shared" si="2"/>
        <v>#VALUE!</v>
      </c>
      <c r="AN111" s="44">
        <f t="shared" si="3"/>
        <v>0</v>
      </c>
      <c r="AO111" s="2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="8" customFormat="1" customHeight="1" spans="1:53">
      <c r="A112" s="13" t="s">
        <v>386</v>
      </c>
      <c r="B112" s="13" t="s">
        <v>387</v>
      </c>
      <c r="C112" s="13" t="s">
        <v>388</v>
      </c>
      <c r="D112" s="23" t="s">
        <v>43</v>
      </c>
      <c r="E112" s="23" t="s">
        <v>355</v>
      </c>
      <c r="F112" s="23" t="s">
        <v>344</v>
      </c>
      <c r="G112" s="23" t="s">
        <v>239</v>
      </c>
      <c r="H112" s="43" t="s">
        <v>288</v>
      </c>
      <c r="I112" s="23" t="s">
        <v>345</v>
      </c>
      <c r="J112" s="23">
        <v>48.99</v>
      </c>
      <c r="K112" s="23">
        <v>35.2</v>
      </c>
      <c r="L112" s="23"/>
      <c r="M112" s="23"/>
      <c r="N112" s="23"/>
      <c r="O112" s="23" t="s">
        <v>239</v>
      </c>
      <c r="P112" s="23" t="s">
        <v>239</v>
      </c>
      <c r="Q112" s="23" t="s">
        <v>239</v>
      </c>
      <c r="R112" s="23" t="s">
        <v>239</v>
      </c>
      <c r="S112" s="23">
        <v>0</v>
      </c>
      <c r="T112" s="23">
        <v>0</v>
      </c>
      <c r="U112" s="23">
        <v>0</v>
      </c>
      <c r="V112" s="32">
        <v>0</v>
      </c>
      <c r="W112" s="32">
        <v>0</v>
      </c>
      <c r="X112" s="32">
        <v>0</v>
      </c>
      <c r="Y112" s="32">
        <v>0</v>
      </c>
      <c r="Z112" s="32" t="s">
        <v>69</v>
      </c>
      <c r="AA112" s="32" t="s">
        <v>69</v>
      </c>
      <c r="AB112" s="32">
        <v>0</v>
      </c>
      <c r="AC112" s="32">
        <v>0</v>
      </c>
      <c r="AD112" s="23" t="e">
        <f>VLOOKUP(B:B,库存明细报表10.16!L:P,5,0)</f>
        <v>#N/A</v>
      </c>
      <c r="AE112" s="23" t="e">
        <f>VLOOKUP(B:B,库存明细报表10.16!L:Q,6,0)</f>
        <v>#N/A</v>
      </c>
      <c r="AF112" s="23" t="e">
        <f>VLOOKUP(B:B,库存明细报表10.16!L:T,9,0)</f>
        <v>#N/A</v>
      </c>
      <c r="AG112" s="23">
        <f>VLOOKUP(A:A,进销存报表10.16!A:J,10,0)</f>
        <v>20</v>
      </c>
      <c r="AH112" s="23">
        <f>VLOOKUP(A:A,进销存报表10.16!A:K,11,0)</f>
        <v>10</v>
      </c>
      <c r="AI112" s="23">
        <v>32.76</v>
      </c>
      <c r="AJ112" s="23">
        <v>24.68</v>
      </c>
      <c r="AK112" s="23" t="s">
        <v>239</v>
      </c>
      <c r="AL112" s="26">
        <v>0</v>
      </c>
      <c r="AM112" s="32" t="e">
        <f t="shared" si="2"/>
        <v>#VALUE!</v>
      </c>
      <c r="AN112" s="44">
        <f t="shared" si="3"/>
        <v>0</v>
      </c>
      <c r="AO112" s="2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="8" customFormat="1" customHeight="1" spans="1:53">
      <c r="A113" s="13" t="s">
        <v>389</v>
      </c>
      <c r="B113" s="13" t="s">
        <v>390</v>
      </c>
      <c r="C113" s="13" t="s">
        <v>391</v>
      </c>
      <c r="D113" s="23" t="s">
        <v>43</v>
      </c>
      <c r="E113" s="23" t="s">
        <v>343</v>
      </c>
      <c r="F113" s="23" t="s">
        <v>344</v>
      </c>
      <c r="G113" s="23" t="s">
        <v>239</v>
      </c>
      <c r="H113" s="43" t="s">
        <v>46</v>
      </c>
      <c r="I113" s="23" t="s">
        <v>345</v>
      </c>
      <c r="J113" s="23">
        <v>53.99</v>
      </c>
      <c r="K113" s="23">
        <v>38.98</v>
      </c>
      <c r="L113" s="23"/>
      <c r="M113" s="23"/>
      <c r="N113" s="23"/>
      <c r="O113" s="23" t="s">
        <v>239</v>
      </c>
      <c r="P113" s="23" t="s">
        <v>239</v>
      </c>
      <c r="Q113" s="23" t="s">
        <v>239</v>
      </c>
      <c r="R113" s="23" t="s">
        <v>239</v>
      </c>
      <c r="S113" s="23">
        <v>0</v>
      </c>
      <c r="T113" s="23">
        <v>2</v>
      </c>
      <c r="U113" s="23">
        <v>0</v>
      </c>
      <c r="V113" s="32">
        <v>0</v>
      </c>
      <c r="W113" s="32">
        <v>0.156657245</v>
      </c>
      <c r="X113" s="32">
        <v>0.156654821</v>
      </c>
      <c r="Y113" s="32">
        <v>0</v>
      </c>
      <c r="Z113" s="32">
        <v>0.067060696</v>
      </c>
      <c r="AA113" s="32">
        <v>0.104114571</v>
      </c>
      <c r="AB113" s="32">
        <v>0.068965517</v>
      </c>
      <c r="AC113" s="32">
        <v>0.166649141</v>
      </c>
      <c r="AD113" s="23" t="e">
        <f>VLOOKUP(B:B,库存明细报表10.16!L:P,5,0)</f>
        <v>#N/A</v>
      </c>
      <c r="AE113" s="23" t="e">
        <f>VLOOKUP(B:B,库存明细报表10.16!L:Q,6,0)</f>
        <v>#N/A</v>
      </c>
      <c r="AF113" s="23" t="e">
        <f>VLOOKUP(B:B,库存明细报表10.16!L:T,9,0)</f>
        <v>#N/A</v>
      </c>
      <c r="AG113" s="23">
        <f>VLOOKUP(A:A,进销存报表10.16!A:J,10,0)</f>
        <v>22</v>
      </c>
      <c r="AH113" s="23">
        <f>VLOOKUP(A:A,进销存报表10.16!A:K,11,0)</f>
        <v>3</v>
      </c>
      <c r="AI113" s="23">
        <v>44.16</v>
      </c>
      <c r="AJ113" s="23">
        <v>31.44</v>
      </c>
      <c r="AK113" s="23" t="s">
        <v>239</v>
      </c>
      <c r="AL113" s="26">
        <v>0.333333333</v>
      </c>
      <c r="AM113" s="32" t="e">
        <f t="shared" si="2"/>
        <v>#VALUE!</v>
      </c>
      <c r="AN113" s="44">
        <f t="shared" si="3"/>
        <v>0.0106022052480916</v>
      </c>
      <c r="AO113" s="2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="8" customFormat="1" customHeight="1" spans="1:53">
      <c r="A114" s="13" t="s">
        <v>392</v>
      </c>
      <c r="B114" s="13" t="s">
        <v>393</v>
      </c>
      <c r="C114" s="13" t="s">
        <v>394</v>
      </c>
      <c r="D114" s="23" t="s">
        <v>43</v>
      </c>
      <c r="E114" s="23" t="s">
        <v>343</v>
      </c>
      <c r="F114" s="23" t="s">
        <v>344</v>
      </c>
      <c r="G114" s="23" t="s">
        <v>239</v>
      </c>
      <c r="H114" s="43" t="s">
        <v>46</v>
      </c>
      <c r="I114" s="23" t="s">
        <v>345</v>
      </c>
      <c r="J114" s="23">
        <v>99.99</v>
      </c>
      <c r="K114" s="23">
        <v>77.79</v>
      </c>
      <c r="L114" s="23"/>
      <c r="M114" s="23"/>
      <c r="N114" s="23"/>
      <c r="O114" s="23" t="s">
        <v>239</v>
      </c>
      <c r="P114" s="23" t="s">
        <v>239</v>
      </c>
      <c r="Q114" s="23" t="s">
        <v>239</v>
      </c>
      <c r="R114" s="23" t="s">
        <v>239</v>
      </c>
      <c r="S114" s="23">
        <v>1</v>
      </c>
      <c r="T114" s="23">
        <v>3</v>
      </c>
      <c r="U114" s="23">
        <v>1</v>
      </c>
      <c r="V114" s="32">
        <v>0</v>
      </c>
      <c r="W114" s="32">
        <v>0.121596404</v>
      </c>
      <c r="X114" s="32">
        <v>0.078661913</v>
      </c>
      <c r="Y114" s="32">
        <v>0</v>
      </c>
      <c r="Z114" s="32">
        <v>0.050386125</v>
      </c>
      <c r="AA114" s="32">
        <v>0.092606659</v>
      </c>
      <c r="AB114" s="32">
        <v>0.066666667</v>
      </c>
      <c r="AC114" s="32">
        <v>0.117635102</v>
      </c>
      <c r="AD114" s="23" t="e">
        <f>VLOOKUP(B:B,库存明细报表10.16!L:P,5,0)</f>
        <v>#N/A</v>
      </c>
      <c r="AE114" s="23" t="e">
        <f>VLOOKUP(B:B,库存明细报表10.16!L:Q,6,0)</f>
        <v>#N/A</v>
      </c>
      <c r="AF114" s="23" t="e">
        <f>VLOOKUP(B:B,库存明细报表10.16!L:T,9,0)</f>
        <v>#N/A</v>
      </c>
      <c r="AG114" s="23">
        <f>VLOOKUP(A:A,进销存报表10.16!A:J,10,0)</f>
        <v>17</v>
      </c>
      <c r="AH114" s="23">
        <f>VLOOKUP(A:A,进销存报表10.16!A:K,11,0)</f>
        <v>4</v>
      </c>
      <c r="AI114" s="23">
        <v>50.85</v>
      </c>
      <c r="AJ114" s="23">
        <v>39.89</v>
      </c>
      <c r="AK114" s="23" t="s">
        <v>239</v>
      </c>
      <c r="AL114" s="26">
        <v>1</v>
      </c>
      <c r="AM114" s="32" t="e">
        <f t="shared" si="2"/>
        <v>#VALUE!</v>
      </c>
      <c r="AN114" s="44">
        <f t="shared" si="3"/>
        <v>0.0250689395838556</v>
      </c>
      <c r="AO114" s="2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="8" customFormat="1" customHeight="1" spans="1:53">
      <c r="A115" s="13" t="s">
        <v>395</v>
      </c>
      <c r="B115" s="13" t="s">
        <v>396</v>
      </c>
      <c r="C115" s="13" t="s">
        <v>397</v>
      </c>
      <c r="D115" s="23" t="s">
        <v>43</v>
      </c>
      <c r="E115" s="23" t="s">
        <v>343</v>
      </c>
      <c r="F115" s="23" t="s">
        <v>344</v>
      </c>
      <c r="G115" s="23" t="s">
        <v>239</v>
      </c>
      <c r="H115" s="43" t="s">
        <v>46</v>
      </c>
      <c r="I115" s="23" t="s">
        <v>345</v>
      </c>
      <c r="J115" s="23">
        <v>35.99</v>
      </c>
      <c r="K115" s="23">
        <v>25.62</v>
      </c>
      <c r="L115" s="23"/>
      <c r="M115" s="23"/>
      <c r="N115" s="23"/>
      <c r="O115" s="23" t="s">
        <v>239</v>
      </c>
      <c r="P115" s="23" t="s">
        <v>239</v>
      </c>
      <c r="Q115" s="23" t="s">
        <v>239</v>
      </c>
      <c r="R115" s="23" t="s">
        <v>239</v>
      </c>
      <c r="S115" s="23">
        <v>1</v>
      </c>
      <c r="T115" s="23">
        <v>0</v>
      </c>
      <c r="U115" s="23">
        <v>0</v>
      </c>
      <c r="V115" s="32">
        <v>0</v>
      </c>
      <c r="W115" s="32">
        <v>0.035543955</v>
      </c>
      <c r="X115" s="32">
        <v>0</v>
      </c>
      <c r="Y115" s="32">
        <v>0</v>
      </c>
      <c r="Z115" s="32" t="s">
        <v>69</v>
      </c>
      <c r="AA115" s="32" t="s">
        <v>69</v>
      </c>
      <c r="AB115" s="32">
        <v>0</v>
      </c>
      <c r="AC115" s="32">
        <v>0</v>
      </c>
      <c r="AD115" s="23" t="e">
        <f>VLOOKUP(B:B,库存明细报表10.16!L:P,5,0)</f>
        <v>#N/A</v>
      </c>
      <c r="AE115" s="23" t="e">
        <f>VLOOKUP(B:B,库存明细报表10.16!L:Q,6,0)</f>
        <v>#N/A</v>
      </c>
      <c r="AF115" s="23" t="e">
        <f>VLOOKUP(B:B,库存明细报表10.16!L:T,9,0)</f>
        <v>#N/A</v>
      </c>
      <c r="AG115" s="23">
        <f>VLOOKUP(A:A,进销存报表10.16!A:J,10,0)</f>
        <v>12</v>
      </c>
      <c r="AH115" s="23">
        <f>VLOOKUP(A:A,进销存报表10.16!A:K,11,0)</f>
        <v>2</v>
      </c>
      <c r="AI115" s="23">
        <v>10.32</v>
      </c>
      <c r="AJ115" s="23">
        <v>4.6</v>
      </c>
      <c r="AK115" s="23" t="s">
        <v>239</v>
      </c>
      <c r="AL115" s="26">
        <v>0.333333333</v>
      </c>
      <c r="AM115" s="32" t="e">
        <f t="shared" si="2"/>
        <v>#VALUE!</v>
      </c>
      <c r="AN115" s="44">
        <f t="shared" si="3"/>
        <v>0.0724637680434783</v>
      </c>
      <c r="AO115" s="2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="8" customFormat="1" customHeight="1" spans="1:53">
      <c r="A116" s="13" t="s">
        <v>398</v>
      </c>
      <c r="B116" s="13" t="s">
        <v>399</v>
      </c>
      <c r="C116" s="13" t="s">
        <v>400</v>
      </c>
      <c r="D116" s="23" t="s">
        <v>43</v>
      </c>
      <c r="E116" s="23" t="s">
        <v>343</v>
      </c>
      <c r="F116" s="23" t="s">
        <v>344</v>
      </c>
      <c r="G116" s="23" t="s">
        <v>239</v>
      </c>
      <c r="H116" s="43" t="s">
        <v>48</v>
      </c>
      <c r="I116" s="23" t="s">
        <v>345</v>
      </c>
      <c r="J116" s="23">
        <v>53.99</v>
      </c>
      <c r="K116" s="23">
        <v>39.62</v>
      </c>
      <c r="L116" s="23"/>
      <c r="M116" s="23"/>
      <c r="N116" s="23"/>
      <c r="O116" s="23">
        <v>0</v>
      </c>
      <c r="P116" s="23">
        <v>0</v>
      </c>
      <c r="Q116" s="23">
        <v>0</v>
      </c>
      <c r="R116" s="23">
        <v>0</v>
      </c>
      <c r="S116" s="23">
        <v>1</v>
      </c>
      <c r="T116" s="23">
        <v>3</v>
      </c>
      <c r="U116" s="23">
        <v>1</v>
      </c>
      <c r="V116" s="32">
        <v>0</v>
      </c>
      <c r="W116" s="32">
        <v>0.355277431</v>
      </c>
      <c r="X116" s="32">
        <v>0.364703956</v>
      </c>
      <c r="Y116" s="32">
        <v>0</v>
      </c>
      <c r="Z116" s="32">
        <v>0.031729609</v>
      </c>
      <c r="AA116" s="32">
        <v>0.031557165</v>
      </c>
      <c r="AB116" s="32">
        <v>0.096774194</v>
      </c>
      <c r="AC116" s="32">
        <v>0.090899232</v>
      </c>
      <c r="AD116" s="23">
        <f>VLOOKUP(B:B,库存明细报表10.16!L:P,5,0)</f>
        <v>4</v>
      </c>
      <c r="AE116" s="23">
        <f>VLOOKUP(B:B,库存明细报表10.16!L:Q,6,0)</f>
        <v>4</v>
      </c>
      <c r="AF116" s="23">
        <f>VLOOKUP(B:B,库存明细报表10.16!L:T,9,0)</f>
        <v>0</v>
      </c>
      <c r="AG116" s="23">
        <f>VLOOKUP(A:A,进销存报表10.16!A:J,10,0)</f>
        <v>9</v>
      </c>
      <c r="AH116" s="23">
        <f>VLOOKUP(A:A,进销存报表10.16!A:K,11,0)</f>
        <v>11</v>
      </c>
      <c r="AI116" s="23">
        <v>19.87</v>
      </c>
      <c r="AJ116" s="23">
        <v>18.25</v>
      </c>
      <c r="AK116" s="23" t="s">
        <v>239</v>
      </c>
      <c r="AL116" s="26">
        <v>1</v>
      </c>
      <c r="AM116" s="32" t="e">
        <f t="shared" si="2"/>
        <v>#VALUE!</v>
      </c>
      <c r="AN116" s="44">
        <f t="shared" si="3"/>
        <v>0.0547945205479452</v>
      </c>
      <c r="AO116" s="2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="8" customFormat="1" customHeight="1" spans="1:53">
      <c r="A117" s="13" t="s">
        <v>401</v>
      </c>
      <c r="B117" s="13" t="s">
        <v>402</v>
      </c>
      <c r="C117" s="13" t="s">
        <v>403</v>
      </c>
      <c r="D117" s="23" t="s">
        <v>43</v>
      </c>
      <c r="E117" s="23" t="s">
        <v>355</v>
      </c>
      <c r="F117" s="23" t="s">
        <v>344</v>
      </c>
      <c r="G117" s="23" t="s">
        <v>239</v>
      </c>
      <c r="H117" s="43" t="s">
        <v>288</v>
      </c>
      <c r="I117" s="23" t="s">
        <v>345</v>
      </c>
      <c r="J117" s="23">
        <v>38.99</v>
      </c>
      <c r="K117" s="23">
        <v>27.85</v>
      </c>
      <c r="L117" s="23"/>
      <c r="M117" s="23"/>
      <c r="N117" s="23"/>
      <c r="O117" s="23" t="s">
        <v>239</v>
      </c>
      <c r="P117" s="23" t="s">
        <v>239</v>
      </c>
      <c r="Q117" s="23" t="s">
        <v>239</v>
      </c>
      <c r="R117" s="23" t="s">
        <v>239</v>
      </c>
      <c r="S117" s="23">
        <v>0</v>
      </c>
      <c r="T117" s="23">
        <v>0</v>
      </c>
      <c r="U117" s="23">
        <v>0</v>
      </c>
      <c r="V117" s="32">
        <v>0</v>
      </c>
      <c r="W117" s="32">
        <v>0</v>
      </c>
      <c r="X117" s="32" t="s">
        <v>239</v>
      </c>
      <c r="Y117" s="32" t="s">
        <v>239</v>
      </c>
      <c r="Z117" s="32" t="s">
        <v>239</v>
      </c>
      <c r="AA117" s="32" t="s">
        <v>239</v>
      </c>
      <c r="AB117" s="32">
        <v>0</v>
      </c>
      <c r="AC117" s="32" t="s">
        <v>69</v>
      </c>
      <c r="AD117" s="23">
        <f>VLOOKUP(B:B,库存明细报表10.16!L:P,5,0)</f>
        <v>0</v>
      </c>
      <c r="AE117" s="23">
        <f>VLOOKUP(B:B,库存明细报表10.16!L:Q,6,0)</f>
        <v>0</v>
      </c>
      <c r="AF117" s="23">
        <f>VLOOKUP(B:B,库存明细报表10.16!L:T,9,0)</f>
        <v>16</v>
      </c>
      <c r="AG117" s="23">
        <f>VLOOKUP(A:A,进销存报表10.16!A:J,10,0)</f>
        <v>5</v>
      </c>
      <c r="AH117" s="23">
        <f>VLOOKUP(A:A,进销存报表10.16!A:K,11,0)</f>
        <v>2</v>
      </c>
      <c r="AI117" s="23">
        <v>22.99</v>
      </c>
      <c r="AJ117" s="23">
        <v>11.56</v>
      </c>
      <c r="AK117" s="23" t="s">
        <v>239</v>
      </c>
      <c r="AL117" s="26">
        <v>0</v>
      </c>
      <c r="AM117" s="32" t="e">
        <f t="shared" si="2"/>
        <v>#VALUE!</v>
      </c>
      <c r="AN117" s="44">
        <f t="shared" si="3"/>
        <v>0</v>
      </c>
      <c r="AO117" s="2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</row>
    <row r="118" s="8" customFormat="1" customHeight="1" spans="1:53">
      <c r="A118" s="13" t="s">
        <v>404</v>
      </c>
      <c r="B118" s="13" t="s">
        <v>405</v>
      </c>
      <c r="C118" s="13" t="s">
        <v>406</v>
      </c>
      <c r="D118" s="23" t="s">
        <v>43</v>
      </c>
      <c r="E118" s="23" t="s">
        <v>355</v>
      </c>
      <c r="F118" s="23" t="s">
        <v>344</v>
      </c>
      <c r="G118" s="23" t="s">
        <v>239</v>
      </c>
      <c r="H118" s="43" t="s">
        <v>48</v>
      </c>
      <c r="I118" s="23" t="s">
        <v>345</v>
      </c>
      <c r="J118" s="23">
        <v>35.99</v>
      </c>
      <c r="K118" s="23">
        <v>25.73</v>
      </c>
      <c r="L118" s="23"/>
      <c r="M118" s="23"/>
      <c r="N118" s="23"/>
      <c r="O118" s="23" t="s">
        <v>239</v>
      </c>
      <c r="P118" s="23" t="s">
        <v>239</v>
      </c>
      <c r="Q118" s="23" t="s">
        <v>239</v>
      </c>
      <c r="R118" s="23" t="s">
        <v>239</v>
      </c>
      <c r="S118" s="23">
        <v>0</v>
      </c>
      <c r="T118" s="23">
        <v>2</v>
      </c>
      <c r="U118" s="23">
        <v>1</v>
      </c>
      <c r="V118" s="32">
        <v>0</v>
      </c>
      <c r="W118" s="32">
        <v>0.278146276</v>
      </c>
      <c r="X118" s="32">
        <v>0.278146276</v>
      </c>
      <c r="Y118" s="32">
        <v>0</v>
      </c>
      <c r="Z118" s="32">
        <v>0.019207683</v>
      </c>
      <c r="AA118" s="32">
        <v>0.005202081</v>
      </c>
      <c r="AB118" s="32">
        <v>0.4</v>
      </c>
      <c r="AC118" s="32">
        <v>0.999904009</v>
      </c>
      <c r="AD118" s="23" t="e">
        <f>VLOOKUP(B:B,库存明细报表10.16!L:P,5,0)</f>
        <v>#N/A</v>
      </c>
      <c r="AE118" s="23" t="e">
        <f>VLOOKUP(B:B,库存明细报表10.16!L:Q,6,0)</f>
        <v>#N/A</v>
      </c>
      <c r="AF118" s="23" t="e">
        <f>VLOOKUP(B:B,库存明细报表10.16!L:T,9,0)</f>
        <v>#N/A</v>
      </c>
      <c r="AG118" s="23">
        <f>VLOOKUP(A:A,进销存报表10.16!A:J,10,0)</f>
        <v>21</v>
      </c>
      <c r="AH118" s="23">
        <f>VLOOKUP(A:A,进销存报表10.16!A:K,11,0)</f>
        <v>0</v>
      </c>
      <c r="AI118" s="23">
        <v>57.09</v>
      </c>
      <c r="AJ118" s="23">
        <v>33.07</v>
      </c>
      <c r="AK118" s="23" t="s">
        <v>239</v>
      </c>
      <c r="AL118" s="26">
        <v>0.333333333</v>
      </c>
      <c r="AM118" s="32" t="e">
        <f t="shared" si="2"/>
        <v>#VALUE!</v>
      </c>
      <c r="AN118" s="44">
        <f t="shared" si="3"/>
        <v>0.0100796290595706</v>
      </c>
      <c r="AO118" s="2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</row>
    <row r="119" s="8" customFormat="1" customHeight="1" spans="1:53">
      <c r="A119" s="13" t="s">
        <v>407</v>
      </c>
      <c r="B119" s="13" t="s">
        <v>408</v>
      </c>
      <c r="C119" s="13" t="s">
        <v>409</v>
      </c>
      <c r="D119" s="23" t="s">
        <v>43</v>
      </c>
      <c r="E119" s="23" t="s">
        <v>343</v>
      </c>
      <c r="F119" s="23" t="s">
        <v>344</v>
      </c>
      <c r="G119" s="23" t="s">
        <v>239</v>
      </c>
      <c r="H119" s="43" t="s">
        <v>46</v>
      </c>
      <c r="I119" s="23" t="s">
        <v>345</v>
      </c>
      <c r="J119" s="23">
        <v>42.99</v>
      </c>
      <c r="K119" s="23">
        <v>30.41</v>
      </c>
      <c r="L119" s="23"/>
      <c r="M119" s="23"/>
      <c r="N119" s="23"/>
      <c r="O119" s="23" t="s">
        <v>239</v>
      </c>
      <c r="P119" s="23" t="s">
        <v>239</v>
      </c>
      <c r="Q119" s="23" t="s">
        <v>239</v>
      </c>
      <c r="R119" s="23" t="s">
        <v>239</v>
      </c>
      <c r="S119" s="23">
        <v>1</v>
      </c>
      <c r="T119" s="23">
        <v>6</v>
      </c>
      <c r="U119" s="23">
        <v>0</v>
      </c>
      <c r="V119" s="32">
        <v>0</v>
      </c>
      <c r="W119" s="32">
        <v>0.151345394</v>
      </c>
      <c r="X119" s="32">
        <v>0.153437394</v>
      </c>
      <c r="Y119" s="32">
        <v>0</v>
      </c>
      <c r="Z119" s="32">
        <v>0.11374637</v>
      </c>
      <c r="AA119" s="32">
        <v>0.057168979</v>
      </c>
      <c r="AB119" s="32">
        <v>0.044444444</v>
      </c>
      <c r="AC119" s="32">
        <v>0.088879807</v>
      </c>
      <c r="AD119" s="23">
        <f>VLOOKUP(B:B,库存明细报表10.16!L:P,5,0)</f>
        <v>0</v>
      </c>
      <c r="AE119" s="23">
        <f>VLOOKUP(B:B,库存明细报表10.16!L:Q,6,0)</f>
        <v>0</v>
      </c>
      <c r="AF119" s="23">
        <f>VLOOKUP(B:B,库存明细报表10.16!L:T,9,0)</f>
        <v>10</v>
      </c>
      <c r="AG119" s="23">
        <f>VLOOKUP(A:A,进销存报表10.16!A:J,10,0)</f>
        <v>5</v>
      </c>
      <c r="AH119" s="23">
        <f>VLOOKUP(A:A,进销存报表10.16!A:K,11,0)</f>
        <v>2</v>
      </c>
      <c r="AI119" s="23">
        <v>38.88</v>
      </c>
      <c r="AJ119" s="23">
        <v>40.83</v>
      </c>
      <c r="AK119" s="23" t="s">
        <v>239</v>
      </c>
      <c r="AL119" s="26">
        <v>2</v>
      </c>
      <c r="AM119" s="32" t="e">
        <f t="shared" si="2"/>
        <v>#VALUE!</v>
      </c>
      <c r="AN119" s="44">
        <f t="shared" si="3"/>
        <v>0.0489835904971834</v>
      </c>
      <c r="AO119" s="2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</row>
    <row r="120" s="8" customFormat="1" customHeight="1" spans="1:53">
      <c r="A120" s="13" t="s">
        <v>410</v>
      </c>
      <c r="B120" s="13" t="s">
        <v>411</v>
      </c>
      <c r="C120" s="13" t="s">
        <v>412</v>
      </c>
      <c r="D120" s="23" t="s">
        <v>43</v>
      </c>
      <c r="E120" s="23" t="s">
        <v>355</v>
      </c>
      <c r="F120" s="23" t="s">
        <v>344</v>
      </c>
      <c r="G120" s="23" t="s">
        <v>239</v>
      </c>
      <c r="H120" s="43" t="s">
        <v>288</v>
      </c>
      <c r="I120" s="23" t="s">
        <v>345</v>
      </c>
      <c r="J120" s="23">
        <v>36.99</v>
      </c>
      <c r="K120" s="23">
        <v>26.5</v>
      </c>
      <c r="L120" s="23"/>
      <c r="M120" s="23"/>
      <c r="N120" s="23"/>
      <c r="O120" s="23" t="s">
        <v>239</v>
      </c>
      <c r="P120" s="23" t="s">
        <v>239</v>
      </c>
      <c r="Q120" s="23" t="s">
        <v>239</v>
      </c>
      <c r="R120" s="23" t="s">
        <v>239</v>
      </c>
      <c r="S120" s="23">
        <v>0</v>
      </c>
      <c r="T120" s="23">
        <v>0</v>
      </c>
      <c r="U120" s="23">
        <v>0</v>
      </c>
      <c r="V120" s="32">
        <v>0</v>
      </c>
      <c r="W120" s="32">
        <v>0</v>
      </c>
      <c r="X120" s="32" t="s">
        <v>239</v>
      </c>
      <c r="Y120" s="32" t="s">
        <v>239</v>
      </c>
      <c r="Z120" s="32" t="s">
        <v>239</v>
      </c>
      <c r="AA120" s="32" t="s">
        <v>239</v>
      </c>
      <c r="AB120" s="32">
        <v>0</v>
      </c>
      <c r="AC120" s="32" t="s">
        <v>69</v>
      </c>
      <c r="AD120" s="23">
        <f>VLOOKUP(B:B,库存明细报表10.16!L:P,5,0)</f>
        <v>0</v>
      </c>
      <c r="AE120" s="23">
        <f>VLOOKUP(B:B,库存明细报表10.16!L:Q,6,0)</f>
        <v>0</v>
      </c>
      <c r="AF120" s="23">
        <f>VLOOKUP(B:B,库存明细报表10.16!L:T,9,0)</f>
        <v>15</v>
      </c>
      <c r="AG120" s="23">
        <f>VLOOKUP(A:A,进销存报表10.16!A:J,10,0)</f>
        <v>5</v>
      </c>
      <c r="AH120" s="23">
        <f>VLOOKUP(A:A,进销存报表10.16!A:K,11,0)</f>
        <v>2</v>
      </c>
      <c r="AI120" s="23">
        <v>26.51</v>
      </c>
      <c r="AJ120" s="23">
        <v>17.65</v>
      </c>
      <c r="AK120" s="23" t="s">
        <v>239</v>
      </c>
      <c r="AL120" s="26">
        <v>0</v>
      </c>
      <c r="AM120" s="32" t="e">
        <f t="shared" si="2"/>
        <v>#VALUE!</v>
      </c>
      <c r="AN120" s="44">
        <f t="shared" si="3"/>
        <v>0</v>
      </c>
      <c r="AO120" s="2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</row>
    <row r="121" s="8" customFormat="1" customHeight="1" spans="1:53">
      <c r="A121" s="13" t="s">
        <v>413</v>
      </c>
      <c r="B121" s="13" t="s">
        <v>414</v>
      </c>
      <c r="C121" s="13" t="s">
        <v>415</v>
      </c>
      <c r="D121" s="23" t="s">
        <v>43</v>
      </c>
      <c r="E121" s="23" t="s">
        <v>343</v>
      </c>
      <c r="F121" s="23" t="s">
        <v>344</v>
      </c>
      <c r="G121" s="23" t="s">
        <v>239</v>
      </c>
      <c r="H121" s="43" t="s">
        <v>48</v>
      </c>
      <c r="I121" s="23" t="s">
        <v>345</v>
      </c>
      <c r="J121" s="23">
        <v>69.99</v>
      </c>
      <c r="K121" s="23">
        <v>43.14</v>
      </c>
      <c r="L121" s="23"/>
      <c r="M121" s="23"/>
      <c r="N121" s="23"/>
      <c r="O121" s="23" t="s">
        <v>239</v>
      </c>
      <c r="P121" s="23" t="s">
        <v>239</v>
      </c>
      <c r="Q121" s="23" t="s">
        <v>239</v>
      </c>
      <c r="R121" s="23" t="s">
        <v>239</v>
      </c>
      <c r="S121" s="23">
        <v>0</v>
      </c>
      <c r="T121" s="23">
        <v>1</v>
      </c>
      <c r="U121" s="23">
        <v>4</v>
      </c>
      <c r="V121" s="32">
        <v>0</v>
      </c>
      <c r="W121" s="32">
        <v>0.238594201</v>
      </c>
      <c r="X121" s="32">
        <v>0.238592557</v>
      </c>
      <c r="Y121" s="32">
        <v>0</v>
      </c>
      <c r="Z121" s="32">
        <v>0.043277553</v>
      </c>
      <c r="AA121" s="32">
        <v>0.062127332</v>
      </c>
      <c r="AB121" s="32">
        <v>0.045454545</v>
      </c>
      <c r="AC121" s="32">
        <v>0</v>
      </c>
      <c r="AD121" s="23">
        <f>VLOOKUP(B:B,库存明细报表10.16!L:P,5,0)</f>
        <v>0</v>
      </c>
      <c r="AE121" s="23">
        <f>VLOOKUP(B:B,库存明细报表10.16!L:Q,6,0)</f>
        <v>0</v>
      </c>
      <c r="AF121" s="23">
        <f>VLOOKUP(B:B,库存明细报表10.16!L:T,9,0)</f>
        <v>6</v>
      </c>
      <c r="AG121" s="23">
        <f>VLOOKUP(A:A,进销存报表10.16!A:J,10,0)</f>
        <v>0</v>
      </c>
      <c r="AH121" s="23">
        <f>VLOOKUP(A:A,进销存报表10.16!A:K,11,0)</f>
        <v>24</v>
      </c>
      <c r="AI121" s="23">
        <v>34.08</v>
      </c>
      <c r="AJ121" s="23">
        <v>15.01</v>
      </c>
      <c r="AK121" s="23" t="s">
        <v>239</v>
      </c>
      <c r="AL121" s="26">
        <v>0.333333333</v>
      </c>
      <c r="AM121" s="32" t="e">
        <f t="shared" si="2"/>
        <v>#VALUE!</v>
      </c>
      <c r="AN121" s="44">
        <f t="shared" si="3"/>
        <v>0.0222074172551632</v>
      </c>
      <c r="AO121" s="2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="8" customFormat="1" customHeight="1" spans="1:53">
      <c r="A122" s="13" t="s">
        <v>416</v>
      </c>
      <c r="B122" s="13" t="s">
        <v>417</v>
      </c>
      <c r="C122" s="13" t="s">
        <v>418</v>
      </c>
      <c r="D122" s="23" t="s">
        <v>43</v>
      </c>
      <c r="E122" s="23" t="s">
        <v>355</v>
      </c>
      <c r="F122" s="23" t="s">
        <v>344</v>
      </c>
      <c r="G122" s="23" t="s">
        <v>239</v>
      </c>
      <c r="H122" s="43" t="s">
        <v>288</v>
      </c>
      <c r="I122" s="23" t="s">
        <v>345</v>
      </c>
      <c r="J122" s="23">
        <v>53.99</v>
      </c>
      <c r="K122" s="23">
        <v>39.38</v>
      </c>
      <c r="L122" s="23"/>
      <c r="M122" s="23"/>
      <c r="N122" s="23"/>
      <c r="O122" s="23" t="s">
        <v>239</v>
      </c>
      <c r="P122" s="23" t="s">
        <v>239</v>
      </c>
      <c r="Q122" s="23" t="s">
        <v>239</v>
      </c>
      <c r="R122" s="23" t="s">
        <v>239</v>
      </c>
      <c r="S122" s="23">
        <v>0</v>
      </c>
      <c r="T122" s="23">
        <v>0</v>
      </c>
      <c r="U122" s="23">
        <v>0</v>
      </c>
      <c r="V122" s="32">
        <v>0</v>
      </c>
      <c r="W122" s="32">
        <v>0</v>
      </c>
      <c r="X122" s="32">
        <v>0</v>
      </c>
      <c r="Y122" s="32">
        <v>0</v>
      </c>
      <c r="Z122" s="32" t="s">
        <v>69</v>
      </c>
      <c r="AA122" s="32" t="s">
        <v>69</v>
      </c>
      <c r="AB122" s="32">
        <v>0</v>
      </c>
      <c r="AC122" s="32">
        <v>0</v>
      </c>
      <c r="AD122" s="23">
        <f>VLOOKUP(B:B,库存明细报表10.16!L:P,5,0)</f>
        <v>0</v>
      </c>
      <c r="AE122" s="23">
        <f>VLOOKUP(B:B,库存明细报表10.16!L:Q,6,0)</f>
        <v>0</v>
      </c>
      <c r="AF122" s="23">
        <f>VLOOKUP(B:B,库存明细报表10.16!L:T,9,0)</f>
        <v>1</v>
      </c>
      <c r="AG122" s="23">
        <f>VLOOKUP(A:A,进销存报表10.16!A:J,10,0)</f>
        <v>17</v>
      </c>
      <c r="AH122" s="23">
        <f>VLOOKUP(A:A,进销存报表10.16!A:K,11,0)</f>
        <v>0</v>
      </c>
      <c r="AI122" s="23">
        <v>41.4</v>
      </c>
      <c r="AJ122" s="23">
        <v>53.55</v>
      </c>
      <c r="AK122" s="23" t="s">
        <v>239</v>
      </c>
      <c r="AL122" s="26">
        <v>0</v>
      </c>
      <c r="AM122" s="32" t="e">
        <f t="shared" si="2"/>
        <v>#VALUE!</v>
      </c>
      <c r="AN122" s="44">
        <f t="shared" si="3"/>
        <v>0</v>
      </c>
      <c r="AO122" s="2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</row>
    <row r="123" s="8" customFormat="1" customHeight="1" spans="1:53">
      <c r="A123" s="13" t="s">
        <v>419</v>
      </c>
      <c r="B123" s="13" t="s">
        <v>420</v>
      </c>
      <c r="C123" s="13" t="s">
        <v>421</v>
      </c>
      <c r="D123" s="23" t="s">
        <v>43</v>
      </c>
      <c r="E123" s="23" t="s">
        <v>343</v>
      </c>
      <c r="F123" s="23" t="s">
        <v>344</v>
      </c>
      <c r="G123" s="23" t="s">
        <v>239</v>
      </c>
      <c r="H123" s="43" t="s">
        <v>288</v>
      </c>
      <c r="I123" s="23" t="s">
        <v>345</v>
      </c>
      <c r="J123" s="23">
        <v>27.99</v>
      </c>
      <c r="K123" s="23">
        <v>19.86</v>
      </c>
      <c r="L123" s="23"/>
      <c r="M123" s="23"/>
      <c r="N123" s="23"/>
      <c r="O123" s="23" t="s">
        <v>239</v>
      </c>
      <c r="P123" s="23" t="s">
        <v>239</v>
      </c>
      <c r="Q123" s="23" t="s">
        <v>239</v>
      </c>
      <c r="R123" s="23" t="s">
        <v>239</v>
      </c>
      <c r="S123" s="23">
        <v>0</v>
      </c>
      <c r="T123" s="23">
        <v>0</v>
      </c>
      <c r="U123" s="23">
        <v>2</v>
      </c>
      <c r="V123" s="32">
        <v>0</v>
      </c>
      <c r="W123" s="32">
        <v>0</v>
      </c>
      <c r="X123" s="32">
        <v>0</v>
      </c>
      <c r="Y123" s="32">
        <v>0</v>
      </c>
      <c r="Z123" s="32" t="s">
        <v>69</v>
      </c>
      <c r="AA123" s="32" t="s">
        <v>69</v>
      </c>
      <c r="AB123" s="32">
        <v>0</v>
      </c>
      <c r="AC123" s="32">
        <v>0</v>
      </c>
      <c r="AD123" s="23" t="e">
        <f>VLOOKUP(B:B,库存明细报表10.16!L:P,5,0)</f>
        <v>#N/A</v>
      </c>
      <c r="AE123" s="23" t="e">
        <f>VLOOKUP(B:B,库存明细报表10.16!L:Q,6,0)</f>
        <v>#N/A</v>
      </c>
      <c r="AF123" s="23" t="e">
        <f>VLOOKUP(B:B,库存明细报表10.16!L:T,9,0)</f>
        <v>#N/A</v>
      </c>
      <c r="AG123" s="23">
        <f>VLOOKUP(A:A,进销存报表10.16!A:J,10,0)</f>
        <v>11</v>
      </c>
      <c r="AH123" s="23">
        <f>VLOOKUP(A:A,进销存报表10.16!A:K,11,0)</f>
        <v>6</v>
      </c>
      <c r="AI123" s="23">
        <v>38.86</v>
      </c>
      <c r="AJ123" s="23">
        <v>24.59</v>
      </c>
      <c r="AK123" s="23" t="s">
        <v>239</v>
      </c>
      <c r="AL123" s="26">
        <v>0</v>
      </c>
      <c r="AM123" s="32" t="e">
        <f t="shared" si="2"/>
        <v>#VALUE!</v>
      </c>
      <c r="AN123" s="44">
        <f t="shared" si="3"/>
        <v>0</v>
      </c>
      <c r="AO123" s="2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</row>
    <row r="124" s="8" customFormat="1" customHeight="1" spans="1:53">
      <c r="A124" s="13" t="s">
        <v>422</v>
      </c>
      <c r="B124" s="13" t="s">
        <v>423</v>
      </c>
      <c r="C124" s="13" t="s">
        <v>424</v>
      </c>
      <c r="D124" s="23" t="s">
        <v>43</v>
      </c>
      <c r="E124" s="23" t="s">
        <v>355</v>
      </c>
      <c r="F124" s="23" t="s">
        <v>344</v>
      </c>
      <c r="G124" s="23" t="s">
        <v>239</v>
      </c>
      <c r="H124" s="43" t="s">
        <v>288</v>
      </c>
      <c r="I124" s="23" t="s">
        <v>345</v>
      </c>
      <c r="J124" s="23">
        <v>27.99</v>
      </c>
      <c r="K124" s="23">
        <v>18.92</v>
      </c>
      <c r="L124" s="23"/>
      <c r="M124" s="23"/>
      <c r="N124" s="23"/>
      <c r="O124" s="23" t="s">
        <v>239</v>
      </c>
      <c r="P124" s="23" t="s">
        <v>239</v>
      </c>
      <c r="Q124" s="23" t="s">
        <v>239</v>
      </c>
      <c r="R124" s="23" t="s">
        <v>239</v>
      </c>
      <c r="S124" s="23">
        <v>0</v>
      </c>
      <c r="T124" s="23">
        <v>0</v>
      </c>
      <c r="U124" s="23">
        <v>0</v>
      </c>
      <c r="V124" s="32">
        <v>0</v>
      </c>
      <c r="W124" s="32">
        <v>0</v>
      </c>
      <c r="X124" s="32">
        <v>0</v>
      </c>
      <c r="Y124" s="32">
        <v>0</v>
      </c>
      <c r="Z124" s="32" t="s">
        <v>69</v>
      </c>
      <c r="AA124" s="32" t="s">
        <v>69</v>
      </c>
      <c r="AB124" s="32">
        <v>0</v>
      </c>
      <c r="AC124" s="32">
        <v>0</v>
      </c>
      <c r="AD124" s="23">
        <f>VLOOKUP(B:B,库存明细报表10.16!L:P,5,0)</f>
        <v>0</v>
      </c>
      <c r="AE124" s="23">
        <f>VLOOKUP(B:B,库存明细报表10.16!L:Q,6,0)</f>
        <v>0</v>
      </c>
      <c r="AF124" s="23">
        <f>VLOOKUP(B:B,库存明细报表10.16!L:T,9,0)</f>
        <v>6</v>
      </c>
      <c r="AG124" s="23">
        <f>VLOOKUP(A:A,进销存报表10.16!A:J,10,0)</f>
        <v>9</v>
      </c>
      <c r="AH124" s="23">
        <f>VLOOKUP(A:A,进销存报表10.16!A:K,11,0)</f>
        <v>5</v>
      </c>
      <c r="AI124" s="23">
        <v>17.4</v>
      </c>
      <c r="AJ124" s="23">
        <v>18.88</v>
      </c>
      <c r="AK124" s="23" t="s">
        <v>239</v>
      </c>
      <c r="AL124" s="26">
        <v>0</v>
      </c>
      <c r="AM124" s="32" t="e">
        <f t="shared" si="2"/>
        <v>#VALUE!</v>
      </c>
      <c r="AN124" s="44">
        <f t="shared" si="3"/>
        <v>0</v>
      </c>
      <c r="AO124" s="2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</row>
    <row r="125" s="8" customFormat="1" customHeight="1" spans="1:53">
      <c r="A125" s="13" t="s">
        <v>425</v>
      </c>
      <c r="B125" s="13" t="s">
        <v>426</v>
      </c>
      <c r="C125" s="13" t="s">
        <v>427</v>
      </c>
      <c r="D125" s="23" t="s">
        <v>43</v>
      </c>
      <c r="E125" s="23" t="s">
        <v>343</v>
      </c>
      <c r="F125" s="23" t="s">
        <v>344</v>
      </c>
      <c r="G125" s="23" t="s">
        <v>239</v>
      </c>
      <c r="H125" s="43" t="s">
        <v>288</v>
      </c>
      <c r="I125" s="23" t="s">
        <v>345</v>
      </c>
      <c r="J125" s="23">
        <v>36.99</v>
      </c>
      <c r="K125" s="23">
        <v>25.43</v>
      </c>
      <c r="L125" s="23"/>
      <c r="M125" s="23"/>
      <c r="N125" s="23"/>
      <c r="O125" s="23" t="s">
        <v>239</v>
      </c>
      <c r="P125" s="23" t="s">
        <v>239</v>
      </c>
      <c r="Q125" s="23" t="s">
        <v>239</v>
      </c>
      <c r="R125" s="23" t="s">
        <v>239</v>
      </c>
      <c r="S125" s="23">
        <v>0</v>
      </c>
      <c r="T125" s="23">
        <v>0</v>
      </c>
      <c r="U125" s="23">
        <v>0</v>
      </c>
      <c r="V125" s="32">
        <v>0</v>
      </c>
      <c r="W125" s="32">
        <v>0</v>
      </c>
      <c r="X125" s="32">
        <v>0</v>
      </c>
      <c r="Y125" s="32">
        <v>0</v>
      </c>
      <c r="Z125" s="32" t="s">
        <v>69</v>
      </c>
      <c r="AA125" s="32" t="s">
        <v>69</v>
      </c>
      <c r="AB125" s="32">
        <v>0</v>
      </c>
      <c r="AC125" s="32">
        <v>0</v>
      </c>
      <c r="AD125" s="23">
        <f>VLOOKUP(B:B,库存明细报表10.16!L:P,5,0)</f>
        <v>0</v>
      </c>
      <c r="AE125" s="23">
        <f>VLOOKUP(B:B,库存明细报表10.16!L:Q,6,0)</f>
        <v>0</v>
      </c>
      <c r="AF125" s="23">
        <f>VLOOKUP(B:B,库存明细报表10.16!L:T,9,0)</f>
        <v>2</v>
      </c>
      <c r="AG125" s="23">
        <f>VLOOKUP(A:A,进销存报表10.16!A:J,10,0)</f>
        <v>12</v>
      </c>
      <c r="AH125" s="23">
        <f>VLOOKUP(A:A,进销存报表10.16!A:K,11,0)</f>
        <v>9</v>
      </c>
      <c r="AI125" s="23">
        <v>24.29</v>
      </c>
      <c r="AJ125" s="23">
        <v>8.65</v>
      </c>
      <c r="AK125" s="23" t="s">
        <v>239</v>
      </c>
      <c r="AL125" s="26">
        <v>0</v>
      </c>
      <c r="AM125" s="32" t="e">
        <f t="shared" si="2"/>
        <v>#VALUE!</v>
      </c>
      <c r="AN125" s="44">
        <f t="shared" si="3"/>
        <v>0</v>
      </c>
      <c r="AO125" s="2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</row>
    <row r="126" s="8" customFormat="1" customHeight="1" spans="1:53">
      <c r="A126" s="13" t="s">
        <v>428</v>
      </c>
      <c r="B126" s="13" t="s">
        <v>429</v>
      </c>
      <c r="C126" s="13" t="s">
        <v>430</v>
      </c>
      <c r="D126" s="23" t="s">
        <v>43</v>
      </c>
      <c r="E126" s="23" t="s">
        <v>343</v>
      </c>
      <c r="F126" s="23" t="s">
        <v>344</v>
      </c>
      <c r="G126" s="23" t="s">
        <v>239</v>
      </c>
      <c r="H126" s="43" t="s">
        <v>46</v>
      </c>
      <c r="I126" s="23" t="s">
        <v>345</v>
      </c>
      <c r="J126" s="23">
        <v>28.99</v>
      </c>
      <c r="K126" s="23">
        <v>20.1</v>
      </c>
      <c r="L126" s="23"/>
      <c r="M126" s="23"/>
      <c r="N126" s="23"/>
      <c r="O126" s="23" t="s">
        <v>239</v>
      </c>
      <c r="P126" s="23" t="s">
        <v>239</v>
      </c>
      <c r="Q126" s="23" t="s">
        <v>239</v>
      </c>
      <c r="R126" s="23" t="s">
        <v>239</v>
      </c>
      <c r="S126" s="23">
        <v>0</v>
      </c>
      <c r="T126" s="23">
        <v>3</v>
      </c>
      <c r="U126" s="23">
        <v>2</v>
      </c>
      <c r="V126" s="32">
        <v>0</v>
      </c>
      <c r="W126" s="32">
        <v>0.071709069</v>
      </c>
      <c r="X126" s="32">
        <v>0.082501363</v>
      </c>
      <c r="Y126" s="32">
        <v>0</v>
      </c>
      <c r="Z126" s="32">
        <v>0.107688257</v>
      </c>
      <c r="AA126" s="32">
        <v>0.132438125</v>
      </c>
      <c r="AB126" s="32">
        <v>0.06122449</v>
      </c>
      <c r="AC126" s="32">
        <v>0</v>
      </c>
      <c r="AD126" s="23">
        <f>VLOOKUP(B:B,库存明细报表10.16!L:P,5,0)</f>
        <v>0</v>
      </c>
      <c r="AE126" s="23">
        <f>VLOOKUP(B:B,库存明细报表10.16!L:Q,6,0)</f>
        <v>0</v>
      </c>
      <c r="AF126" s="23">
        <f>VLOOKUP(B:B,库存明细报表10.16!L:T,9,0)</f>
        <v>9</v>
      </c>
      <c r="AG126" s="23">
        <f>VLOOKUP(A:A,进销存报表10.16!A:J,10,0)</f>
        <v>0</v>
      </c>
      <c r="AH126" s="23">
        <f>VLOOKUP(A:A,进销存报表10.16!A:K,11,0)</f>
        <v>2</v>
      </c>
      <c r="AI126" s="23">
        <v>14.87</v>
      </c>
      <c r="AJ126" s="23">
        <v>8.54</v>
      </c>
      <c r="AK126" s="23" t="s">
        <v>239</v>
      </c>
      <c r="AL126" s="26">
        <v>0.666666667</v>
      </c>
      <c r="AM126" s="32" t="e">
        <f t="shared" si="2"/>
        <v>#VALUE!</v>
      </c>
      <c r="AN126" s="44">
        <f t="shared" si="3"/>
        <v>0.078064012529274</v>
      </c>
      <c r="AO126" s="2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</row>
    <row r="127" s="8" customFormat="1" customHeight="1" spans="1:53">
      <c r="A127" s="13" t="s">
        <v>431</v>
      </c>
      <c r="B127" s="13" t="s">
        <v>432</v>
      </c>
      <c r="C127" s="13" t="s">
        <v>433</v>
      </c>
      <c r="D127" s="23" t="s">
        <v>43</v>
      </c>
      <c r="E127" s="23" t="s">
        <v>343</v>
      </c>
      <c r="F127" s="23" t="s">
        <v>344</v>
      </c>
      <c r="G127" s="23" t="s">
        <v>239</v>
      </c>
      <c r="H127" s="43" t="s">
        <v>46</v>
      </c>
      <c r="I127" s="23" t="s">
        <v>345</v>
      </c>
      <c r="J127" s="23">
        <v>35.99</v>
      </c>
      <c r="K127" s="23">
        <v>20.8</v>
      </c>
      <c r="L127" s="23"/>
      <c r="M127" s="23"/>
      <c r="N127" s="23"/>
      <c r="O127" s="23" t="s">
        <v>239</v>
      </c>
      <c r="P127" s="23" t="s">
        <v>239</v>
      </c>
      <c r="Q127" s="23" t="s">
        <v>239</v>
      </c>
      <c r="R127" s="23" t="s">
        <v>239</v>
      </c>
      <c r="S127" s="23">
        <v>2</v>
      </c>
      <c r="T127" s="23">
        <v>0</v>
      </c>
      <c r="U127" s="23">
        <v>1</v>
      </c>
      <c r="V127" s="32">
        <v>0</v>
      </c>
      <c r="W127" s="32">
        <v>0.146185512</v>
      </c>
      <c r="X127" s="32">
        <v>0</v>
      </c>
      <c r="Y127" s="32">
        <v>0</v>
      </c>
      <c r="Z127" s="32" t="s">
        <v>69</v>
      </c>
      <c r="AA127" s="32" t="s">
        <v>69</v>
      </c>
      <c r="AB127" s="32">
        <v>0</v>
      </c>
      <c r="AC127" s="32">
        <v>0</v>
      </c>
      <c r="AD127" s="23">
        <f>VLOOKUP(B:B,库存明细报表10.16!L:P,5,0)</f>
        <v>0</v>
      </c>
      <c r="AE127" s="23">
        <f>VLOOKUP(B:B,库存明细报表10.16!L:Q,6,0)</f>
        <v>0</v>
      </c>
      <c r="AF127" s="23">
        <f>VLOOKUP(B:B,库存明细报表10.16!L:T,9,0)</f>
        <v>2</v>
      </c>
      <c r="AG127" s="23">
        <f>VLOOKUP(A:A,进销存报表10.16!A:J,10,0)</f>
        <v>3</v>
      </c>
      <c r="AH127" s="23">
        <f>VLOOKUP(A:A,进销存报表10.16!A:K,11,0)</f>
        <v>5</v>
      </c>
      <c r="AI127" s="23">
        <v>62.04</v>
      </c>
      <c r="AJ127" s="23">
        <v>47.94</v>
      </c>
      <c r="AK127" s="23" t="s">
        <v>239</v>
      </c>
      <c r="AL127" s="26">
        <v>0.666666667</v>
      </c>
      <c r="AM127" s="32" t="e">
        <f t="shared" si="2"/>
        <v>#VALUE!</v>
      </c>
      <c r="AN127" s="44">
        <f t="shared" si="3"/>
        <v>0.0139062717355027</v>
      </c>
      <c r="AO127" s="2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</row>
    <row r="128" s="8" customFormat="1" customHeight="1" spans="1:53">
      <c r="A128" s="13" t="s">
        <v>434</v>
      </c>
      <c r="B128" s="13" t="s">
        <v>435</v>
      </c>
      <c r="C128" s="13" t="s">
        <v>436</v>
      </c>
      <c r="D128" s="23" t="s">
        <v>43</v>
      </c>
      <c r="E128" s="23" t="s">
        <v>343</v>
      </c>
      <c r="F128" s="23" t="s">
        <v>344</v>
      </c>
      <c r="G128" s="23" t="s">
        <v>239</v>
      </c>
      <c r="H128" s="43" t="s">
        <v>46</v>
      </c>
      <c r="I128" s="23" t="s">
        <v>345</v>
      </c>
      <c r="J128" s="23">
        <v>28.99</v>
      </c>
      <c r="K128" s="23">
        <v>20.32</v>
      </c>
      <c r="L128" s="23"/>
      <c r="M128" s="23"/>
      <c r="N128" s="23"/>
      <c r="O128" s="23" t="s">
        <v>239</v>
      </c>
      <c r="P128" s="23" t="s">
        <v>239</v>
      </c>
      <c r="Q128" s="23" t="s">
        <v>239</v>
      </c>
      <c r="R128" s="23" t="s">
        <v>239</v>
      </c>
      <c r="S128" s="23">
        <v>0</v>
      </c>
      <c r="T128" s="23">
        <v>3</v>
      </c>
      <c r="U128" s="23">
        <v>0</v>
      </c>
      <c r="V128" s="32">
        <v>0</v>
      </c>
      <c r="W128" s="32">
        <v>0.137631954</v>
      </c>
      <c r="X128" s="32">
        <v>0.137627796</v>
      </c>
      <c r="Y128" s="32">
        <v>0</v>
      </c>
      <c r="Z128" s="32">
        <v>0.123486045</v>
      </c>
      <c r="AA128" s="32">
        <v>0.064507636</v>
      </c>
      <c r="AB128" s="32">
        <v>0.073170732</v>
      </c>
      <c r="AC128" s="32">
        <v>0</v>
      </c>
      <c r="AD128" s="23" t="e">
        <f>VLOOKUP(B:B,库存明细报表10.16!L:P,5,0)</f>
        <v>#N/A</v>
      </c>
      <c r="AE128" s="23" t="e">
        <f>VLOOKUP(B:B,库存明细报表10.16!L:Q,6,0)</f>
        <v>#N/A</v>
      </c>
      <c r="AF128" s="23" t="e">
        <f>VLOOKUP(B:B,库存明细报表10.16!L:T,9,0)</f>
        <v>#N/A</v>
      </c>
      <c r="AG128" s="23">
        <f>VLOOKUP(A:A,进销存报表10.16!A:J,10,0)</f>
        <v>0</v>
      </c>
      <c r="AH128" s="23">
        <f>VLOOKUP(A:A,进销存报表10.16!A:K,11,0)</f>
        <v>5</v>
      </c>
      <c r="AI128" s="23">
        <v>102.56</v>
      </c>
      <c r="AJ128" s="23">
        <v>53.66</v>
      </c>
      <c r="AK128" s="23" t="s">
        <v>239</v>
      </c>
      <c r="AL128" s="26">
        <v>0.666666667</v>
      </c>
      <c r="AM128" s="32" t="e">
        <f t="shared" si="2"/>
        <v>#VALUE!</v>
      </c>
      <c r="AN128" s="44">
        <f t="shared" si="3"/>
        <v>0.0124239035967201</v>
      </c>
      <c r="AO128" s="2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</row>
    <row r="129" s="8" customFormat="1" customHeight="1" spans="1:53">
      <c r="A129" s="13" t="s">
        <v>437</v>
      </c>
      <c r="B129" s="13" t="s">
        <v>438</v>
      </c>
      <c r="C129" s="13" t="s">
        <v>439</v>
      </c>
      <c r="D129" s="23" t="s">
        <v>43</v>
      </c>
      <c r="E129" s="23" t="s">
        <v>355</v>
      </c>
      <c r="F129" s="23" t="s">
        <v>344</v>
      </c>
      <c r="G129" s="23" t="s">
        <v>239</v>
      </c>
      <c r="H129" s="43" t="s">
        <v>46</v>
      </c>
      <c r="I129" s="23" t="s">
        <v>345</v>
      </c>
      <c r="J129" s="23">
        <v>27.99</v>
      </c>
      <c r="K129" s="23">
        <v>18.92</v>
      </c>
      <c r="L129" s="23"/>
      <c r="M129" s="23"/>
      <c r="N129" s="23"/>
      <c r="O129" s="23" t="s">
        <v>239</v>
      </c>
      <c r="P129" s="23" t="s">
        <v>239</v>
      </c>
      <c r="Q129" s="23" t="s">
        <v>239</v>
      </c>
      <c r="R129" s="23" t="s">
        <v>239</v>
      </c>
      <c r="S129" s="23">
        <v>0</v>
      </c>
      <c r="T129" s="23">
        <v>1</v>
      </c>
      <c r="U129" s="23">
        <v>2</v>
      </c>
      <c r="V129" s="32">
        <v>0</v>
      </c>
      <c r="W129" s="32">
        <v>0.095507444</v>
      </c>
      <c r="X129" s="32">
        <v>0.034860324</v>
      </c>
      <c r="Y129" s="32">
        <v>0</v>
      </c>
      <c r="Z129" s="32">
        <v>0.195997646</v>
      </c>
      <c r="AA129" s="32">
        <v>0.087110065</v>
      </c>
      <c r="AB129" s="32">
        <v>0.066666667</v>
      </c>
      <c r="AC129" s="32">
        <v>0</v>
      </c>
      <c r="AD129" s="23">
        <f>VLOOKUP(B:B,库存明细报表10.16!L:P,5,0)</f>
        <v>0</v>
      </c>
      <c r="AE129" s="23">
        <f>VLOOKUP(B:B,库存明细报表10.16!L:Q,6,0)</f>
        <v>0</v>
      </c>
      <c r="AF129" s="23">
        <f>VLOOKUP(B:B,库存明细报表10.16!L:T,9,0)</f>
        <v>5</v>
      </c>
      <c r="AG129" s="23">
        <f>VLOOKUP(A:A,进销存报表10.16!A:J,10,0)</f>
        <v>7</v>
      </c>
      <c r="AH129" s="23">
        <f>VLOOKUP(A:A,进销存报表10.16!A:K,11,0)</f>
        <v>3</v>
      </c>
      <c r="AI129" s="23">
        <v>38.44</v>
      </c>
      <c r="AJ129" s="23">
        <v>24.52</v>
      </c>
      <c r="AK129" s="23" t="s">
        <v>239</v>
      </c>
      <c r="AL129" s="26">
        <v>0.333333333</v>
      </c>
      <c r="AM129" s="32" t="e">
        <f t="shared" si="2"/>
        <v>#VALUE!</v>
      </c>
      <c r="AN129" s="44">
        <f t="shared" si="3"/>
        <v>0.0135943447389886</v>
      </c>
      <c r="AO129" s="2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</row>
    <row r="130" s="8" customFormat="1" customHeight="1" spans="1:53">
      <c r="A130" s="13" t="s">
        <v>440</v>
      </c>
      <c r="B130" s="13" t="s">
        <v>441</v>
      </c>
      <c r="C130" s="13" t="s">
        <v>442</v>
      </c>
      <c r="D130" s="23" t="s">
        <v>43</v>
      </c>
      <c r="E130" s="23" t="s">
        <v>355</v>
      </c>
      <c r="F130" s="23" t="s">
        <v>344</v>
      </c>
      <c r="G130" s="23" t="s">
        <v>239</v>
      </c>
      <c r="H130" s="43" t="s">
        <v>48</v>
      </c>
      <c r="I130" s="23" t="s">
        <v>345</v>
      </c>
      <c r="J130" s="23">
        <v>39.99</v>
      </c>
      <c r="K130" s="23">
        <v>29.3</v>
      </c>
      <c r="L130" s="23"/>
      <c r="M130" s="23"/>
      <c r="N130" s="23"/>
      <c r="O130" s="23" t="s">
        <v>239</v>
      </c>
      <c r="P130" s="23" t="s">
        <v>239</v>
      </c>
      <c r="Q130" s="23" t="s">
        <v>239</v>
      </c>
      <c r="R130" s="23" t="s">
        <v>239</v>
      </c>
      <c r="S130" s="23">
        <v>0</v>
      </c>
      <c r="T130" s="23">
        <v>1</v>
      </c>
      <c r="U130" s="23">
        <v>0</v>
      </c>
      <c r="V130" s="32">
        <v>0</v>
      </c>
      <c r="W130" s="32">
        <v>0.236238054</v>
      </c>
      <c r="X130" s="32">
        <v>0.236234893</v>
      </c>
      <c r="Y130" s="32">
        <v>0</v>
      </c>
      <c r="Z130" s="32">
        <v>0.081407382</v>
      </c>
      <c r="AA130" s="32">
        <v>0</v>
      </c>
      <c r="AB130" s="32">
        <v>0.047619048</v>
      </c>
      <c r="AC130" s="32">
        <v>0.199979762</v>
      </c>
      <c r="AD130" s="23">
        <f>VLOOKUP(B:B,库存明细报表10.16!L:P,5,0)</f>
        <v>0</v>
      </c>
      <c r="AE130" s="23">
        <f>VLOOKUP(B:B,库存明细报表10.16!L:Q,6,0)</f>
        <v>0</v>
      </c>
      <c r="AF130" s="23">
        <f>VLOOKUP(B:B,库存明细报表10.16!L:T,9,0)</f>
        <v>2</v>
      </c>
      <c r="AG130" s="23">
        <f>VLOOKUP(A:A,进销存报表10.16!A:J,10,0)</f>
        <v>14</v>
      </c>
      <c r="AH130" s="23">
        <f>VLOOKUP(A:A,进销存报表10.16!A:K,11,0)</f>
        <v>2</v>
      </c>
      <c r="AI130" s="23">
        <v>11.53</v>
      </c>
      <c r="AJ130" s="23">
        <v>8.73</v>
      </c>
      <c r="AK130" s="23" t="s">
        <v>239</v>
      </c>
      <c r="AL130" s="26">
        <v>0.333333333</v>
      </c>
      <c r="AM130" s="32" t="e">
        <f t="shared" ref="AM130:AM185" si="4">AK130/AI130</f>
        <v>#VALUE!</v>
      </c>
      <c r="AN130" s="44">
        <f t="shared" ref="AN130:AN193" si="5">AL130/AJ130</f>
        <v>0.038182512371134</v>
      </c>
      <c r="AO130" s="2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</row>
    <row r="131" s="8" customFormat="1" customHeight="1" spans="1:53">
      <c r="A131" s="13" t="s">
        <v>443</v>
      </c>
      <c r="B131" s="13" t="s">
        <v>444</v>
      </c>
      <c r="C131" s="13" t="s">
        <v>445</v>
      </c>
      <c r="D131" s="23" t="s">
        <v>43</v>
      </c>
      <c r="E131" s="23" t="s">
        <v>343</v>
      </c>
      <c r="F131" s="23" t="s">
        <v>344</v>
      </c>
      <c r="G131" s="23" t="s">
        <v>239</v>
      </c>
      <c r="H131" s="43" t="s">
        <v>46</v>
      </c>
      <c r="I131" s="23" t="s">
        <v>239</v>
      </c>
      <c r="J131" s="23">
        <v>31.99</v>
      </c>
      <c r="K131" s="23">
        <v>21.65</v>
      </c>
      <c r="L131" s="23" t="s">
        <v>239</v>
      </c>
      <c r="M131" s="23" t="s">
        <v>239</v>
      </c>
      <c r="N131" s="23" t="s">
        <v>239</v>
      </c>
      <c r="O131" s="23">
        <v>0</v>
      </c>
      <c r="P131" s="23">
        <v>0</v>
      </c>
      <c r="Q131" s="23">
        <v>0</v>
      </c>
      <c r="R131" s="23">
        <v>2</v>
      </c>
      <c r="S131" s="23">
        <v>2</v>
      </c>
      <c r="T131" s="23">
        <v>5</v>
      </c>
      <c r="U131" s="23">
        <v>1</v>
      </c>
      <c r="V131" s="32">
        <v>0</v>
      </c>
      <c r="W131" s="32">
        <v>0.161908826</v>
      </c>
      <c r="X131" s="32">
        <v>0.085617098</v>
      </c>
      <c r="Y131" s="32">
        <v>0.333333333</v>
      </c>
      <c r="Z131" s="32">
        <v>0.165063486</v>
      </c>
      <c r="AA131" s="32">
        <v>0.161215852</v>
      </c>
      <c r="AB131" s="32">
        <v>0.050505051</v>
      </c>
      <c r="AC131" s="32">
        <v>0.0689589</v>
      </c>
      <c r="AD131" s="23" t="e">
        <f>VLOOKUP(B:B,库存明细报表10.16!L:P,5,0)</f>
        <v>#N/A</v>
      </c>
      <c r="AE131" s="23" t="e">
        <f>VLOOKUP(B:B,库存明细报表10.16!L:Q,6,0)</f>
        <v>#N/A</v>
      </c>
      <c r="AF131" s="23" t="e">
        <f>VLOOKUP(B:B,库存明细报表10.16!L:T,9,0)</f>
        <v>#N/A</v>
      </c>
      <c r="AG131" s="23">
        <f>VLOOKUP(A:A,进销存报表10.16!A:J,10,0)</f>
        <v>12</v>
      </c>
      <c r="AH131" s="23">
        <f>VLOOKUP(A:A,进销存报表10.16!A:K,11,0)</f>
        <v>8</v>
      </c>
      <c r="AI131" s="23" t="s">
        <v>239</v>
      </c>
      <c r="AJ131" s="23">
        <v>32.04</v>
      </c>
      <c r="AK131" s="23" t="s">
        <v>239</v>
      </c>
      <c r="AL131" s="26">
        <v>2.333333333</v>
      </c>
      <c r="AM131" s="32" t="e">
        <f t="shared" si="4"/>
        <v>#VALUE!</v>
      </c>
      <c r="AN131" s="44">
        <f t="shared" si="5"/>
        <v>0.0728256346129838</v>
      </c>
      <c r="AO131" s="2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</row>
    <row r="132" s="8" customFormat="1" customHeight="1" spans="1:53">
      <c r="A132" s="13" t="s">
        <v>446</v>
      </c>
      <c r="B132" s="13" t="s">
        <v>447</v>
      </c>
      <c r="C132" s="13" t="s">
        <v>448</v>
      </c>
      <c r="D132" s="23" t="s">
        <v>43</v>
      </c>
      <c r="E132" s="23" t="s">
        <v>355</v>
      </c>
      <c r="F132" s="23" t="s">
        <v>344</v>
      </c>
      <c r="G132" s="23" t="s">
        <v>239</v>
      </c>
      <c r="H132" s="43" t="s">
        <v>288</v>
      </c>
      <c r="I132" s="23" t="s">
        <v>345</v>
      </c>
      <c r="J132" s="23">
        <v>28.99</v>
      </c>
      <c r="K132" s="23">
        <v>20.26</v>
      </c>
      <c r="L132" s="23"/>
      <c r="M132" s="23"/>
      <c r="N132" s="23"/>
      <c r="O132" s="23" t="s">
        <v>239</v>
      </c>
      <c r="P132" s="23" t="s">
        <v>239</v>
      </c>
      <c r="Q132" s="23" t="s">
        <v>239</v>
      </c>
      <c r="R132" s="23" t="s">
        <v>239</v>
      </c>
      <c r="S132" s="23" t="s">
        <v>239</v>
      </c>
      <c r="T132" s="23" t="s">
        <v>239</v>
      </c>
      <c r="U132" s="23" t="s">
        <v>239</v>
      </c>
      <c r="V132" s="32">
        <v>0</v>
      </c>
      <c r="W132" s="32">
        <v>0</v>
      </c>
      <c r="X132" s="32" t="s">
        <v>239</v>
      </c>
      <c r="Y132" s="32" t="s">
        <v>239</v>
      </c>
      <c r="Z132" s="32" t="s">
        <v>239</v>
      </c>
      <c r="AA132" s="32" t="s">
        <v>239</v>
      </c>
      <c r="AB132" s="32" t="s">
        <v>239</v>
      </c>
      <c r="AC132" s="32" t="s">
        <v>239</v>
      </c>
      <c r="AD132" s="23" t="e">
        <f>VLOOKUP(B:B,库存明细报表10.16!L:P,5,0)</f>
        <v>#N/A</v>
      </c>
      <c r="AE132" s="23" t="e">
        <f>VLOOKUP(B:B,库存明细报表10.16!L:Q,6,0)</f>
        <v>#N/A</v>
      </c>
      <c r="AF132" s="23" t="e">
        <f>VLOOKUP(B:B,库存明细报表10.16!L:T,9,0)</f>
        <v>#N/A</v>
      </c>
      <c r="AG132" s="23">
        <f>VLOOKUP(A:A,进销存报表10.16!A:J,10,0)</f>
        <v>2</v>
      </c>
      <c r="AH132" s="23">
        <f>VLOOKUP(A:A,进销存报表10.16!A:K,11,0)</f>
        <v>12</v>
      </c>
      <c r="AI132" s="23">
        <v>59.36</v>
      </c>
      <c r="AJ132" s="23">
        <v>36.59</v>
      </c>
      <c r="AK132" s="23" t="s">
        <v>239</v>
      </c>
      <c r="AL132" s="26">
        <v>0</v>
      </c>
      <c r="AM132" s="32" t="e">
        <f t="shared" si="4"/>
        <v>#VALUE!</v>
      </c>
      <c r="AN132" s="44">
        <f t="shared" si="5"/>
        <v>0</v>
      </c>
      <c r="AO132" s="2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</row>
    <row r="133" s="8" customFormat="1" customHeight="1" spans="1:53">
      <c r="A133" s="13" t="s">
        <v>449</v>
      </c>
      <c r="B133" s="13" t="s">
        <v>450</v>
      </c>
      <c r="C133" s="13" t="s">
        <v>451</v>
      </c>
      <c r="D133" s="23" t="s">
        <v>43</v>
      </c>
      <c r="E133" s="23" t="s">
        <v>355</v>
      </c>
      <c r="F133" s="23" t="s">
        <v>344</v>
      </c>
      <c r="G133" s="23" t="s">
        <v>239</v>
      </c>
      <c r="H133" s="43" t="s">
        <v>288</v>
      </c>
      <c r="I133" s="23" t="s">
        <v>345</v>
      </c>
      <c r="J133" s="23">
        <v>29.99</v>
      </c>
      <c r="K133" s="23">
        <v>19.39</v>
      </c>
      <c r="L133" s="23"/>
      <c r="M133" s="23"/>
      <c r="N133" s="23"/>
      <c r="O133" s="23" t="s">
        <v>239</v>
      </c>
      <c r="P133" s="23" t="s">
        <v>239</v>
      </c>
      <c r="Q133" s="23" t="s">
        <v>239</v>
      </c>
      <c r="R133" s="23" t="s">
        <v>239</v>
      </c>
      <c r="S133" s="23" t="s">
        <v>239</v>
      </c>
      <c r="T133" s="23" t="s">
        <v>239</v>
      </c>
      <c r="U133" s="23" t="s">
        <v>239</v>
      </c>
      <c r="V133" s="32">
        <v>0</v>
      </c>
      <c r="W133" s="32">
        <v>0</v>
      </c>
      <c r="X133" s="32" t="s">
        <v>239</v>
      </c>
      <c r="Y133" s="32" t="s">
        <v>239</v>
      </c>
      <c r="Z133" s="32" t="s">
        <v>239</v>
      </c>
      <c r="AA133" s="32" t="s">
        <v>239</v>
      </c>
      <c r="AB133" s="32" t="s">
        <v>239</v>
      </c>
      <c r="AC133" s="32" t="s">
        <v>239</v>
      </c>
      <c r="AD133" s="23" t="e">
        <f>VLOOKUP(B:B,库存明细报表10.16!L:P,5,0)</f>
        <v>#N/A</v>
      </c>
      <c r="AE133" s="23" t="e">
        <f>VLOOKUP(B:B,库存明细报表10.16!L:Q,6,0)</f>
        <v>#N/A</v>
      </c>
      <c r="AF133" s="23" t="e">
        <f>VLOOKUP(B:B,库存明细报表10.16!L:T,9,0)</f>
        <v>#N/A</v>
      </c>
      <c r="AG133" s="23">
        <f>VLOOKUP(A:A,进销存报表10.16!A:J,10,0)</f>
        <v>0</v>
      </c>
      <c r="AH133" s="23">
        <f>VLOOKUP(A:A,进销存报表10.16!A:K,11,0)</f>
        <v>14</v>
      </c>
      <c r="AI133" s="23">
        <v>163.11</v>
      </c>
      <c r="AJ133" s="23">
        <v>109.3</v>
      </c>
      <c r="AK133" s="23" t="s">
        <v>239</v>
      </c>
      <c r="AL133" s="26">
        <v>0</v>
      </c>
      <c r="AM133" s="32" t="e">
        <f t="shared" si="4"/>
        <v>#VALUE!</v>
      </c>
      <c r="AN133" s="44">
        <f t="shared" si="5"/>
        <v>0</v>
      </c>
      <c r="AO133" s="2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</row>
    <row r="134" s="8" customFormat="1" customHeight="1" spans="1:53">
      <c r="A134" s="13" t="s">
        <v>452</v>
      </c>
      <c r="B134" s="13" t="s">
        <v>453</v>
      </c>
      <c r="C134" s="13" t="s">
        <v>454</v>
      </c>
      <c r="D134" s="23" t="s">
        <v>43</v>
      </c>
      <c r="E134" s="23" t="s">
        <v>355</v>
      </c>
      <c r="F134" s="23" t="s">
        <v>344</v>
      </c>
      <c r="G134" s="23" t="s">
        <v>239</v>
      </c>
      <c r="H134" s="43" t="s">
        <v>288</v>
      </c>
      <c r="I134" s="23" t="s">
        <v>345</v>
      </c>
      <c r="J134" s="23">
        <v>42.99</v>
      </c>
      <c r="K134" s="23">
        <v>32.13</v>
      </c>
      <c r="L134" s="23"/>
      <c r="M134" s="23"/>
      <c r="N134" s="23"/>
      <c r="O134" s="23" t="s">
        <v>239</v>
      </c>
      <c r="P134" s="23" t="s">
        <v>239</v>
      </c>
      <c r="Q134" s="23" t="s">
        <v>239</v>
      </c>
      <c r="R134" s="23" t="s">
        <v>239</v>
      </c>
      <c r="S134" s="23">
        <v>0</v>
      </c>
      <c r="T134" s="23">
        <v>0</v>
      </c>
      <c r="U134" s="23">
        <v>0</v>
      </c>
      <c r="V134" s="32">
        <v>0</v>
      </c>
      <c r="W134" s="32">
        <v>0</v>
      </c>
      <c r="X134" s="32" t="s">
        <v>239</v>
      </c>
      <c r="Y134" s="32" t="s">
        <v>239</v>
      </c>
      <c r="Z134" s="32" t="s">
        <v>239</v>
      </c>
      <c r="AA134" s="32" t="s">
        <v>239</v>
      </c>
      <c r="AB134" s="32">
        <v>0</v>
      </c>
      <c r="AC134" s="32" t="s">
        <v>69</v>
      </c>
      <c r="AD134" s="23">
        <f>VLOOKUP(B:B,库存明细报表10.16!L:P,5,0)</f>
        <v>20</v>
      </c>
      <c r="AE134" s="23">
        <f>VLOOKUP(B:B,库存明细报表10.16!L:Q,6,0)</f>
        <v>20</v>
      </c>
      <c r="AF134" s="23">
        <f>VLOOKUP(B:B,库存明细报表10.16!L:T,9,0)</f>
        <v>0</v>
      </c>
      <c r="AG134" s="23">
        <f>VLOOKUP(A:A,进销存报表10.16!A:J,10,0)</f>
        <v>13</v>
      </c>
      <c r="AH134" s="23">
        <f>VLOOKUP(A:A,进销存报表10.16!A:K,11,0)</f>
        <v>4</v>
      </c>
      <c r="AI134" s="23">
        <v>72.66</v>
      </c>
      <c r="AJ134" s="23">
        <v>67.93</v>
      </c>
      <c r="AK134" s="23" t="s">
        <v>239</v>
      </c>
      <c r="AL134" s="26">
        <v>0</v>
      </c>
      <c r="AM134" s="32" t="e">
        <f t="shared" si="4"/>
        <v>#VALUE!</v>
      </c>
      <c r="AN134" s="44">
        <f t="shared" si="5"/>
        <v>0</v>
      </c>
      <c r="AO134" s="2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</row>
    <row r="135" s="8" customFormat="1" customHeight="1" spans="1:53">
      <c r="A135" s="13" t="s">
        <v>455</v>
      </c>
      <c r="B135" s="13" t="s">
        <v>456</v>
      </c>
      <c r="C135" s="13" t="s">
        <v>457</v>
      </c>
      <c r="D135" s="23" t="s">
        <v>43</v>
      </c>
      <c r="E135" s="23" t="s">
        <v>355</v>
      </c>
      <c r="F135" s="23" t="s">
        <v>344</v>
      </c>
      <c r="G135" s="23" t="s">
        <v>239</v>
      </c>
      <c r="H135" s="43" t="s">
        <v>288</v>
      </c>
      <c r="I135" s="23" t="s">
        <v>239</v>
      </c>
      <c r="J135" s="23">
        <v>94.99</v>
      </c>
      <c r="K135" s="23">
        <v>73.22</v>
      </c>
      <c r="L135" s="23" t="s">
        <v>239</v>
      </c>
      <c r="M135" s="23" t="s">
        <v>239</v>
      </c>
      <c r="N135" s="23" t="s">
        <v>239</v>
      </c>
      <c r="O135" s="23" t="s">
        <v>239</v>
      </c>
      <c r="P135" s="23" t="s">
        <v>239</v>
      </c>
      <c r="Q135" s="23" t="s">
        <v>239</v>
      </c>
      <c r="R135" s="23" t="s">
        <v>239</v>
      </c>
      <c r="S135" s="23">
        <v>0</v>
      </c>
      <c r="T135" s="23">
        <v>1</v>
      </c>
      <c r="U135" s="23">
        <v>1</v>
      </c>
      <c r="V135" s="32">
        <v>0</v>
      </c>
      <c r="W135" s="32">
        <v>0</v>
      </c>
      <c r="X135" s="32">
        <v>0</v>
      </c>
      <c r="Y135" s="32">
        <v>0</v>
      </c>
      <c r="Z135" s="32" t="s">
        <v>69</v>
      </c>
      <c r="AA135" s="32" t="s">
        <v>69</v>
      </c>
      <c r="AB135" s="32">
        <v>0.058823529</v>
      </c>
      <c r="AC135" s="32">
        <v>0.199977123</v>
      </c>
      <c r="AD135" s="23">
        <f>VLOOKUP(B:B,库存明细报表10.16!L:P,5,0)</f>
        <v>3</v>
      </c>
      <c r="AE135" s="23">
        <f>VLOOKUP(B:B,库存明细报表10.16!L:Q,6,0)</f>
        <v>3</v>
      </c>
      <c r="AF135" s="23">
        <f>VLOOKUP(B:B,库存明细报表10.16!L:T,9,0)</f>
        <v>3</v>
      </c>
      <c r="AG135" s="23">
        <f>VLOOKUP(A:A,进销存报表10.16!A:J,10,0)</f>
        <v>34</v>
      </c>
      <c r="AH135" s="23">
        <f>VLOOKUP(A:A,进销存报表10.16!A:K,11,0)</f>
        <v>14</v>
      </c>
      <c r="AI135" s="23" t="s">
        <v>239</v>
      </c>
      <c r="AJ135" s="23">
        <v>0</v>
      </c>
      <c r="AK135" s="23" t="s">
        <v>239</v>
      </c>
      <c r="AL135" s="26">
        <v>0</v>
      </c>
      <c r="AM135" s="32" t="e">
        <f t="shared" si="4"/>
        <v>#VALUE!</v>
      </c>
      <c r="AN135" s="44" t="e">
        <f t="shared" si="5"/>
        <v>#DIV/0!</v>
      </c>
      <c r="AO135" s="2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</row>
    <row r="136" s="8" customFormat="1" customHeight="1" spans="1:53">
      <c r="A136" s="13" t="s">
        <v>458</v>
      </c>
      <c r="B136" s="13" t="s">
        <v>459</v>
      </c>
      <c r="C136" s="13" t="s">
        <v>460</v>
      </c>
      <c r="D136" s="23" t="s">
        <v>43</v>
      </c>
      <c r="E136" s="23" t="s">
        <v>355</v>
      </c>
      <c r="F136" s="23" t="s">
        <v>344</v>
      </c>
      <c r="G136" s="23" t="s">
        <v>239</v>
      </c>
      <c r="H136" s="43" t="s">
        <v>48</v>
      </c>
      <c r="I136" s="23" t="s">
        <v>345</v>
      </c>
      <c r="J136" s="23">
        <v>54.99</v>
      </c>
      <c r="K136" s="23">
        <v>35.41</v>
      </c>
      <c r="L136" s="23"/>
      <c r="M136" s="23"/>
      <c r="N136" s="23"/>
      <c r="O136" s="23" t="s">
        <v>239</v>
      </c>
      <c r="P136" s="23" t="s">
        <v>239</v>
      </c>
      <c r="Q136" s="23" t="s">
        <v>239</v>
      </c>
      <c r="R136" s="23" t="s">
        <v>239</v>
      </c>
      <c r="S136" s="23">
        <v>0</v>
      </c>
      <c r="T136" s="23">
        <v>5</v>
      </c>
      <c r="U136" s="23">
        <v>0</v>
      </c>
      <c r="V136" s="32">
        <v>0</v>
      </c>
      <c r="W136" s="32">
        <v>0.335142419</v>
      </c>
      <c r="X136" s="32">
        <v>0.335084508</v>
      </c>
      <c r="Y136" s="32">
        <v>0</v>
      </c>
      <c r="Z136" s="32">
        <v>0.020731042</v>
      </c>
      <c r="AA136" s="32">
        <v>0.04382882</v>
      </c>
      <c r="AB136" s="32">
        <v>0.073529412</v>
      </c>
      <c r="AC136" s="32">
        <v>0.153508836</v>
      </c>
      <c r="AD136" s="23">
        <f>VLOOKUP(B:B,库存明细报表10.16!L:P,5,0)</f>
        <v>2</v>
      </c>
      <c r="AE136" s="23">
        <f>VLOOKUP(B:B,库存明细报表10.16!L:Q,6,0)</f>
        <v>2</v>
      </c>
      <c r="AF136" s="23">
        <f>VLOOKUP(B:B,库存明细报表10.16!L:T,9,0)</f>
        <v>0</v>
      </c>
      <c r="AG136" s="23">
        <f>VLOOKUP(A:A,进销存报表10.16!A:J,10,0)</f>
        <v>1</v>
      </c>
      <c r="AH136" s="23">
        <f>VLOOKUP(A:A,进销存报表10.16!A:K,11,0)</f>
        <v>0</v>
      </c>
      <c r="AI136" s="23">
        <v>152.19</v>
      </c>
      <c r="AJ136" s="23">
        <v>132.09</v>
      </c>
      <c r="AK136" s="23" t="s">
        <v>239</v>
      </c>
      <c r="AL136" s="26">
        <v>1.666666667</v>
      </c>
      <c r="AM136" s="32" t="e">
        <f t="shared" si="4"/>
        <v>#VALUE!</v>
      </c>
      <c r="AN136" s="44">
        <f t="shared" si="5"/>
        <v>0.0126176596790067</v>
      </c>
      <c r="AO136" s="2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</row>
    <row r="137" s="8" customFormat="1" customHeight="1" spans="1:53">
      <c r="A137" s="13" t="s">
        <v>461</v>
      </c>
      <c r="B137" s="13" t="s">
        <v>462</v>
      </c>
      <c r="C137" s="13" t="s">
        <v>463</v>
      </c>
      <c r="D137" s="23" t="s">
        <v>43</v>
      </c>
      <c r="E137" s="23" t="s">
        <v>355</v>
      </c>
      <c r="F137" s="23" t="s">
        <v>344</v>
      </c>
      <c r="G137" s="23" t="s">
        <v>239</v>
      </c>
      <c r="H137" s="43" t="s">
        <v>288</v>
      </c>
      <c r="I137" s="23" t="s">
        <v>345</v>
      </c>
      <c r="J137" s="23">
        <v>33.99</v>
      </c>
      <c r="K137" s="23">
        <v>22.98</v>
      </c>
      <c r="L137" s="23"/>
      <c r="M137" s="23"/>
      <c r="N137" s="23"/>
      <c r="O137" s="23" t="s">
        <v>239</v>
      </c>
      <c r="P137" s="23" t="s">
        <v>239</v>
      </c>
      <c r="Q137" s="23" t="s">
        <v>239</v>
      </c>
      <c r="R137" s="23" t="s">
        <v>239</v>
      </c>
      <c r="S137" s="23">
        <v>0</v>
      </c>
      <c r="T137" s="23">
        <v>0</v>
      </c>
      <c r="U137" s="23">
        <v>0</v>
      </c>
      <c r="V137" s="32">
        <v>0</v>
      </c>
      <c r="W137" s="32">
        <v>0</v>
      </c>
      <c r="X137" s="32">
        <v>0</v>
      </c>
      <c r="Y137" s="32">
        <v>0</v>
      </c>
      <c r="Z137" s="32" t="s">
        <v>69</v>
      </c>
      <c r="AA137" s="32" t="s">
        <v>69</v>
      </c>
      <c r="AB137" s="32">
        <v>0</v>
      </c>
      <c r="AC137" s="32">
        <v>0</v>
      </c>
      <c r="AD137" s="23" t="e">
        <f>VLOOKUP(B:B,库存明细报表10.16!L:P,5,0)</f>
        <v>#N/A</v>
      </c>
      <c r="AE137" s="23" t="e">
        <f>VLOOKUP(B:B,库存明细报表10.16!L:Q,6,0)</f>
        <v>#N/A</v>
      </c>
      <c r="AF137" s="23" t="e">
        <f>VLOOKUP(B:B,库存明细报表10.16!L:T,9,0)</f>
        <v>#N/A</v>
      </c>
      <c r="AG137" s="23">
        <f>VLOOKUP(A:A,进销存报表10.16!A:J,10,0)</f>
        <v>8</v>
      </c>
      <c r="AH137" s="23">
        <f>VLOOKUP(A:A,进销存报表10.16!A:K,11,0)</f>
        <v>9</v>
      </c>
      <c r="AI137" s="23">
        <v>91.06</v>
      </c>
      <c r="AJ137" s="23">
        <v>61.25</v>
      </c>
      <c r="AK137" s="23" t="s">
        <v>239</v>
      </c>
      <c r="AL137" s="26">
        <v>0</v>
      </c>
      <c r="AM137" s="32" t="e">
        <f t="shared" si="4"/>
        <v>#VALUE!</v>
      </c>
      <c r="AN137" s="44">
        <f t="shared" si="5"/>
        <v>0</v>
      </c>
      <c r="AO137" s="2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</row>
    <row r="138" s="8" customFormat="1" customHeight="1" spans="1:53">
      <c r="A138" s="13" t="s">
        <v>464</v>
      </c>
      <c r="B138" s="13" t="s">
        <v>465</v>
      </c>
      <c r="C138" s="13" t="s">
        <v>466</v>
      </c>
      <c r="D138" s="23" t="s">
        <v>43</v>
      </c>
      <c r="E138" s="23" t="s">
        <v>355</v>
      </c>
      <c r="F138" s="23" t="s">
        <v>344</v>
      </c>
      <c r="G138" s="23" t="s">
        <v>239</v>
      </c>
      <c r="H138" s="43" t="s">
        <v>288</v>
      </c>
      <c r="I138" s="23" t="s">
        <v>345</v>
      </c>
      <c r="J138" s="23">
        <v>37.99</v>
      </c>
      <c r="K138" s="23">
        <v>26.7</v>
      </c>
      <c r="L138" s="23"/>
      <c r="M138" s="23"/>
      <c r="N138" s="23"/>
      <c r="O138" s="23" t="s">
        <v>239</v>
      </c>
      <c r="P138" s="23" t="s">
        <v>239</v>
      </c>
      <c r="Q138" s="23" t="s">
        <v>239</v>
      </c>
      <c r="R138" s="23" t="s">
        <v>239</v>
      </c>
      <c r="S138" s="23" t="s">
        <v>239</v>
      </c>
      <c r="T138" s="23" t="s">
        <v>239</v>
      </c>
      <c r="U138" s="23" t="s">
        <v>239</v>
      </c>
      <c r="V138" s="32">
        <v>0</v>
      </c>
      <c r="W138" s="32">
        <v>0</v>
      </c>
      <c r="X138" s="32" t="s">
        <v>239</v>
      </c>
      <c r="Y138" s="32" t="s">
        <v>239</v>
      </c>
      <c r="Z138" s="32" t="s">
        <v>239</v>
      </c>
      <c r="AA138" s="32" t="s">
        <v>239</v>
      </c>
      <c r="AB138" s="32" t="s">
        <v>239</v>
      </c>
      <c r="AC138" s="32" t="s">
        <v>239</v>
      </c>
      <c r="AD138" s="23" t="e">
        <f>VLOOKUP(B:B,库存明细报表10.16!L:P,5,0)</f>
        <v>#N/A</v>
      </c>
      <c r="AE138" s="23" t="e">
        <f>VLOOKUP(B:B,库存明细报表10.16!L:Q,6,0)</f>
        <v>#N/A</v>
      </c>
      <c r="AF138" s="23" t="e">
        <f>VLOOKUP(B:B,库存明细报表10.16!L:T,9,0)</f>
        <v>#N/A</v>
      </c>
      <c r="AG138" s="23">
        <f>VLOOKUP(A:A,进销存报表10.16!A:J,10,0)</f>
        <v>0</v>
      </c>
      <c r="AH138" s="23">
        <f>VLOOKUP(A:A,进销存报表10.16!A:K,11,0)</f>
        <v>30</v>
      </c>
      <c r="AI138" s="23">
        <v>204.31</v>
      </c>
      <c r="AJ138" s="23">
        <v>165.93</v>
      </c>
      <c r="AK138" s="23" t="s">
        <v>239</v>
      </c>
      <c r="AL138" s="26">
        <v>0</v>
      </c>
      <c r="AM138" s="32" t="e">
        <f t="shared" si="4"/>
        <v>#VALUE!</v>
      </c>
      <c r="AN138" s="44">
        <f t="shared" si="5"/>
        <v>0</v>
      </c>
      <c r="AO138" s="2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</row>
    <row r="139" s="8" customFormat="1" customHeight="1" spans="1:53">
      <c r="A139" s="13" t="s">
        <v>467</v>
      </c>
      <c r="B139" s="13" t="s">
        <v>468</v>
      </c>
      <c r="C139" s="13" t="s">
        <v>469</v>
      </c>
      <c r="D139" s="23" t="s">
        <v>43</v>
      </c>
      <c r="E139" s="23" t="s">
        <v>355</v>
      </c>
      <c r="F139" s="23" t="s">
        <v>344</v>
      </c>
      <c r="G139" s="23" t="s">
        <v>239</v>
      </c>
      <c r="H139" s="43" t="s">
        <v>48</v>
      </c>
      <c r="I139" s="23" t="s">
        <v>345</v>
      </c>
      <c r="J139" s="23">
        <v>29.99</v>
      </c>
      <c r="K139" s="23">
        <v>21.6</v>
      </c>
      <c r="L139" s="23"/>
      <c r="M139" s="23"/>
      <c r="N139" s="23"/>
      <c r="O139" s="23" t="s">
        <v>239</v>
      </c>
      <c r="P139" s="23" t="s">
        <v>239</v>
      </c>
      <c r="Q139" s="23" t="s">
        <v>239</v>
      </c>
      <c r="R139" s="23" t="s">
        <v>239</v>
      </c>
      <c r="S139" s="23">
        <v>0</v>
      </c>
      <c r="T139" s="23">
        <v>8</v>
      </c>
      <c r="U139" s="23">
        <v>5</v>
      </c>
      <c r="V139" s="32">
        <v>0</v>
      </c>
      <c r="W139" s="32">
        <v>0.217031582</v>
      </c>
      <c r="X139" s="32">
        <v>0.216931895</v>
      </c>
      <c r="Y139" s="32">
        <v>0.130436674</v>
      </c>
      <c r="Z139" s="32">
        <v>0.035664579</v>
      </c>
      <c r="AA139" s="32">
        <v>0.053071742</v>
      </c>
      <c r="AB139" s="32">
        <v>0.112676056</v>
      </c>
      <c r="AC139" s="32">
        <v>0.132969087</v>
      </c>
      <c r="AD139" s="23">
        <f>VLOOKUP(B:B,库存明细报表10.16!L:P,5,0)</f>
        <v>8</v>
      </c>
      <c r="AE139" s="23">
        <f>VLOOKUP(B:B,库存明细报表10.16!L:Q,6,0)</f>
        <v>8</v>
      </c>
      <c r="AF139" s="23">
        <f>VLOOKUP(B:B,库存明细报表10.16!L:T,9,0)</f>
        <v>0</v>
      </c>
      <c r="AG139" s="23">
        <f>VLOOKUP(A:A,进销存报表10.16!A:J,10,0)</f>
        <v>2</v>
      </c>
      <c r="AH139" s="23">
        <f>VLOOKUP(A:A,进销存报表10.16!A:K,11,0)</f>
        <v>4</v>
      </c>
      <c r="AI139" s="23">
        <v>149.41</v>
      </c>
      <c r="AJ139" s="23">
        <v>121.91</v>
      </c>
      <c r="AK139" s="23" t="s">
        <v>239</v>
      </c>
      <c r="AL139" s="26">
        <v>2.666666667</v>
      </c>
      <c r="AM139" s="32" t="e">
        <f t="shared" si="4"/>
        <v>#VALUE!</v>
      </c>
      <c r="AN139" s="44">
        <f t="shared" si="5"/>
        <v>0.0218740601017144</v>
      </c>
      <c r="AO139" s="2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</row>
    <row r="140" s="8" customFormat="1" customHeight="1" spans="1:53">
      <c r="A140" s="13" t="s">
        <v>470</v>
      </c>
      <c r="B140" s="13" t="s">
        <v>471</v>
      </c>
      <c r="C140" s="13" t="s">
        <v>472</v>
      </c>
      <c r="D140" s="23" t="s">
        <v>43</v>
      </c>
      <c r="E140" s="23" t="s">
        <v>343</v>
      </c>
      <c r="F140" s="23" t="s">
        <v>344</v>
      </c>
      <c r="G140" s="23" t="s">
        <v>239</v>
      </c>
      <c r="H140" s="43" t="s">
        <v>46</v>
      </c>
      <c r="I140" s="23" t="s">
        <v>345</v>
      </c>
      <c r="J140" s="23">
        <v>127.99</v>
      </c>
      <c r="K140" s="23">
        <v>97.87</v>
      </c>
      <c r="L140" s="23"/>
      <c r="M140" s="23"/>
      <c r="N140" s="23"/>
      <c r="O140" s="23" t="s">
        <v>239</v>
      </c>
      <c r="P140" s="23" t="s">
        <v>239</v>
      </c>
      <c r="Q140" s="23" t="s">
        <v>239</v>
      </c>
      <c r="R140" s="23" t="s">
        <v>239</v>
      </c>
      <c r="S140" s="23">
        <v>3</v>
      </c>
      <c r="T140" s="23">
        <v>18</v>
      </c>
      <c r="U140" s="23">
        <v>1</v>
      </c>
      <c r="V140" s="32">
        <v>0</v>
      </c>
      <c r="W140" s="32">
        <v>0.157230293</v>
      </c>
      <c r="X140" s="32">
        <v>0.139556996</v>
      </c>
      <c r="Y140" s="32">
        <v>0.164714218</v>
      </c>
      <c r="Z140" s="32">
        <v>0.007476274</v>
      </c>
      <c r="AA140" s="32">
        <v>0.082973008</v>
      </c>
      <c r="AB140" s="32">
        <v>0.1</v>
      </c>
      <c r="AC140" s="32">
        <v>0.040743735</v>
      </c>
      <c r="AD140" s="23" t="e">
        <f>VLOOKUP(B:B,库存明细报表10.16!L:P,5,0)</f>
        <v>#N/A</v>
      </c>
      <c r="AE140" s="23" t="e">
        <f>VLOOKUP(B:B,库存明细报表10.16!L:Q,6,0)</f>
        <v>#N/A</v>
      </c>
      <c r="AF140" s="23" t="e">
        <f>VLOOKUP(B:B,库存明细报表10.16!L:T,9,0)</f>
        <v>#N/A</v>
      </c>
      <c r="AG140" s="23">
        <f>VLOOKUP(A:A,进销存报表10.16!A:J,10,0)</f>
        <v>0</v>
      </c>
      <c r="AH140" s="23">
        <f>VLOOKUP(A:A,进销存报表10.16!A:K,11,0)</f>
        <v>36</v>
      </c>
      <c r="AI140" s="23">
        <v>234.69</v>
      </c>
      <c r="AJ140" s="23">
        <v>132.54</v>
      </c>
      <c r="AK140" s="23" t="s">
        <v>239</v>
      </c>
      <c r="AL140" s="26">
        <v>8</v>
      </c>
      <c r="AM140" s="32" t="e">
        <f t="shared" si="4"/>
        <v>#VALUE!</v>
      </c>
      <c r="AN140" s="44">
        <f t="shared" si="5"/>
        <v>0.0603591368643428</v>
      </c>
      <c r="AO140" s="2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</row>
    <row r="141" s="8" customFormat="1" customHeight="1" spans="1:53">
      <c r="A141" s="13" t="s">
        <v>473</v>
      </c>
      <c r="B141" s="13" t="s">
        <v>474</v>
      </c>
      <c r="C141" s="13" t="s">
        <v>475</v>
      </c>
      <c r="D141" s="23" t="s">
        <v>211</v>
      </c>
      <c r="E141" s="23" t="s">
        <v>55</v>
      </c>
      <c r="F141" s="23" t="s">
        <v>45</v>
      </c>
      <c r="G141" s="23" t="s">
        <v>239</v>
      </c>
      <c r="H141" s="43" t="s">
        <v>288</v>
      </c>
      <c r="I141" s="23" t="s">
        <v>239</v>
      </c>
      <c r="J141" s="23">
        <v>114.39</v>
      </c>
      <c r="K141" s="23">
        <v>58.94</v>
      </c>
      <c r="L141" s="23" t="s">
        <v>239</v>
      </c>
      <c r="M141" s="23" t="s">
        <v>239</v>
      </c>
      <c r="N141" s="23" t="s">
        <v>239</v>
      </c>
      <c r="O141" s="23">
        <v>0</v>
      </c>
      <c r="P141" s="23">
        <v>0</v>
      </c>
      <c r="Q141" s="23">
        <v>0</v>
      </c>
      <c r="R141" s="23">
        <v>0</v>
      </c>
      <c r="S141" s="23" t="s">
        <v>239</v>
      </c>
      <c r="T141" s="23" t="s">
        <v>239</v>
      </c>
      <c r="U141" s="23" t="s">
        <v>239</v>
      </c>
      <c r="V141" s="32">
        <v>0</v>
      </c>
      <c r="W141" s="32">
        <v>0</v>
      </c>
      <c r="X141" s="32" t="s">
        <v>239</v>
      </c>
      <c r="Y141" s="32" t="s">
        <v>239</v>
      </c>
      <c r="Z141" s="32" t="s">
        <v>239</v>
      </c>
      <c r="AA141" s="32" t="s">
        <v>239</v>
      </c>
      <c r="AB141" s="32" t="s">
        <v>239</v>
      </c>
      <c r="AC141" s="32" t="s">
        <v>239</v>
      </c>
      <c r="AD141" s="23" t="e">
        <f>VLOOKUP(B:B,库存明细报表10.16!L:P,5,0)</f>
        <v>#N/A</v>
      </c>
      <c r="AE141" s="23" t="e">
        <f>VLOOKUP(B:B,库存明细报表10.16!L:Q,6,0)</f>
        <v>#N/A</v>
      </c>
      <c r="AF141" s="23" t="e">
        <f>VLOOKUP(B:B,库存明细报表10.16!L:T,9,0)</f>
        <v>#N/A</v>
      </c>
      <c r="AG141" s="23">
        <f>VLOOKUP(A:A,进销存报表10.16!A:J,10,0)</f>
        <v>0</v>
      </c>
      <c r="AH141" s="23">
        <f>VLOOKUP(A:A,进销存报表10.16!A:K,11,0)</f>
        <v>0</v>
      </c>
      <c r="AI141" s="23" t="s">
        <v>239</v>
      </c>
      <c r="AJ141" s="23">
        <v>0</v>
      </c>
      <c r="AK141" s="23" t="s">
        <v>239</v>
      </c>
      <c r="AL141" s="26">
        <v>0</v>
      </c>
      <c r="AM141" s="32" t="e">
        <f t="shared" si="4"/>
        <v>#VALUE!</v>
      </c>
      <c r="AN141" s="44" t="e">
        <f t="shared" si="5"/>
        <v>#DIV/0!</v>
      </c>
      <c r="AO141" s="2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</row>
    <row r="142" s="8" customFormat="1" customHeight="1" spans="1:53">
      <c r="A142" s="13" t="s">
        <v>476</v>
      </c>
      <c r="B142" s="13" t="s">
        <v>477</v>
      </c>
      <c r="C142" s="13" t="s">
        <v>478</v>
      </c>
      <c r="D142" s="23" t="s">
        <v>211</v>
      </c>
      <c r="E142" s="23" t="s">
        <v>44</v>
      </c>
      <c r="F142" s="23" t="s">
        <v>45</v>
      </c>
      <c r="G142" s="23" t="s">
        <v>239</v>
      </c>
      <c r="H142" s="43" t="s">
        <v>48</v>
      </c>
      <c r="I142" s="23" t="s">
        <v>48</v>
      </c>
      <c r="J142" s="23">
        <v>44.99</v>
      </c>
      <c r="K142" s="23">
        <v>24.71</v>
      </c>
      <c r="L142" s="23">
        <v>26.8</v>
      </c>
      <c r="M142" s="23">
        <v>24.12</v>
      </c>
      <c r="N142" s="23">
        <v>29.48</v>
      </c>
      <c r="O142" s="23">
        <v>0</v>
      </c>
      <c r="P142" s="23">
        <v>0</v>
      </c>
      <c r="Q142" s="23">
        <v>0</v>
      </c>
      <c r="R142" s="23">
        <v>1</v>
      </c>
      <c r="S142" s="23">
        <v>1</v>
      </c>
      <c r="T142" s="23">
        <v>0</v>
      </c>
      <c r="U142" s="23">
        <v>0</v>
      </c>
      <c r="V142" s="32">
        <v>0</v>
      </c>
      <c r="W142" s="32">
        <v>0.206000897</v>
      </c>
      <c r="X142" s="32">
        <v>0</v>
      </c>
      <c r="Y142" s="32">
        <v>0</v>
      </c>
      <c r="Z142" s="32" t="s">
        <v>69</v>
      </c>
      <c r="AA142" s="32" t="s">
        <v>69</v>
      </c>
      <c r="AB142" s="32">
        <v>0</v>
      </c>
      <c r="AC142" s="32">
        <v>0</v>
      </c>
      <c r="AD142" s="23" t="e">
        <f>VLOOKUP(B:B,库存明细报表10.16!L:P,5,0)</f>
        <v>#N/A</v>
      </c>
      <c r="AE142" s="23" t="e">
        <f>VLOOKUP(B:B,库存明细报表10.16!L:Q,6,0)</f>
        <v>#N/A</v>
      </c>
      <c r="AF142" s="23" t="e">
        <f>VLOOKUP(B:B,库存明细报表10.16!L:T,9,0)</f>
        <v>#N/A</v>
      </c>
      <c r="AG142" s="23">
        <f>VLOOKUP(A:A,进销存报表10.16!A:J,10,0)</f>
        <v>68</v>
      </c>
      <c r="AH142" s="23">
        <f>VLOOKUP(A:A,进销存报表10.16!A:K,11,0)</f>
        <v>48</v>
      </c>
      <c r="AI142" s="23">
        <v>1076.39</v>
      </c>
      <c r="AJ142" s="23">
        <v>754.93</v>
      </c>
      <c r="AK142" s="23" t="s">
        <v>239</v>
      </c>
      <c r="AL142" s="26">
        <v>0.666666667</v>
      </c>
      <c r="AM142" s="32" t="e">
        <f t="shared" si="4"/>
        <v>#VALUE!</v>
      </c>
      <c r="AN142" s="44">
        <f t="shared" si="5"/>
        <v>0.000883084083292491</v>
      </c>
      <c r="AO142" s="2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</row>
    <row r="143" s="8" customFormat="1" customHeight="1" spans="1:53">
      <c r="A143" s="13" t="s">
        <v>479</v>
      </c>
      <c r="B143" s="13" t="s">
        <v>480</v>
      </c>
      <c r="C143" s="13" t="s">
        <v>481</v>
      </c>
      <c r="D143" s="23" t="s">
        <v>211</v>
      </c>
      <c r="E143" s="23" t="s">
        <v>44</v>
      </c>
      <c r="F143" s="23" t="s">
        <v>45</v>
      </c>
      <c r="G143" s="23" t="s">
        <v>239</v>
      </c>
      <c r="H143" s="43" t="s">
        <v>288</v>
      </c>
      <c r="I143" s="23" t="s">
        <v>46</v>
      </c>
      <c r="J143" s="23">
        <v>36.99</v>
      </c>
      <c r="K143" s="23">
        <v>18.13</v>
      </c>
      <c r="L143" s="23">
        <v>26.15</v>
      </c>
      <c r="M143" s="23">
        <v>23.53</v>
      </c>
      <c r="N143" s="23">
        <v>28.76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32">
        <v>0</v>
      </c>
      <c r="W143" s="32">
        <v>0</v>
      </c>
      <c r="X143" s="32">
        <v>0</v>
      </c>
      <c r="Y143" s="32">
        <v>0</v>
      </c>
      <c r="Z143" s="32" t="s">
        <v>69</v>
      </c>
      <c r="AA143" s="32" t="s">
        <v>69</v>
      </c>
      <c r="AB143" s="32">
        <v>0</v>
      </c>
      <c r="AC143" s="32">
        <v>0</v>
      </c>
      <c r="AD143" s="23" t="e">
        <f>VLOOKUP(B:B,库存明细报表10.16!L:P,5,0)</f>
        <v>#N/A</v>
      </c>
      <c r="AE143" s="23" t="e">
        <f>VLOOKUP(B:B,库存明细报表10.16!L:Q,6,0)</f>
        <v>#N/A</v>
      </c>
      <c r="AF143" s="23" t="e">
        <f>VLOOKUP(B:B,库存明细报表10.16!L:T,9,0)</f>
        <v>#N/A</v>
      </c>
      <c r="AG143" s="23">
        <f>VLOOKUP(A:A,进销存报表10.16!A:J,10,0)</f>
        <v>0</v>
      </c>
      <c r="AH143" s="23">
        <f>VLOOKUP(A:A,进销存报表10.16!A:K,11,0)</f>
        <v>72</v>
      </c>
      <c r="AI143" s="23">
        <v>605.76</v>
      </c>
      <c r="AJ143" s="23">
        <v>434.18</v>
      </c>
      <c r="AK143" s="23" t="s">
        <v>239</v>
      </c>
      <c r="AL143" s="26">
        <v>0</v>
      </c>
      <c r="AM143" s="32" t="e">
        <f t="shared" si="4"/>
        <v>#VALUE!</v>
      </c>
      <c r="AN143" s="44">
        <f t="shared" si="5"/>
        <v>0</v>
      </c>
      <c r="AO143" s="2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</row>
    <row r="144" s="8" customFormat="1" customHeight="1" spans="1:53">
      <c r="A144" s="13" t="s">
        <v>482</v>
      </c>
      <c r="B144" s="13" t="s">
        <v>483</v>
      </c>
      <c r="C144" s="13" t="s">
        <v>484</v>
      </c>
      <c r="D144" s="23" t="s">
        <v>211</v>
      </c>
      <c r="E144" s="23" t="s">
        <v>55</v>
      </c>
      <c r="F144" s="23" t="s">
        <v>45</v>
      </c>
      <c r="G144" s="23" t="s">
        <v>239</v>
      </c>
      <c r="H144" s="43" t="s">
        <v>46</v>
      </c>
      <c r="I144" s="23" t="s">
        <v>46</v>
      </c>
      <c r="J144" s="23">
        <v>42.99</v>
      </c>
      <c r="K144" s="23">
        <v>22.45</v>
      </c>
      <c r="L144" s="23">
        <v>23.57</v>
      </c>
      <c r="M144" s="23">
        <v>21.21</v>
      </c>
      <c r="N144" s="23">
        <v>25.92</v>
      </c>
      <c r="O144" s="23">
        <v>0</v>
      </c>
      <c r="P144" s="23">
        <v>0</v>
      </c>
      <c r="Q144" s="23">
        <v>0</v>
      </c>
      <c r="R144" s="23">
        <v>0</v>
      </c>
      <c r="S144" s="23">
        <v>0</v>
      </c>
      <c r="T144" s="23">
        <v>1</v>
      </c>
      <c r="U144" s="23">
        <v>0</v>
      </c>
      <c r="V144" s="32">
        <v>0</v>
      </c>
      <c r="W144" s="32">
        <v>0.055175588</v>
      </c>
      <c r="X144" s="32">
        <v>0.09224367</v>
      </c>
      <c r="Y144" s="32">
        <v>0</v>
      </c>
      <c r="Z144" s="32">
        <v>0.137393351</v>
      </c>
      <c r="AA144" s="32">
        <v>0.108855546</v>
      </c>
      <c r="AB144" s="32">
        <v>0.020408163</v>
      </c>
      <c r="AC144" s="32">
        <v>0.090900662</v>
      </c>
      <c r="AD144" s="23" t="e">
        <f>VLOOKUP(B:B,库存明细报表10.16!L:P,5,0)</f>
        <v>#N/A</v>
      </c>
      <c r="AE144" s="23" t="e">
        <f>VLOOKUP(B:B,库存明细报表10.16!L:Q,6,0)</f>
        <v>#N/A</v>
      </c>
      <c r="AF144" s="23" t="e">
        <f>VLOOKUP(B:B,库存明细报表10.16!L:T,9,0)</f>
        <v>#N/A</v>
      </c>
      <c r="AG144" s="23">
        <f>VLOOKUP(A:A,进销存报表10.16!A:J,10,0)</f>
        <v>28</v>
      </c>
      <c r="AH144" s="23">
        <f>VLOOKUP(A:A,进销存报表10.16!A:K,11,0)</f>
        <v>1</v>
      </c>
      <c r="AI144" s="23">
        <v>263.27</v>
      </c>
      <c r="AJ144" s="23">
        <v>104.78</v>
      </c>
      <c r="AK144" s="23" t="s">
        <v>239</v>
      </c>
      <c r="AL144" s="26">
        <v>0.333333333</v>
      </c>
      <c r="AM144" s="32" t="e">
        <f t="shared" si="4"/>
        <v>#VALUE!</v>
      </c>
      <c r="AN144" s="44">
        <f t="shared" si="5"/>
        <v>0.00318126868677228</v>
      </c>
      <c r="AO144" s="2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</row>
    <row r="145" s="8" customFormat="1" customHeight="1" spans="1:53">
      <c r="A145" s="13" t="s">
        <v>485</v>
      </c>
      <c r="B145" s="13" t="s">
        <v>486</v>
      </c>
      <c r="C145" s="13" t="s">
        <v>487</v>
      </c>
      <c r="D145" s="23" t="s">
        <v>211</v>
      </c>
      <c r="E145" s="23" t="s">
        <v>55</v>
      </c>
      <c r="F145" s="23" t="s">
        <v>45</v>
      </c>
      <c r="G145" s="23" t="s">
        <v>239</v>
      </c>
      <c r="H145" s="43" t="s">
        <v>46</v>
      </c>
      <c r="I145" s="23" t="s">
        <v>46</v>
      </c>
      <c r="J145" s="23">
        <v>36.99</v>
      </c>
      <c r="K145" s="23">
        <v>18.7</v>
      </c>
      <c r="L145" s="23">
        <v>33.07</v>
      </c>
      <c r="M145" s="23">
        <v>29.77</v>
      </c>
      <c r="N145" s="23">
        <v>36.38</v>
      </c>
      <c r="O145" s="23">
        <v>0</v>
      </c>
      <c r="P145" s="23">
        <v>0</v>
      </c>
      <c r="Q145" s="23">
        <v>0</v>
      </c>
      <c r="R145" s="23">
        <v>0</v>
      </c>
      <c r="S145" s="23">
        <v>0</v>
      </c>
      <c r="T145" s="23">
        <v>1</v>
      </c>
      <c r="U145" s="23">
        <v>1</v>
      </c>
      <c r="V145" s="32">
        <v>0</v>
      </c>
      <c r="W145" s="32">
        <v>0.014042559</v>
      </c>
      <c r="X145" s="32">
        <v>0.220060899</v>
      </c>
      <c r="Y145" s="32">
        <v>0</v>
      </c>
      <c r="Z145" s="32">
        <v>0.011115228</v>
      </c>
      <c r="AA145" s="32">
        <v>0.114486847</v>
      </c>
      <c r="AB145" s="32">
        <v>0.090909091</v>
      </c>
      <c r="AC145" s="32">
        <v>0</v>
      </c>
      <c r="AD145" s="23" t="e">
        <f>VLOOKUP(B:B,库存明细报表10.16!L:P,5,0)</f>
        <v>#N/A</v>
      </c>
      <c r="AE145" s="23" t="e">
        <f>VLOOKUP(B:B,库存明细报表10.16!L:Q,6,0)</f>
        <v>#N/A</v>
      </c>
      <c r="AF145" s="23" t="e">
        <f>VLOOKUP(B:B,库存明细报表10.16!L:T,9,0)</f>
        <v>#N/A</v>
      </c>
      <c r="AG145" s="23">
        <f>VLOOKUP(A:A,进销存报表10.16!A:J,10,0)</f>
        <v>5</v>
      </c>
      <c r="AH145" s="23">
        <f>VLOOKUP(A:A,进销存报表10.16!A:K,11,0)</f>
        <v>8</v>
      </c>
      <c r="AI145" s="23">
        <v>309.75</v>
      </c>
      <c r="AJ145" s="23">
        <v>193.9</v>
      </c>
      <c r="AK145" s="23" t="s">
        <v>239</v>
      </c>
      <c r="AL145" s="26">
        <v>0.333333333</v>
      </c>
      <c r="AM145" s="32" t="e">
        <f t="shared" si="4"/>
        <v>#VALUE!</v>
      </c>
      <c r="AN145" s="44">
        <f t="shared" si="5"/>
        <v>0.00171909919030428</v>
      </c>
      <c r="AO145" s="2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</row>
    <row r="146" s="8" customFormat="1" customHeight="1" spans="1:53">
      <c r="A146" s="13" t="s">
        <v>488</v>
      </c>
      <c r="B146" s="13" t="s">
        <v>489</v>
      </c>
      <c r="C146" s="13" t="s">
        <v>490</v>
      </c>
      <c r="D146" s="23" t="s">
        <v>211</v>
      </c>
      <c r="E146" s="23" t="s">
        <v>55</v>
      </c>
      <c r="F146" s="23" t="s">
        <v>45</v>
      </c>
      <c r="G146" s="23" t="s">
        <v>239</v>
      </c>
      <c r="H146" s="43" t="s">
        <v>288</v>
      </c>
      <c r="I146" s="23" t="s">
        <v>48</v>
      </c>
      <c r="J146" s="23">
        <v>27.28</v>
      </c>
      <c r="K146" s="23">
        <v>12.49</v>
      </c>
      <c r="L146" s="23"/>
      <c r="M146" s="23"/>
      <c r="N146" s="23"/>
      <c r="O146" s="23">
        <v>0</v>
      </c>
      <c r="P146" s="23">
        <v>0</v>
      </c>
      <c r="Q146" s="23">
        <v>0</v>
      </c>
      <c r="R146" s="23">
        <v>0</v>
      </c>
      <c r="S146" s="23">
        <v>0</v>
      </c>
      <c r="T146" s="23">
        <v>0</v>
      </c>
      <c r="U146" s="23">
        <v>1</v>
      </c>
      <c r="V146" s="32">
        <v>0</v>
      </c>
      <c r="W146" s="32">
        <v>0</v>
      </c>
      <c r="X146" s="32">
        <v>0</v>
      </c>
      <c r="Y146" s="32">
        <v>0</v>
      </c>
      <c r="Z146" s="32" t="s">
        <v>69</v>
      </c>
      <c r="AA146" s="32" t="s">
        <v>69</v>
      </c>
      <c r="AB146" s="32">
        <v>0</v>
      </c>
      <c r="AC146" s="32">
        <v>0</v>
      </c>
      <c r="AD146" s="23" t="e">
        <f>VLOOKUP(B:B,库存明细报表10.16!L:P,5,0)</f>
        <v>#N/A</v>
      </c>
      <c r="AE146" s="23" t="e">
        <f>VLOOKUP(B:B,库存明细报表10.16!L:Q,6,0)</f>
        <v>#N/A</v>
      </c>
      <c r="AF146" s="23" t="e">
        <f>VLOOKUP(B:B,库存明细报表10.16!L:T,9,0)</f>
        <v>#N/A</v>
      </c>
      <c r="AG146" s="23">
        <f>VLOOKUP(A:A,进销存报表10.16!A:J,10,0)</f>
        <v>26</v>
      </c>
      <c r="AH146" s="23">
        <f>VLOOKUP(A:A,进销存报表10.16!A:K,11,0)</f>
        <v>38</v>
      </c>
      <c r="AI146" s="23">
        <v>324.6</v>
      </c>
      <c r="AJ146" s="23">
        <v>261.89</v>
      </c>
      <c r="AK146" s="23" t="s">
        <v>239</v>
      </c>
      <c r="AL146" s="26">
        <v>0</v>
      </c>
      <c r="AM146" s="32" t="e">
        <f t="shared" si="4"/>
        <v>#VALUE!</v>
      </c>
      <c r="AN146" s="44">
        <f t="shared" si="5"/>
        <v>0</v>
      </c>
      <c r="AO146" s="2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</row>
    <row r="147" s="8" customFormat="1" customHeight="1" spans="1:53">
      <c r="A147" s="13" t="s">
        <v>491</v>
      </c>
      <c r="B147" s="13" t="s">
        <v>492</v>
      </c>
      <c r="C147" s="13" t="s">
        <v>493</v>
      </c>
      <c r="D147" s="23" t="s">
        <v>211</v>
      </c>
      <c r="E147" s="23" t="s">
        <v>55</v>
      </c>
      <c r="F147" s="23" t="s">
        <v>45</v>
      </c>
      <c r="G147" s="23" t="s">
        <v>239</v>
      </c>
      <c r="H147" s="43" t="s">
        <v>288</v>
      </c>
      <c r="I147" s="23" t="s">
        <v>46</v>
      </c>
      <c r="J147" s="23">
        <v>151.99</v>
      </c>
      <c r="K147" s="23">
        <v>107.47</v>
      </c>
      <c r="L147" s="23"/>
      <c r="M147" s="23"/>
      <c r="N147" s="23"/>
      <c r="O147" s="23">
        <v>0</v>
      </c>
      <c r="P147" s="23">
        <v>0</v>
      </c>
      <c r="Q147" s="23">
        <v>0</v>
      </c>
      <c r="R147" s="23">
        <v>0</v>
      </c>
      <c r="S147" s="23">
        <v>0</v>
      </c>
      <c r="T147" s="23">
        <v>0</v>
      </c>
      <c r="U147" s="23" t="s">
        <v>239</v>
      </c>
      <c r="V147" s="32">
        <v>0</v>
      </c>
      <c r="W147" s="32">
        <v>0</v>
      </c>
      <c r="X147" s="32" t="s">
        <v>239</v>
      </c>
      <c r="Y147" s="32" t="s">
        <v>239</v>
      </c>
      <c r="Z147" s="32" t="s">
        <v>239</v>
      </c>
      <c r="AA147" s="32" t="s">
        <v>239</v>
      </c>
      <c r="AB147" s="32">
        <v>0</v>
      </c>
      <c r="AC147" s="32" t="s">
        <v>69</v>
      </c>
      <c r="AD147" s="23" t="e">
        <f>VLOOKUP(B:B,库存明细报表10.16!L:P,5,0)</f>
        <v>#N/A</v>
      </c>
      <c r="AE147" s="23" t="e">
        <f>VLOOKUP(B:B,库存明细报表10.16!L:Q,6,0)</f>
        <v>#N/A</v>
      </c>
      <c r="AF147" s="23" t="e">
        <f>VLOOKUP(B:B,库存明细报表10.16!L:T,9,0)</f>
        <v>#N/A</v>
      </c>
      <c r="AG147" s="23">
        <f>VLOOKUP(A:A,进销存报表10.16!A:J,10,0)</f>
        <v>7</v>
      </c>
      <c r="AH147" s="23">
        <f>VLOOKUP(A:A,进销存报表10.16!A:K,11,0)</f>
        <v>0</v>
      </c>
      <c r="AI147" s="23">
        <v>755.56</v>
      </c>
      <c r="AJ147" s="23">
        <v>816.63</v>
      </c>
      <c r="AK147" s="23" t="s">
        <v>239</v>
      </c>
      <c r="AL147" s="26">
        <v>0</v>
      </c>
      <c r="AM147" s="32" t="e">
        <f t="shared" si="4"/>
        <v>#VALUE!</v>
      </c>
      <c r="AN147" s="44">
        <f t="shared" si="5"/>
        <v>0</v>
      </c>
      <c r="AO147" s="2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</row>
    <row r="148" s="8" customFormat="1" customHeight="1" spans="1:53">
      <c r="A148" s="13" t="s">
        <v>494</v>
      </c>
      <c r="B148" s="13" t="s">
        <v>495</v>
      </c>
      <c r="C148" s="13" t="s">
        <v>496</v>
      </c>
      <c r="D148" s="23" t="s">
        <v>211</v>
      </c>
      <c r="E148" s="23" t="s">
        <v>44</v>
      </c>
      <c r="F148" s="23" t="s">
        <v>45</v>
      </c>
      <c r="G148" s="23" t="s">
        <v>239</v>
      </c>
      <c r="H148" s="43" t="s">
        <v>288</v>
      </c>
      <c r="I148" s="23" t="s">
        <v>48</v>
      </c>
      <c r="J148" s="23">
        <v>39.99</v>
      </c>
      <c r="K148" s="23">
        <v>20.81</v>
      </c>
      <c r="L148" s="23">
        <v>25.8</v>
      </c>
      <c r="M148" s="23">
        <v>23.22</v>
      </c>
      <c r="N148" s="23">
        <v>28.39</v>
      </c>
      <c r="O148" s="23">
        <v>0</v>
      </c>
      <c r="P148" s="23">
        <v>0</v>
      </c>
      <c r="Q148" s="23">
        <v>0</v>
      </c>
      <c r="R148" s="23">
        <v>0</v>
      </c>
      <c r="S148" s="23">
        <v>0</v>
      </c>
      <c r="T148" s="23">
        <v>0</v>
      </c>
      <c r="U148" s="23">
        <v>1</v>
      </c>
      <c r="V148" s="32">
        <v>0</v>
      </c>
      <c r="W148" s="32">
        <v>0</v>
      </c>
      <c r="X148" s="32" t="s">
        <v>239</v>
      </c>
      <c r="Y148" s="32" t="s">
        <v>239</v>
      </c>
      <c r="Z148" s="32" t="s">
        <v>239</v>
      </c>
      <c r="AA148" s="32" t="s">
        <v>239</v>
      </c>
      <c r="AB148" s="32">
        <v>0</v>
      </c>
      <c r="AC148" s="32" t="s">
        <v>69</v>
      </c>
      <c r="AD148" s="23" t="e">
        <f>VLOOKUP(B:B,库存明细报表10.16!L:P,5,0)</f>
        <v>#N/A</v>
      </c>
      <c r="AE148" s="23" t="e">
        <f>VLOOKUP(B:B,库存明细报表10.16!L:Q,6,0)</f>
        <v>#N/A</v>
      </c>
      <c r="AF148" s="23" t="e">
        <f>VLOOKUP(B:B,库存明细报表10.16!L:T,9,0)</f>
        <v>#N/A</v>
      </c>
      <c r="AG148" s="23">
        <f>VLOOKUP(A:A,进销存报表10.16!A:J,10,0)</f>
        <v>8</v>
      </c>
      <c r="AH148" s="23">
        <f>VLOOKUP(A:A,进销存报表10.16!A:K,11,0)</f>
        <v>3</v>
      </c>
      <c r="AI148" s="23">
        <v>29.52</v>
      </c>
      <c r="AJ148" s="23">
        <v>19.48</v>
      </c>
      <c r="AK148" s="23" t="s">
        <v>239</v>
      </c>
      <c r="AL148" s="26">
        <v>0</v>
      </c>
      <c r="AM148" s="32" t="e">
        <f t="shared" si="4"/>
        <v>#VALUE!</v>
      </c>
      <c r="AN148" s="44">
        <f t="shared" si="5"/>
        <v>0</v>
      </c>
      <c r="AO148" s="2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</row>
    <row r="149" s="8" customFormat="1" customHeight="1" spans="1:53">
      <c r="A149" s="13" t="s">
        <v>497</v>
      </c>
      <c r="B149" s="13" t="s">
        <v>498</v>
      </c>
      <c r="C149" s="13" t="s">
        <v>499</v>
      </c>
      <c r="D149" s="23" t="s">
        <v>211</v>
      </c>
      <c r="E149" s="23" t="s">
        <v>44</v>
      </c>
      <c r="F149" s="23" t="s">
        <v>45</v>
      </c>
      <c r="G149" s="23" t="s">
        <v>239</v>
      </c>
      <c r="H149" s="43" t="s">
        <v>288</v>
      </c>
      <c r="I149" s="23" t="s">
        <v>46</v>
      </c>
      <c r="J149" s="23">
        <v>29.99</v>
      </c>
      <c r="K149" s="23">
        <v>14.01</v>
      </c>
      <c r="L149" s="23">
        <v>22.06</v>
      </c>
      <c r="M149" s="23">
        <v>19.85</v>
      </c>
      <c r="N149" s="23">
        <v>24.26</v>
      </c>
      <c r="O149" s="23">
        <v>0</v>
      </c>
      <c r="P149" s="23">
        <v>0</v>
      </c>
      <c r="Q149" s="23">
        <v>0</v>
      </c>
      <c r="R149" s="23">
        <v>0</v>
      </c>
      <c r="S149" s="23">
        <v>0</v>
      </c>
      <c r="T149" s="23">
        <v>0</v>
      </c>
      <c r="U149" s="23">
        <v>0</v>
      </c>
      <c r="V149" s="32">
        <v>0</v>
      </c>
      <c r="W149" s="32">
        <v>0</v>
      </c>
      <c r="X149" s="32">
        <v>0</v>
      </c>
      <c r="Y149" s="32">
        <v>0</v>
      </c>
      <c r="Z149" s="32" t="s">
        <v>69</v>
      </c>
      <c r="AA149" s="32" t="s">
        <v>69</v>
      </c>
      <c r="AB149" s="32">
        <v>0</v>
      </c>
      <c r="AC149" s="32">
        <v>0</v>
      </c>
      <c r="AD149" s="23" t="e">
        <f>VLOOKUP(B:B,库存明细报表10.16!L:P,5,0)</f>
        <v>#N/A</v>
      </c>
      <c r="AE149" s="23" t="e">
        <f>VLOOKUP(B:B,库存明细报表10.16!L:Q,6,0)</f>
        <v>#N/A</v>
      </c>
      <c r="AF149" s="23" t="e">
        <f>VLOOKUP(B:B,库存明细报表10.16!L:T,9,0)</f>
        <v>#N/A</v>
      </c>
      <c r="AG149" s="23">
        <f>VLOOKUP(A:A,进销存报表10.16!A:J,10,0)</f>
        <v>18</v>
      </c>
      <c r="AH149" s="23">
        <f>VLOOKUP(A:A,进销存报表10.16!A:K,11,0)</f>
        <v>20</v>
      </c>
      <c r="AI149" s="23">
        <v>271.12</v>
      </c>
      <c r="AJ149" s="23">
        <v>220.65</v>
      </c>
      <c r="AK149" s="23" t="s">
        <v>239</v>
      </c>
      <c r="AL149" s="26">
        <v>0</v>
      </c>
      <c r="AM149" s="32" t="e">
        <f t="shared" si="4"/>
        <v>#VALUE!</v>
      </c>
      <c r="AN149" s="44">
        <f t="shared" si="5"/>
        <v>0</v>
      </c>
      <c r="AO149" s="2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</row>
    <row r="150" s="8" customFormat="1" customHeight="1" spans="1:53">
      <c r="A150" s="13" t="s">
        <v>500</v>
      </c>
      <c r="B150" s="13" t="s">
        <v>501</v>
      </c>
      <c r="C150" s="13" t="s">
        <v>502</v>
      </c>
      <c r="D150" s="23" t="s">
        <v>211</v>
      </c>
      <c r="E150" s="23" t="s">
        <v>55</v>
      </c>
      <c r="F150" s="23" t="s">
        <v>45</v>
      </c>
      <c r="G150" s="23" t="s">
        <v>239</v>
      </c>
      <c r="H150" s="43" t="s">
        <v>288</v>
      </c>
      <c r="I150" s="23" t="s">
        <v>46</v>
      </c>
      <c r="J150" s="23">
        <v>33.41</v>
      </c>
      <c r="K150" s="23">
        <v>16.32</v>
      </c>
      <c r="L150" s="23">
        <v>23.15</v>
      </c>
      <c r="M150" s="23">
        <v>20.84</v>
      </c>
      <c r="N150" s="23">
        <v>25.47</v>
      </c>
      <c r="O150" s="23">
        <v>0</v>
      </c>
      <c r="P150" s="23">
        <v>0</v>
      </c>
      <c r="Q150" s="23">
        <v>0</v>
      </c>
      <c r="R150" s="23">
        <v>0</v>
      </c>
      <c r="S150" s="23">
        <v>0</v>
      </c>
      <c r="T150" s="23">
        <v>0</v>
      </c>
      <c r="U150" s="23" t="s">
        <v>239</v>
      </c>
      <c r="V150" s="32">
        <v>0</v>
      </c>
      <c r="W150" s="32">
        <v>0</v>
      </c>
      <c r="X150" s="32" t="s">
        <v>239</v>
      </c>
      <c r="Y150" s="32" t="s">
        <v>239</v>
      </c>
      <c r="Z150" s="32" t="s">
        <v>239</v>
      </c>
      <c r="AA150" s="32" t="s">
        <v>239</v>
      </c>
      <c r="AB150" s="32">
        <v>0</v>
      </c>
      <c r="AC150" s="32" t="s">
        <v>69</v>
      </c>
      <c r="AD150" s="23" t="e">
        <f>VLOOKUP(B:B,库存明细报表10.16!L:P,5,0)</f>
        <v>#N/A</v>
      </c>
      <c r="AE150" s="23" t="e">
        <f>VLOOKUP(B:B,库存明细报表10.16!L:Q,6,0)</f>
        <v>#N/A</v>
      </c>
      <c r="AF150" s="23" t="e">
        <f>VLOOKUP(B:B,库存明细报表10.16!L:T,9,0)</f>
        <v>#N/A</v>
      </c>
      <c r="AG150" s="23">
        <f>VLOOKUP(A:A,进销存报表10.16!A:J,10,0)</f>
        <v>49</v>
      </c>
      <c r="AH150" s="23">
        <f>VLOOKUP(A:A,进销存报表10.16!A:K,11,0)</f>
        <v>1</v>
      </c>
      <c r="AI150" s="23">
        <v>558.46</v>
      </c>
      <c r="AJ150" s="23">
        <v>476.51</v>
      </c>
      <c r="AK150" s="23" t="s">
        <v>239</v>
      </c>
      <c r="AL150" s="26">
        <v>0</v>
      </c>
      <c r="AM150" s="32" t="e">
        <f t="shared" si="4"/>
        <v>#VALUE!</v>
      </c>
      <c r="AN150" s="44">
        <f t="shared" si="5"/>
        <v>0</v>
      </c>
      <c r="AO150" s="2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</row>
    <row r="151" s="8" customFormat="1" customHeight="1" spans="1:53">
      <c r="A151" s="13" t="s">
        <v>503</v>
      </c>
      <c r="B151" s="13" t="s">
        <v>504</v>
      </c>
      <c r="C151" s="13" t="s">
        <v>505</v>
      </c>
      <c r="D151" s="23" t="s">
        <v>211</v>
      </c>
      <c r="E151" s="23" t="s">
        <v>44</v>
      </c>
      <c r="F151" s="23" t="s">
        <v>45</v>
      </c>
      <c r="G151" s="23" t="s">
        <v>239</v>
      </c>
      <c r="H151" s="43" t="s">
        <v>288</v>
      </c>
      <c r="I151" s="23" t="s">
        <v>46</v>
      </c>
      <c r="J151" s="23">
        <v>29.99</v>
      </c>
      <c r="K151" s="23">
        <v>13.59</v>
      </c>
      <c r="L151" s="23"/>
      <c r="M151" s="23"/>
      <c r="N151" s="23"/>
      <c r="O151" s="23">
        <v>0</v>
      </c>
      <c r="P151" s="23">
        <v>0</v>
      </c>
      <c r="Q151" s="23">
        <v>0</v>
      </c>
      <c r="R151" s="23">
        <v>0</v>
      </c>
      <c r="S151" s="23">
        <v>0</v>
      </c>
      <c r="T151" s="23">
        <v>0</v>
      </c>
      <c r="U151" s="23">
        <v>1</v>
      </c>
      <c r="V151" s="32">
        <v>0</v>
      </c>
      <c r="W151" s="32">
        <v>0</v>
      </c>
      <c r="X151" s="32" t="s">
        <v>239</v>
      </c>
      <c r="Y151" s="32" t="s">
        <v>239</v>
      </c>
      <c r="Z151" s="32" t="s">
        <v>239</v>
      </c>
      <c r="AA151" s="32" t="s">
        <v>239</v>
      </c>
      <c r="AB151" s="32">
        <v>0</v>
      </c>
      <c r="AC151" s="32" t="s">
        <v>69</v>
      </c>
      <c r="AD151" s="23" t="e">
        <f>VLOOKUP(B:B,库存明细报表10.16!L:P,5,0)</f>
        <v>#N/A</v>
      </c>
      <c r="AE151" s="23" t="e">
        <f>VLOOKUP(B:B,库存明细报表10.16!L:Q,6,0)</f>
        <v>#N/A</v>
      </c>
      <c r="AF151" s="23" t="e">
        <f>VLOOKUP(B:B,库存明细报表10.16!L:T,9,0)</f>
        <v>#N/A</v>
      </c>
      <c r="AG151" s="23">
        <f>VLOOKUP(A:A,进销存报表10.16!A:J,10,0)</f>
        <v>43</v>
      </c>
      <c r="AH151" s="23">
        <f>VLOOKUP(A:A,进销存报表10.16!A:K,11,0)</f>
        <v>3</v>
      </c>
      <c r="AI151" s="23">
        <v>64.85</v>
      </c>
      <c r="AJ151" s="23">
        <v>47.35</v>
      </c>
      <c r="AK151" s="23" t="s">
        <v>239</v>
      </c>
      <c r="AL151" s="26">
        <v>0</v>
      </c>
      <c r="AM151" s="32" t="e">
        <f t="shared" si="4"/>
        <v>#VALUE!</v>
      </c>
      <c r="AN151" s="44">
        <f t="shared" si="5"/>
        <v>0</v>
      </c>
      <c r="AO151" s="2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</row>
    <row r="152" s="8" customFormat="1" customHeight="1" spans="1:53">
      <c r="A152" s="13" t="s">
        <v>506</v>
      </c>
      <c r="B152" s="13" t="s">
        <v>507</v>
      </c>
      <c r="C152" s="13" t="s">
        <v>508</v>
      </c>
      <c r="D152" s="23" t="s">
        <v>211</v>
      </c>
      <c r="E152" s="23" t="s">
        <v>44</v>
      </c>
      <c r="F152" s="23" t="s">
        <v>45</v>
      </c>
      <c r="G152" s="23" t="s">
        <v>239</v>
      </c>
      <c r="H152" s="43" t="s">
        <v>288</v>
      </c>
      <c r="I152" s="23" t="s">
        <v>46</v>
      </c>
      <c r="J152" s="23">
        <v>42.99</v>
      </c>
      <c r="K152" s="23">
        <v>22.43</v>
      </c>
      <c r="L152" s="23">
        <v>23.55</v>
      </c>
      <c r="M152" s="23">
        <v>21.2</v>
      </c>
      <c r="N152" s="23">
        <v>25.91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 t="s">
        <v>239</v>
      </c>
      <c r="U152" s="23">
        <v>1</v>
      </c>
      <c r="V152" s="32">
        <v>0</v>
      </c>
      <c r="W152" s="32">
        <v>0</v>
      </c>
      <c r="X152" s="32" t="s">
        <v>239</v>
      </c>
      <c r="Y152" s="32" t="s">
        <v>239</v>
      </c>
      <c r="Z152" s="32" t="s">
        <v>239</v>
      </c>
      <c r="AA152" s="32" t="s">
        <v>239</v>
      </c>
      <c r="AB152" s="32" t="s">
        <v>239</v>
      </c>
      <c r="AC152" s="32" t="s">
        <v>239</v>
      </c>
      <c r="AD152" s="23" t="e">
        <f>VLOOKUP(B:B,库存明细报表10.16!L:P,5,0)</f>
        <v>#N/A</v>
      </c>
      <c r="AE152" s="23" t="e">
        <f>VLOOKUP(B:B,库存明细报表10.16!L:Q,6,0)</f>
        <v>#N/A</v>
      </c>
      <c r="AF152" s="23" t="e">
        <f>VLOOKUP(B:B,库存明细报表10.16!L:T,9,0)</f>
        <v>#N/A</v>
      </c>
      <c r="AG152" s="23">
        <f>VLOOKUP(A:A,进销存报表10.16!A:J,10,0)</f>
        <v>19</v>
      </c>
      <c r="AH152" s="23">
        <f>VLOOKUP(A:A,进销存报表10.16!A:K,11,0)</f>
        <v>6</v>
      </c>
      <c r="AI152" s="23">
        <v>85.21</v>
      </c>
      <c r="AJ152" s="23">
        <v>54.27</v>
      </c>
      <c r="AK152" s="23" t="s">
        <v>239</v>
      </c>
      <c r="AL152" s="26">
        <v>0</v>
      </c>
      <c r="AM152" s="32" t="e">
        <f t="shared" si="4"/>
        <v>#VALUE!</v>
      </c>
      <c r="AN152" s="44">
        <f t="shared" si="5"/>
        <v>0</v>
      </c>
      <c r="AO152" s="2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</row>
    <row r="153" s="8" customFormat="1" customHeight="1" spans="1:53">
      <c r="A153" s="13" t="s">
        <v>509</v>
      </c>
      <c r="B153" s="13" t="s">
        <v>510</v>
      </c>
      <c r="C153" s="13" t="s">
        <v>511</v>
      </c>
      <c r="D153" s="23" t="s">
        <v>211</v>
      </c>
      <c r="E153" s="23" t="s">
        <v>44</v>
      </c>
      <c r="F153" s="23" t="s">
        <v>45</v>
      </c>
      <c r="G153" s="23" t="s">
        <v>239</v>
      </c>
      <c r="H153" s="43" t="s">
        <v>46</v>
      </c>
      <c r="I153" s="23" t="s">
        <v>46</v>
      </c>
      <c r="J153" s="23">
        <v>37.61</v>
      </c>
      <c r="K153" s="23">
        <v>18.75</v>
      </c>
      <c r="L153" s="23"/>
      <c r="M153" s="23"/>
      <c r="N153" s="23"/>
      <c r="O153" s="23">
        <v>0</v>
      </c>
      <c r="P153" s="23">
        <v>0</v>
      </c>
      <c r="Q153" s="23">
        <v>0</v>
      </c>
      <c r="R153" s="23">
        <v>0</v>
      </c>
      <c r="S153" s="23">
        <v>1</v>
      </c>
      <c r="T153" s="23">
        <v>2</v>
      </c>
      <c r="U153" s="23">
        <v>1</v>
      </c>
      <c r="V153" s="32">
        <v>0</v>
      </c>
      <c r="W153" s="32">
        <v>0.146496971</v>
      </c>
      <c r="X153" s="32">
        <v>0.070381701</v>
      </c>
      <c r="Y153" s="32">
        <v>0</v>
      </c>
      <c r="Z153" s="32">
        <v>0.183637013</v>
      </c>
      <c r="AA153" s="32">
        <v>0.112182922</v>
      </c>
      <c r="AB153" s="32">
        <v>0.071428571</v>
      </c>
      <c r="AC153" s="32">
        <v>0.083325653</v>
      </c>
      <c r="AD153" s="23" t="e">
        <f>VLOOKUP(B:B,库存明细报表10.16!L:P,5,0)</f>
        <v>#N/A</v>
      </c>
      <c r="AE153" s="23" t="e">
        <f>VLOOKUP(B:B,库存明细报表10.16!L:Q,6,0)</f>
        <v>#N/A</v>
      </c>
      <c r="AF153" s="23" t="e">
        <f>VLOOKUP(B:B,库存明细报表10.16!L:T,9,0)</f>
        <v>#N/A</v>
      </c>
      <c r="AG153" s="23">
        <f>VLOOKUP(A:A,进销存报表10.16!A:J,10,0)</f>
        <v>11</v>
      </c>
      <c r="AH153" s="23">
        <f>VLOOKUP(A:A,进销存报表10.16!A:K,11,0)</f>
        <v>6</v>
      </c>
      <c r="AI153" s="23">
        <v>22.31</v>
      </c>
      <c r="AJ153" s="23">
        <v>12.03</v>
      </c>
      <c r="AK153" s="23" t="s">
        <v>239</v>
      </c>
      <c r="AL153" s="26">
        <v>0.666666667</v>
      </c>
      <c r="AM153" s="32" t="e">
        <f t="shared" si="4"/>
        <v>#VALUE!</v>
      </c>
      <c r="AN153" s="44">
        <f t="shared" si="5"/>
        <v>0.0554170130507066</v>
      </c>
      <c r="AO153" s="2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</row>
    <row r="154" s="8" customFormat="1" customHeight="1" spans="1:53">
      <c r="A154" s="13" t="s">
        <v>512</v>
      </c>
      <c r="B154" s="13" t="s">
        <v>513</v>
      </c>
      <c r="C154" s="13" t="s">
        <v>514</v>
      </c>
      <c r="D154" s="23" t="s">
        <v>211</v>
      </c>
      <c r="E154" s="23" t="s">
        <v>44</v>
      </c>
      <c r="F154" s="23" t="s">
        <v>45</v>
      </c>
      <c r="G154" s="23" t="s">
        <v>239</v>
      </c>
      <c r="H154" s="43" t="s">
        <v>48</v>
      </c>
      <c r="I154" s="23" t="s">
        <v>46</v>
      </c>
      <c r="J154" s="23">
        <v>55.99</v>
      </c>
      <c r="K154" s="23">
        <v>30.67</v>
      </c>
      <c r="L154" s="23">
        <v>38.67</v>
      </c>
      <c r="M154" s="23">
        <v>34.8</v>
      </c>
      <c r="N154" s="23">
        <v>42.54</v>
      </c>
      <c r="O154" s="23">
        <v>0</v>
      </c>
      <c r="P154" s="23">
        <v>0</v>
      </c>
      <c r="Q154" s="23">
        <v>0</v>
      </c>
      <c r="R154" s="23">
        <v>0</v>
      </c>
      <c r="S154" s="23">
        <v>1</v>
      </c>
      <c r="T154" s="23">
        <v>1</v>
      </c>
      <c r="U154" s="23">
        <v>0</v>
      </c>
      <c r="V154" s="32">
        <v>0</v>
      </c>
      <c r="W154" s="32">
        <v>0.272382236</v>
      </c>
      <c r="X154" s="32">
        <v>0.217273556</v>
      </c>
      <c r="Y154" s="32">
        <v>0</v>
      </c>
      <c r="Z154" s="32">
        <v>0.008512449</v>
      </c>
      <c r="AA154" s="32">
        <v>0.09810598</v>
      </c>
      <c r="AB154" s="32">
        <v>0.032258065</v>
      </c>
      <c r="AC154" s="32">
        <v>0</v>
      </c>
      <c r="AD154" s="23" t="e">
        <f>VLOOKUP(B:B,库存明细报表10.16!L:P,5,0)</f>
        <v>#N/A</v>
      </c>
      <c r="AE154" s="23" t="e">
        <f>VLOOKUP(B:B,库存明细报表10.16!L:Q,6,0)</f>
        <v>#N/A</v>
      </c>
      <c r="AF154" s="23" t="e">
        <f>VLOOKUP(B:B,库存明细报表10.16!L:T,9,0)</f>
        <v>#N/A</v>
      </c>
      <c r="AG154" s="23">
        <f>VLOOKUP(A:A,进销存报表10.16!A:J,10,0)</f>
        <v>11</v>
      </c>
      <c r="AH154" s="23">
        <f>VLOOKUP(A:A,进销存报表10.16!A:K,11,0)</f>
        <v>42</v>
      </c>
      <c r="AI154" s="23">
        <v>189.42</v>
      </c>
      <c r="AJ154" s="23">
        <v>117.51</v>
      </c>
      <c r="AK154" s="23" t="s">
        <v>239</v>
      </c>
      <c r="AL154" s="26">
        <v>0.666666667</v>
      </c>
      <c r="AM154" s="32" t="e">
        <f t="shared" si="4"/>
        <v>#VALUE!</v>
      </c>
      <c r="AN154" s="44">
        <f t="shared" si="5"/>
        <v>0.00567327603608204</v>
      </c>
      <c r="AO154" s="2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</row>
    <row r="155" s="8" customFormat="1" customHeight="1" spans="1:53">
      <c r="A155" s="13" t="s">
        <v>515</v>
      </c>
      <c r="B155" s="13" t="s">
        <v>516</v>
      </c>
      <c r="C155" s="13" t="s">
        <v>517</v>
      </c>
      <c r="D155" s="23" t="s">
        <v>211</v>
      </c>
      <c r="E155" s="23" t="s">
        <v>55</v>
      </c>
      <c r="F155" s="23" t="s">
        <v>45</v>
      </c>
      <c r="G155" s="23" t="s">
        <v>239</v>
      </c>
      <c r="H155" s="43" t="s">
        <v>46</v>
      </c>
      <c r="I155" s="23" t="s">
        <v>48</v>
      </c>
      <c r="J155" s="23">
        <v>93.99</v>
      </c>
      <c r="K155" s="23">
        <v>55.45</v>
      </c>
      <c r="L155" s="23">
        <v>41.78</v>
      </c>
      <c r="M155" s="23">
        <v>37.6</v>
      </c>
      <c r="N155" s="23">
        <v>45.96</v>
      </c>
      <c r="O155" s="23">
        <v>0</v>
      </c>
      <c r="P155" s="23">
        <v>0</v>
      </c>
      <c r="Q155" s="23">
        <v>0</v>
      </c>
      <c r="R155" s="23">
        <v>0</v>
      </c>
      <c r="S155" s="23">
        <v>0</v>
      </c>
      <c r="T155" s="23">
        <v>1</v>
      </c>
      <c r="U155" s="23">
        <v>0</v>
      </c>
      <c r="V155" s="32">
        <v>0</v>
      </c>
      <c r="W155" s="32">
        <v>0.196413535</v>
      </c>
      <c r="X155" s="32">
        <v>0.201413232</v>
      </c>
      <c r="Y155" s="32">
        <v>0</v>
      </c>
      <c r="Z155" s="32">
        <v>0.03622393</v>
      </c>
      <c r="AA155" s="32">
        <v>0.093304061</v>
      </c>
      <c r="AB155" s="32">
        <v>0.052631579</v>
      </c>
      <c r="AC155" s="32">
        <v>0.142844205</v>
      </c>
      <c r="AD155" s="23" t="e">
        <f>VLOOKUP(B:B,库存明细报表10.16!L:P,5,0)</f>
        <v>#N/A</v>
      </c>
      <c r="AE155" s="23" t="e">
        <f>VLOOKUP(B:B,库存明细报表10.16!L:Q,6,0)</f>
        <v>#N/A</v>
      </c>
      <c r="AF155" s="23" t="e">
        <f>VLOOKUP(B:B,库存明细报表10.16!L:T,9,0)</f>
        <v>#N/A</v>
      </c>
      <c r="AG155" s="23">
        <f>VLOOKUP(A:A,进销存报表10.16!A:J,10,0)</f>
        <v>12</v>
      </c>
      <c r="AH155" s="23">
        <f>VLOOKUP(A:A,进销存报表10.16!A:K,11,0)</f>
        <v>4</v>
      </c>
      <c r="AI155" s="23">
        <v>404.51</v>
      </c>
      <c r="AJ155" s="23">
        <v>277.01</v>
      </c>
      <c r="AK155" s="23" t="s">
        <v>239</v>
      </c>
      <c r="AL155" s="26">
        <v>0.333333333</v>
      </c>
      <c r="AM155" s="32" t="e">
        <f t="shared" si="4"/>
        <v>#VALUE!</v>
      </c>
      <c r="AN155" s="44">
        <f t="shared" si="5"/>
        <v>0.00120332599184145</v>
      </c>
      <c r="AO155" s="2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</row>
    <row r="156" s="8" customFormat="1" customHeight="1" spans="1:53">
      <c r="A156" s="13" t="s">
        <v>518</v>
      </c>
      <c r="B156" s="13" t="s">
        <v>519</v>
      </c>
      <c r="C156" s="13" t="s">
        <v>520</v>
      </c>
      <c r="D156" s="23" t="s">
        <v>211</v>
      </c>
      <c r="E156" s="23" t="s">
        <v>44</v>
      </c>
      <c r="F156" s="23" t="s">
        <v>45</v>
      </c>
      <c r="G156" s="23" t="s">
        <v>239</v>
      </c>
      <c r="H156" s="43" t="s">
        <v>46</v>
      </c>
      <c r="I156" s="23" t="s">
        <v>48</v>
      </c>
      <c r="J156" s="23">
        <v>48.99</v>
      </c>
      <c r="K156" s="23">
        <v>28.63</v>
      </c>
      <c r="L156" s="23">
        <v>38.85</v>
      </c>
      <c r="M156" s="23">
        <v>34.96</v>
      </c>
      <c r="N156" s="23">
        <v>42.73</v>
      </c>
      <c r="O156" s="23">
        <v>0</v>
      </c>
      <c r="P156" s="23">
        <v>0</v>
      </c>
      <c r="Q156" s="23">
        <v>0</v>
      </c>
      <c r="R156" s="23">
        <v>1</v>
      </c>
      <c r="S156" s="23">
        <v>0</v>
      </c>
      <c r="T156" s="23">
        <v>2</v>
      </c>
      <c r="U156" s="23">
        <v>2</v>
      </c>
      <c r="V156" s="32">
        <v>0</v>
      </c>
      <c r="W156" s="32">
        <v>0.167203378</v>
      </c>
      <c r="X156" s="32">
        <v>0</v>
      </c>
      <c r="Y156" s="32">
        <v>0</v>
      </c>
      <c r="Z156" s="32" t="s">
        <v>69</v>
      </c>
      <c r="AA156" s="32" t="s">
        <v>69</v>
      </c>
      <c r="AB156" s="32">
        <v>0.117647059</v>
      </c>
      <c r="AC156" s="32">
        <v>0</v>
      </c>
      <c r="AD156" s="23" t="e">
        <f>VLOOKUP(B:B,库存明细报表10.16!L:P,5,0)</f>
        <v>#N/A</v>
      </c>
      <c r="AE156" s="23" t="e">
        <f>VLOOKUP(B:B,库存明细报表10.16!L:Q,6,0)</f>
        <v>#N/A</v>
      </c>
      <c r="AF156" s="23" t="e">
        <f>VLOOKUP(B:B,库存明细报表10.16!L:T,9,0)</f>
        <v>#N/A</v>
      </c>
      <c r="AG156" s="23">
        <f>VLOOKUP(A:A,进销存报表10.16!A:J,10,0)</f>
        <v>20</v>
      </c>
      <c r="AH156" s="23">
        <f>VLOOKUP(A:A,进销存报表10.16!A:K,11,0)</f>
        <v>16</v>
      </c>
      <c r="AI156" s="23">
        <v>68.68</v>
      </c>
      <c r="AJ156" s="23">
        <v>44.79</v>
      </c>
      <c r="AK156" s="23" t="s">
        <v>239</v>
      </c>
      <c r="AL156" s="26">
        <v>0.333333333</v>
      </c>
      <c r="AM156" s="32" t="e">
        <f t="shared" si="4"/>
        <v>#VALUE!</v>
      </c>
      <c r="AN156" s="44">
        <f t="shared" si="5"/>
        <v>0.00744213737441393</v>
      </c>
      <c r="AO156" s="2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</row>
    <row r="157" s="8" customFormat="1" customHeight="1" spans="1:53">
      <c r="A157" s="13" t="s">
        <v>521</v>
      </c>
      <c r="B157" s="13" t="s">
        <v>522</v>
      </c>
      <c r="C157" s="13" t="s">
        <v>523</v>
      </c>
      <c r="D157" s="23" t="s">
        <v>211</v>
      </c>
      <c r="E157" s="23" t="s">
        <v>55</v>
      </c>
      <c r="F157" s="23" t="s">
        <v>45</v>
      </c>
      <c r="G157" s="23" t="s">
        <v>239</v>
      </c>
      <c r="H157" s="43" t="s">
        <v>46</v>
      </c>
      <c r="I157" s="23" t="s">
        <v>47</v>
      </c>
      <c r="J157" s="23">
        <v>26.99</v>
      </c>
      <c r="K157" s="23">
        <v>12.49</v>
      </c>
      <c r="L157" s="23">
        <v>25.15</v>
      </c>
      <c r="M157" s="23">
        <v>22.64</v>
      </c>
      <c r="N157" s="23">
        <v>27.67</v>
      </c>
      <c r="O157" s="23">
        <v>0</v>
      </c>
      <c r="P157" s="23">
        <v>0</v>
      </c>
      <c r="Q157" s="23">
        <v>0</v>
      </c>
      <c r="R157" s="23">
        <v>0</v>
      </c>
      <c r="S157" s="23">
        <v>1</v>
      </c>
      <c r="T157" s="23" t="s">
        <v>239</v>
      </c>
      <c r="U157" s="23" t="s">
        <v>239</v>
      </c>
      <c r="V157" s="32">
        <v>0</v>
      </c>
      <c r="W157" s="32">
        <v>0.162987648</v>
      </c>
      <c r="X157" s="32" t="s">
        <v>239</v>
      </c>
      <c r="Y157" s="32" t="s">
        <v>239</v>
      </c>
      <c r="Z157" s="32" t="s">
        <v>239</v>
      </c>
      <c r="AA157" s="32" t="s">
        <v>239</v>
      </c>
      <c r="AB157" s="32" t="s">
        <v>239</v>
      </c>
      <c r="AC157" s="32" t="s">
        <v>239</v>
      </c>
      <c r="AD157" s="23" t="e">
        <f>VLOOKUP(B:B,库存明细报表10.16!L:P,5,0)</f>
        <v>#N/A</v>
      </c>
      <c r="AE157" s="23" t="e">
        <f>VLOOKUP(B:B,库存明细报表10.16!L:Q,6,0)</f>
        <v>#N/A</v>
      </c>
      <c r="AF157" s="23" t="e">
        <f>VLOOKUP(B:B,库存明细报表10.16!L:T,9,0)</f>
        <v>#N/A</v>
      </c>
      <c r="AG157" s="23">
        <f>VLOOKUP(A:A,进销存报表10.16!A:J,10,0)</f>
        <v>0</v>
      </c>
      <c r="AH157" s="23">
        <f>VLOOKUP(A:A,进销存报表10.16!A:K,11,0)</f>
        <v>0</v>
      </c>
      <c r="AI157" s="23">
        <v>6.96</v>
      </c>
      <c r="AJ157" s="23">
        <v>7.8</v>
      </c>
      <c r="AK157" s="23" t="s">
        <v>239</v>
      </c>
      <c r="AL157" s="26">
        <v>0.333333333</v>
      </c>
      <c r="AM157" s="32" t="e">
        <f t="shared" si="4"/>
        <v>#VALUE!</v>
      </c>
      <c r="AN157" s="44">
        <f t="shared" si="5"/>
        <v>0.0427350426923077</v>
      </c>
      <c r="AO157" s="2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</row>
    <row r="158" s="8" customFormat="1" customHeight="1" spans="1:53">
      <c r="A158" s="13" t="s">
        <v>524</v>
      </c>
      <c r="B158" s="13" t="s">
        <v>525</v>
      </c>
      <c r="C158" s="13" t="s">
        <v>526</v>
      </c>
      <c r="D158" s="23" t="s">
        <v>211</v>
      </c>
      <c r="E158" s="23" t="s">
        <v>44</v>
      </c>
      <c r="F158" s="23" t="s">
        <v>45</v>
      </c>
      <c r="G158" s="23" t="s">
        <v>239</v>
      </c>
      <c r="H158" s="43" t="s">
        <v>46</v>
      </c>
      <c r="I158" s="23" t="s">
        <v>46</v>
      </c>
      <c r="J158" s="23">
        <v>42.99</v>
      </c>
      <c r="K158" s="23">
        <v>23.02</v>
      </c>
      <c r="L158" s="23">
        <v>31.79</v>
      </c>
      <c r="M158" s="23">
        <v>28.62</v>
      </c>
      <c r="N158" s="23">
        <v>34.97</v>
      </c>
      <c r="O158" s="23">
        <v>0</v>
      </c>
      <c r="P158" s="23">
        <v>0</v>
      </c>
      <c r="Q158" s="23">
        <v>0</v>
      </c>
      <c r="R158" s="23">
        <v>0</v>
      </c>
      <c r="S158" s="23">
        <v>0</v>
      </c>
      <c r="T158" s="23">
        <v>1</v>
      </c>
      <c r="U158" s="23">
        <v>0</v>
      </c>
      <c r="V158" s="32">
        <v>0</v>
      </c>
      <c r="W158" s="32">
        <v>0.161621935</v>
      </c>
      <c r="X158" s="32">
        <v>0.166033314</v>
      </c>
      <c r="Y158" s="32">
        <v>0</v>
      </c>
      <c r="Z158" s="32">
        <v>0.054133569</v>
      </c>
      <c r="AA158" s="32">
        <v>0.105030891</v>
      </c>
      <c r="AB158" s="32">
        <v>0.03030303</v>
      </c>
      <c r="AC158" s="32">
        <v>0</v>
      </c>
      <c r="AD158" s="23" t="e">
        <f>VLOOKUP(B:B,库存明细报表10.16!L:P,5,0)</f>
        <v>#N/A</v>
      </c>
      <c r="AE158" s="23" t="e">
        <f>VLOOKUP(B:B,库存明细报表10.16!L:Q,6,0)</f>
        <v>#N/A</v>
      </c>
      <c r="AF158" s="23" t="e">
        <f>VLOOKUP(B:B,库存明细报表10.16!L:T,9,0)</f>
        <v>#N/A</v>
      </c>
      <c r="AG158" s="23">
        <f>VLOOKUP(A:A,进销存报表10.16!A:J,10,0)</f>
        <v>2</v>
      </c>
      <c r="AH158" s="23">
        <f>VLOOKUP(A:A,进销存报表10.16!A:K,11,0)</f>
        <v>18</v>
      </c>
      <c r="AI158" s="23">
        <v>18.75</v>
      </c>
      <c r="AJ158" s="23">
        <v>18.56</v>
      </c>
      <c r="AK158" s="23" t="s">
        <v>239</v>
      </c>
      <c r="AL158" s="26">
        <v>0.333333333</v>
      </c>
      <c r="AM158" s="32" t="e">
        <f t="shared" si="4"/>
        <v>#VALUE!</v>
      </c>
      <c r="AN158" s="44">
        <f t="shared" si="5"/>
        <v>0.0179597700969828</v>
      </c>
      <c r="AO158" s="2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</row>
    <row r="159" s="8" customFormat="1" customHeight="1" spans="1:53">
      <c r="A159" s="13" t="s">
        <v>527</v>
      </c>
      <c r="B159" s="13" t="s">
        <v>528</v>
      </c>
      <c r="C159" s="13" t="s">
        <v>529</v>
      </c>
      <c r="D159" s="23" t="s">
        <v>211</v>
      </c>
      <c r="E159" s="23" t="s">
        <v>55</v>
      </c>
      <c r="F159" s="23" t="s">
        <v>45</v>
      </c>
      <c r="G159" s="23" t="s">
        <v>239</v>
      </c>
      <c r="H159" s="43" t="s">
        <v>288</v>
      </c>
      <c r="I159" s="23" t="s">
        <v>46</v>
      </c>
      <c r="J159" s="23">
        <v>38.99</v>
      </c>
      <c r="K159" s="23">
        <v>19.17</v>
      </c>
      <c r="L159" s="23"/>
      <c r="M159" s="23"/>
      <c r="N159" s="23"/>
      <c r="O159" s="23">
        <v>0</v>
      </c>
      <c r="P159" s="23">
        <v>0</v>
      </c>
      <c r="Q159" s="23">
        <v>0</v>
      </c>
      <c r="R159" s="23">
        <v>0</v>
      </c>
      <c r="S159" s="23">
        <v>0</v>
      </c>
      <c r="T159" s="23">
        <v>0</v>
      </c>
      <c r="U159" s="23">
        <v>0</v>
      </c>
      <c r="V159" s="32">
        <v>0</v>
      </c>
      <c r="W159" s="32">
        <v>0</v>
      </c>
      <c r="X159" s="32">
        <v>0</v>
      </c>
      <c r="Y159" s="32">
        <v>0</v>
      </c>
      <c r="Z159" s="32" t="s">
        <v>69</v>
      </c>
      <c r="AA159" s="32" t="s">
        <v>69</v>
      </c>
      <c r="AB159" s="32">
        <v>0</v>
      </c>
      <c r="AC159" s="32">
        <v>0</v>
      </c>
      <c r="AD159" s="23" t="e">
        <f>VLOOKUP(B:B,库存明细报表10.16!L:P,5,0)</f>
        <v>#N/A</v>
      </c>
      <c r="AE159" s="23" t="e">
        <f>VLOOKUP(B:B,库存明细报表10.16!L:Q,6,0)</f>
        <v>#N/A</v>
      </c>
      <c r="AF159" s="23" t="e">
        <f>VLOOKUP(B:B,库存明细报表10.16!L:T,9,0)</f>
        <v>#N/A</v>
      </c>
      <c r="AG159" s="23">
        <f>VLOOKUP(A:A,进销存报表10.16!A:J,10,0)</f>
        <v>11</v>
      </c>
      <c r="AH159" s="23">
        <f>VLOOKUP(A:A,进销存报表10.16!A:K,11,0)</f>
        <v>8</v>
      </c>
      <c r="AI159" s="23">
        <v>20.15</v>
      </c>
      <c r="AJ159" s="23">
        <v>17.72</v>
      </c>
      <c r="AK159" s="23" t="s">
        <v>239</v>
      </c>
      <c r="AL159" s="26">
        <v>0</v>
      </c>
      <c r="AM159" s="32" t="e">
        <f t="shared" si="4"/>
        <v>#VALUE!</v>
      </c>
      <c r="AN159" s="44">
        <f t="shared" si="5"/>
        <v>0</v>
      </c>
      <c r="AO159" s="2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</row>
    <row r="160" s="8" customFormat="1" customHeight="1" spans="1:53">
      <c r="A160" s="13" t="s">
        <v>530</v>
      </c>
      <c r="B160" s="13" t="s">
        <v>531</v>
      </c>
      <c r="C160" s="13" t="s">
        <v>532</v>
      </c>
      <c r="D160" s="23" t="s">
        <v>211</v>
      </c>
      <c r="E160" s="23" t="s">
        <v>55</v>
      </c>
      <c r="F160" s="23" t="s">
        <v>45</v>
      </c>
      <c r="G160" s="23" t="s">
        <v>239</v>
      </c>
      <c r="H160" s="43" t="s">
        <v>288</v>
      </c>
      <c r="I160" s="23" t="s">
        <v>46</v>
      </c>
      <c r="J160" s="23">
        <v>44.39</v>
      </c>
      <c r="K160" s="23">
        <v>24.03</v>
      </c>
      <c r="L160" s="23"/>
      <c r="M160" s="23"/>
      <c r="N160" s="23"/>
      <c r="O160" s="23">
        <v>0</v>
      </c>
      <c r="P160" s="23">
        <v>0</v>
      </c>
      <c r="Q160" s="23">
        <v>0</v>
      </c>
      <c r="R160" s="23">
        <v>0</v>
      </c>
      <c r="S160" s="23">
        <v>0</v>
      </c>
      <c r="T160" s="23">
        <v>0</v>
      </c>
      <c r="U160" s="23">
        <v>0</v>
      </c>
      <c r="V160" s="32">
        <v>0</v>
      </c>
      <c r="W160" s="32">
        <v>0</v>
      </c>
      <c r="X160" s="32">
        <v>0</v>
      </c>
      <c r="Y160" s="32">
        <v>0</v>
      </c>
      <c r="Z160" s="32" t="s">
        <v>69</v>
      </c>
      <c r="AA160" s="32" t="s">
        <v>69</v>
      </c>
      <c r="AB160" s="32">
        <v>0</v>
      </c>
      <c r="AC160" s="32">
        <v>0</v>
      </c>
      <c r="AD160" s="23" t="e">
        <f>VLOOKUP(B:B,库存明细报表10.16!L:P,5,0)</f>
        <v>#N/A</v>
      </c>
      <c r="AE160" s="23" t="e">
        <f>VLOOKUP(B:B,库存明细报表10.16!L:Q,6,0)</f>
        <v>#N/A</v>
      </c>
      <c r="AF160" s="23" t="e">
        <f>VLOOKUP(B:B,库存明细报表10.16!L:T,9,0)</f>
        <v>#N/A</v>
      </c>
      <c r="AG160" s="23">
        <f>VLOOKUP(A:A,进销存报表10.16!A:J,10,0)</f>
        <v>17</v>
      </c>
      <c r="AH160" s="23">
        <f>VLOOKUP(A:A,进销存报表10.16!A:K,11,0)</f>
        <v>0</v>
      </c>
      <c r="AI160" s="23">
        <v>10.79</v>
      </c>
      <c r="AJ160" s="23">
        <v>3.38</v>
      </c>
      <c r="AK160" s="23" t="s">
        <v>239</v>
      </c>
      <c r="AL160" s="26">
        <v>0</v>
      </c>
      <c r="AM160" s="32" t="e">
        <f t="shared" si="4"/>
        <v>#VALUE!</v>
      </c>
      <c r="AN160" s="44">
        <f t="shared" si="5"/>
        <v>0</v>
      </c>
      <c r="AO160" s="2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</row>
    <row r="161" s="8" customFormat="1" customHeight="1" spans="1:53">
      <c r="A161" s="13" t="s">
        <v>533</v>
      </c>
      <c r="B161" s="13" t="s">
        <v>534</v>
      </c>
      <c r="C161" s="13" t="s">
        <v>535</v>
      </c>
      <c r="D161" s="23" t="s">
        <v>211</v>
      </c>
      <c r="E161" s="23" t="s">
        <v>44</v>
      </c>
      <c r="F161" s="23" t="s">
        <v>45</v>
      </c>
      <c r="G161" s="23" t="s">
        <v>239</v>
      </c>
      <c r="H161" s="43" t="s">
        <v>288</v>
      </c>
      <c r="I161" s="23" t="s">
        <v>46</v>
      </c>
      <c r="J161" s="23">
        <v>29.99</v>
      </c>
      <c r="K161" s="23">
        <v>12.88</v>
      </c>
      <c r="L161" s="23">
        <v>50.4</v>
      </c>
      <c r="M161" s="23">
        <v>45.36</v>
      </c>
      <c r="N161" s="23">
        <v>55.43</v>
      </c>
      <c r="O161" s="23">
        <v>0</v>
      </c>
      <c r="P161" s="23">
        <v>0</v>
      </c>
      <c r="Q161" s="23">
        <v>0</v>
      </c>
      <c r="R161" s="23">
        <v>0</v>
      </c>
      <c r="S161" s="23">
        <v>0</v>
      </c>
      <c r="T161" s="23">
        <v>0</v>
      </c>
      <c r="U161" s="23">
        <v>0</v>
      </c>
      <c r="V161" s="32">
        <v>0</v>
      </c>
      <c r="W161" s="32">
        <v>0</v>
      </c>
      <c r="X161" s="32">
        <v>0</v>
      </c>
      <c r="Y161" s="32">
        <v>0</v>
      </c>
      <c r="Z161" s="32" t="s">
        <v>69</v>
      </c>
      <c r="AA161" s="32" t="s">
        <v>69</v>
      </c>
      <c r="AB161" s="32">
        <v>0</v>
      </c>
      <c r="AC161" s="32">
        <v>0</v>
      </c>
      <c r="AD161" s="23" t="e">
        <f>VLOOKUP(B:B,库存明细报表10.16!L:P,5,0)</f>
        <v>#N/A</v>
      </c>
      <c r="AE161" s="23" t="e">
        <f>VLOOKUP(B:B,库存明细报表10.16!L:Q,6,0)</f>
        <v>#N/A</v>
      </c>
      <c r="AF161" s="23" t="e">
        <f>VLOOKUP(B:B,库存明细报表10.16!L:T,9,0)</f>
        <v>#N/A</v>
      </c>
      <c r="AG161" s="23">
        <f>VLOOKUP(A:A,进销存报表10.16!A:J,10,0)</f>
        <v>13</v>
      </c>
      <c r="AH161" s="23">
        <f>VLOOKUP(A:A,进销存报表10.16!A:K,11,0)</f>
        <v>4</v>
      </c>
      <c r="AI161" s="23">
        <v>43.08</v>
      </c>
      <c r="AJ161" s="23">
        <v>25.83</v>
      </c>
      <c r="AK161" s="23" t="s">
        <v>239</v>
      </c>
      <c r="AL161" s="26">
        <v>0</v>
      </c>
      <c r="AM161" s="32" t="e">
        <f t="shared" si="4"/>
        <v>#VALUE!</v>
      </c>
      <c r="AN161" s="44">
        <f t="shared" si="5"/>
        <v>0</v>
      </c>
      <c r="AO161" s="2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</row>
    <row r="162" s="8" customFormat="1" customHeight="1" spans="1:53">
      <c r="A162" s="13" t="s">
        <v>536</v>
      </c>
      <c r="B162" s="13" t="s">
        <v>537</v>
      </c>
      <c r="C162" s="13" t="s">
        <v>538</v>
      </c>
      <c r="D162" s="23" t="s">
        <v>211</v>
      </c>
      <c r="E162" s="23" t="s">
        <v>44</v>
      </c>
      <c r="F162" s="23" t="s">
        <v>45</v>
      </c>
      <c r="G162" s="23" t="s">
        <v>239</v>
      </c>
      <c r="H162" s="43" t="s">
        <v>288</v>
      </c>
      <c r="I162" s="23" t="s">
        <v>46</v>
      </c>
      <c r="J162" s="23">
        <v>34.99</v>
      </c>
      <c r="K162" s="23">
        <v>16.98</v>
      </c>
      <c r="L162" s="23">
        <v>21.29</v>
      </c>
      <c r="M162" s="23">
        <v>19.16</v>
      </c>
      <c r="N162" s="23">
        <v>23.42</v>
      </c>
      <c r="O162" s="23">
        <v>0</v>
      </c>
      <c r="P162" s="23">
        <v>0</v>
      </c>
      <c r="Q162" s="23">
        <v>0</v>
      </c>
      <c r="R162" s="23">
        <v>0</v>
      </c>
      <c r="S162" s="23">
        <v>0</v>
      </c>
      <c r="T162" s="23">
        <v>0</v>
      </c>
      <c r="U162" s="23">
        <v>0</v>
      </c>
      <c r="V162" s="32">
        <v>0</v>
      </c>
      <c r="W162" s="32">
        <v>0</v>
      </c>
      <c r="X162" s="32" t="s">
        <v>239</v>
      </c>
      <c r="Y162" s="32" t="s">
        <v>239</v>
      </c>
      <c r="Z162" s="32" t="s">
        <v>239</v>
      </c>
      <c r="AA162" s="32" t="s">
        <v>239</v>
      </c>
      <c r="AB162" s="32">
        <v>0</v>
      </c>
      <c r="AC162" s="32" t="s">
        <v>69</v>
      </c>
      <c r="AD162" s="23" t="e">
        <f>VLOOKUP(B:B,库存明细报表10.16!L:P,5,0)</f>
        <v>#N/A</v>
      </c>
      <c r="AE162" s="23" t="e">
        <f>VLOOKUP(B:B,库存明细报表10.16!L:Q,6,0)</f>
        <v>#N/A</v>
      </c>
      <c r="AF162" s="23" t="e">
        <f>VLOOKUP(B:B,库存明细报表10.16!L:T,9,0)</f>
        <v>#N/A</v>
      </c>
      <c r="AG162" s="23">
        <f>VLOOKUP(A:A,进销存报表10.16!A:J,10,0)</f>
        <v>7</v>
      </c>
      <c r="AH162" s="23">
        <f>VLOOKUP(A:A,进销存报表10.16!A:K,11,0)</f>
        <v>6</v>
      </c>
      <c r="AI162" s="23">
        <v>44.59</v>
      </c>
      <c r="AJ162" s="23">
        <v>40.89</v>
      </c>
      <c r="AK162" s="23" t="s">
        <v>239</v>
      </c>
      <c r="AL162" s="26">
        <v>0</v>
      </c>
      <c r="AM162" s="32" t="e">
        <f t="shared" si="4"/>
        <v>#VALUE!</v>
      </c>
      <c r="AN162" s="44">
        <f t="shared" si="5"/>
        <v>0</v>
      </c>
      <c r="AO162" s="2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</row>
    <row r="163" s="8" customFormat="1" customHeight="1" spans="1:53">
      <c r="A163" s="13" t="s">
        <v>539</v>
      </c>
      <c r="B163" s="13" t="s">
        <v>540</v>
      </c>
      <c r="C163" s="13" t="s">
        <v>541</v>
      </c>
      <c r="D163" s="23" t="s">
        <v>211</v>
      </c>
      <c r="E163" s="23" t="s">
        <v>343</v>
      </c>
      <c r="F163" s="23" t="s">
        <v>344</v>
      </c>
      <c r="G163" s="23" t="s">
        <v>239</v>
      </c>
      <c r="H163" s="43" t="s">
        <v>288</v>
      </c>
      <c r="I163" s="23" t="s">
        <v>345</v>
      </c>
      <c r="J163" s="23">
        <v>31.99</v>
      </c>
      <c r="K163" s="23">
        <v>13.32</v>
      </c>
      <c r="L163" s="23"/>
      <c r="M163" s="23"/>
      <c r="N163" s="23"/>
      <c r="O163" s="23">
        <v>0</v>
      </c>
      <c r="P163" s="23">
        <v>0</v>
      </c>
      <c r="Q163" s="23">
        <v>0</v>
      </c>
      <c r="R163" s="23">
        <v>0</v>
      </c>
      <c r="S163" s="23">
        <v>0</v>
      </c>
      <c r="T163" s="23">
        <v>0</v>
      </c>
      <c r="U163" s="23">
        <v>0</v>
      </c>
      <c r="V163" s="32">
        <v>0</v>
      </c>
      <c r="W163" s="32">
        <v>0</v>
      </c>
      <c r="X163" s="32">
        <v>0</v>
      </c>
      <c r="Y163" s="32">
        <v>0</v>
      </c>
      <c r="Z163" s="32" t="s">
        <v>69</v>
      </c>
      <c r="AA163" s="32" t="s">
        <v>69</v>
      </c>
      <c r="AB163" s="32">
        <v>0</v>
      </c>
      <c r="AC163" s="32">
        <v>0</v>
      </c>
      <c r="AD163" s="23" t="e">
        <f>VLOOKUP(B:B,库存明细报表10.16!L:P,5,0)</f>
        <v>#N/A</v>
      </c>
      <c r="AE163" s="23" t="e">
        <f>VLOOKUP(B:B,库存明细报表10.16!L:Q,6,0)</f>
        <v>#N/A</v>
      </c>
      <c r="AF163" s="23" t="e">
        <f>VLOOKUP(B:B,库存明细报表10.16!L:T,9,0)</f>
        <v>#N/A</v>
      </c>
      <c r="AG163" s="23">
        <f>VLOOKUP(A:A,进销存报表10.16!A:J,10,0)</f>
        <v>18</v>
      </c>
      <c r="AH163" s="23">
        <f>VLOOKUP(A:A,进销存报表10.16!A:K,11,0)</f>
        <v>2</v>
      </c>
      <c r="AI163" s="23">
        <v>49.21</v>
      </c>
      <c r="AJ163" s="23">
        <v>21.3</v>
      </c>
      <c r="AK163" s="23" t="s">
        <v>239</v>
      </c>
      <c r="AL163" s="26">
        <v>0</v>
      </c>
      <c r="AM163" s="32" t="e">
        <f t="shared" si="4"/>
        <v>#VALUE!</v>
      </c>
      <c r="AN163" s="44">
        <f t="shared" si="5"/>
        <v>0</v>
      </c>
      <c r="AO163" s="2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</row>
    <row r="164" s="8" customFormat="1" customHeight="1" spans="1:53">
      <c r="A164" s="13" t="s">
        <v>542</v>
      </c>
      <c r="B164" s="13" t="s">
        <v>543</v>
      </c>
      <c r="C164" s="13" t="s">
        <v>544</v>
      </c>
      <c r="D164" s="23" t="s">
        <v>211</v>
      </c>
      <c r="E164" s="23" t="s">
        <v>343</v>
      </c>
      <c r="F164" s="23" t="s">
        <v>344</v>
      </c>
      <c r="G164" s="23" t="s">
        <v>239</v>
      </c>
      <c r="H164" s="43" t="s">
        <v>46</v>
      </c>
      <c r="I164" s="23" t="s">
        <v>345</v>
      </c>
      <c r="J164" s="23">
        <v>54.99</v>
      </c>
      <c r="K164" s="23">
        <v>25.82</v>
      </c>
      <c r="L164" s="23"/>
      <c r="M164" s="23"/>
      <c r="N164" s="23"/>
      <c r="O164" s="23">
        <v>0</v>
      </c>
      <c r="P164" s="23">
        <v>0</v>
      </c>
      <c r="Q164" s="23">
        <v>0</v>
      </c>
      <c r="R164" s="23">
        <v>0</v>
      </c>
      <c r="S164" s="23">
        <v>0</v>
      </c>
      <c r="T164" s="23">
        <v>3</v>
      </c>
      <c r="U164" s="23">
        <v>1</v>
      </c>
      <c r="V164" s="32">
        <v>0</v>
      </c>
      <c r="W164" s="32">
        <v>0.194976049</v>
      </c>
      <c r="X164" s="32">
        <v>0.227807967</v>
      </c>
      <c r="Y164" s="32">
        <v>0.333333333</v>
      </c>
      <c r="Z164" s="32">
        <v>0.108429369</v>
      </c>
      <c r="AA164" s="32">
        <v>0.085670798</v>
      </c>
      <c r="AB164" s="32">
        <v>0.063829787</v>
      </c>
      <c r="AC164" s="32">
        <v>0.093740497</v>
      </c>
      <c r="AD164" s="23" t="e">
        <f>VLOOKUP(B:B,库存明细报表10.16!L:P,5,0)</f>
        <v>#N/A</v>
      </c>
      <c r="AE164" s="23" t="e">
        <f>VLOOKUP(B:B,库存明细报表10.16!L:Q,6,0)</f>
        <v>#N/A</v>
      </c>
      <c r="AF164" s="23" t="e">
        <f>VLOOKUP(B:B,库存明细报表10.16!L:T,9,0)</f>
        <v>#N/A</v>
      </c>
      <c r="AG164" s="23">
        <f>VLOOKUP(A:A,进销存报表10.16!A:J,10,0)</f>
        <v>15</v>
      </c>
      <c r="AH164" s="23">
        <f>VLOOKUP(A:A,进销存报表10.16!A:K,11,0)</f>
        <v>1</v>
      </c>
      <c r="AI164" s="23">
        <v>131.41</v>
      </c>
      <c r="AJ164" s="23">
        <v>92.66</v>
      </c>
      <c r="AK164" s="23" t="s">
        <v>239</v>
      </c>
      <c r="AL164" s="26">
        <v>1</v>
      </c>
      <c r="AM164" s="32" t="e">
        <f t="shared" si="4"/>
        <v>#VALUE!</v>
      </c>
      <c r="AN164" s="44">
        <f t="shared" si="5"/>
        <v>0.0107921433196633</v>
      </c>
      <c r="AO164" s="2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</row>
    <row r="165" s="8" customFormat="1" customHeight="1" spans="1:53">
      <c r="A165" s="13" t="s">
        <v>545</v>
      </c>
      <c r="B165" s="13" t="s">
        <v>546</v>
      </c>
      <c r="C165" s="13" t="s">
        <v>547</v>
      </c>
      <c r="D165" s="23" t="s">
        <v>211</v>
      </c>
      <c r="E165" s="23" t="s">
        <v>343</v>
      </c>
      <c r="F165" s="23" t="s">
        <v>344</v>
      </c>
      <c r="G165" s="23" t="s">
        <v>239</v>
      </c>
      <c r="H165" s="43" t="s">
        <v>46</v>
      </c>
      <c r="I165" s="23" t="s">
        <v>345</v>
      </c>
      <c r="J165" s="23">
        <v>31.99</v>
      </c>
      <c r="K165" s="23">
        <v>13.3</v>
      </c>
      <c r="L165" s="23"/>
      <c r="M165" s="23"/>
      <c r="N165" s="23"/>
      <c r="O165" s="23">
        <v>0</v>
      </c>
      <c r="P165" s="23">
        <v>0</v>
      </c>
      <c r="Q165" s="23">
        <v>0</v>
      </c>
      <c r="R165" s="23">
        <v>0</v>
      </c>
      <c r="S165" s="23">
        <v>0</v>
      </c>
      <c r="T165" s="23">
        <v>2</v>
      </c>
      <c r="U165" s="23">
        <v>1</v>
      </c>
      <c r="V165" s="32">
        <v>0</v>
      </c>
      <c r="W165" s="32">
        <v>0.050202733</v>
      </c>
      <c r="X165" s="32">
        <v>0.111595786</v>
      </c>
      <c r="Y165" s="32">
        <v>1</v>
      </c>
      <c r="Z165" s="32">
        <v>0.088676671</v>
      </c>
      <c r="AA165" s="32">
        <v>0.213278763</v>
      </c>
      <c r="AB165" s="32">
        <v>0.086956522</v>
      </c>
      <c r="AC165" s="32">
        <v>0</v>
      </c>
      <c r="AD165" s="23" t="e">
        <f>VLOOKUP(B:B,库存明细报表10.16!L:P,5,0)</f>
        <v>#N/A</v>
      </c>
      <c r="AE165" s="23" t="e">
        <f>VLOOKUP(B:B,库存明细报表10.16!L:Q,6,0)</f>
        <v>#N/A</v>
      </c>
      <c r="AF165" s="23" t="e">
        <f>VLOOKUP(B:B,库存明细报表10.16!L:T,9,0)</f>
        <v>#N/A</v>
      </c>
      <c r="AG165" s="23">
        <f>VLOOKUP(A:A,进销存报表10.16!A:J,10,0)</f>
        <v>13</v>
      </c>
      <c r="AH165" s="23">
        <f>VLOOKUP(A:A,进销存报表10.16!A:K,11,0)</f>
        <v>6</v>
      </c>
      <c r="AI165" s="23">
        <v>62.29</v>
      </c>
      <c r="AJ165" s="23">
        <v>10.4</v>
      </c>
      <c r="AK165" s="23" t="s">
        <v>239</v>
      </c>
      <c r="AL165" s="26">
        <v>0.333333333</v>
      </c>
      <c r="AM165" s="32" t="e">
        <f t="shared" si="4"/>
        <v>#VALUE!</v>
      </c>
      <c r="AN165" s="44">
        <f t="shared" si="5"/>
        <v>0.0320512820192308</v>
      </c>
      <c r="AO165" s="2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</row>
    <row r="166" s="8" customFormat="1" customHeight="1" spans="1:53">
      <c r="A166" s="13" t="s">
        <v>548</v>
      </c>
      <c r="B166" s="13" t="s">
        <v>549</v>
      </c>
      <c r="C166" s="13" t="s">
        <v>550</v>
      </c>
      <c r="D166" s="23" t="s">
        <v>211</v>
      </c>
      <c r="E166" s="23" t="s">
        <v>343</v>
      </c>
      <c r="F166" s="23" t="s">
        <v>344</v>
      </c>
      <c r="G166" s="23" t="s">
        <v>239</v>
      </c>
      <c r="H166" s="43" t="s">
        <v>46</v>
      </c>
      <c r="I166" s="23" t="s">
        <v>345</v>
      </c>
      <c r="J166" s="23">
        <v>33.99</v>
      </c>
      <c r="K166" s="23">
        <v>15.69</v>
      </c>
      <c r="L166" s="23"/>
      <c r="M166" s="23"/>
      <c r="N166" s="23"/>
      <c r="O166" s="23" t="s">
        <v>239</v>
      </c>
      <c r="P166" s="23" t="s">
        <v>239</v>
      </c>
      <c r="Q166" s="23" t="s">
        <v>239</v>
      </c>
      <c r="R166" s="23" t="s">
        <v>239</v>
      </c>
      <c r="S166" s="23">
        <v>1</v>
      </c>
      <c r="T166" s="23">
        <v>5</v>
      </c>
      <c r="U166" s="23">
        <v>0</v>
      </c>
      <c r="V166" s="32">
        <v>0</v>
      </c>
      <c r="W166" s="32">
        <v>0.175408</v>
      </c>
      <c r="X166" s="32">
        <v>0.197228659</v>
      </c>
      <c r="Y166" s="32">
        <v>0</v>
      </c>
      <c r="Z166" s="32">
        <v>0.097759896</v>
      </c>
      <c r="AA166" s="32">
        <v>0.064810787</v>
      </c>
      <c r="AB166" s="32">
        <v>0.047169811</v>
      </c>
      <c r="AC166" s="32">
        <v>0.099990286</v>
      </c>
      <c r="AD166" s="23" t="e">
        <f>VLOOKUP(B:B,库存明细报表10.16!L:P,5,0)</f>
        <v>#N/A</v>
      </c>
      <c r="AE166" s="23" t="e">
        <f>VLOOKUP(B:B,库存明细报表10.16!L:Q,6,0)</f>
        <v>#N/A</v>
      </c>
      <c r="AF166" s="23" t="e">
        <f>VLOOKUP(B:B,库存明细报表10.16!L:T,9,0)</f>
        <v>#N/A</v>
      </c>
      <c r="AG166" s="23">
        <f>VLOOKUP(A:A,进销存报表10.16!A:J,10,0)</f>
        <v>1</v>
      </c>
      <c r="AH166" s="23">
        <f>VLOOKUP(A:A,进销存报表10.16!A:K,11,0)</f>
        <v>10</v>
      </c>
      <c r="AI166" s="23">
        <v>28.42</v>
      </c>
      <c r="AJ166" s="23">
        <v>17</v>
      </c>
      <c r="AK166" s="23" t="s">
        <v>239</v>
      </c>
      <c r="AL166" s="26">
        <v>1.666666667</v>
      </c>
      <c r="AM166" s="32" t="e">
        <f t="shared" si="4"/>
        <v>#VALUE!</v>
      </c>
      <c r="AN166" s="44">
        <f t="shared" si="5"/>
        <v>0.0980392157058824</v>
      </c>
      <c r="AO166" s="2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</row>
    <row r="167" s="8" customFormat="1" customHeight="1" spans="1:53">
      <c r="A167" s="13" t="s">
        <v>551</v>
      </c>
      <c r="B167" s="13" t="s">
        <v>552</v>
      </c>
      <c r="C167" s="13" t="s">
        <v>553</v>
      </c>
      <c r="D167" s="23" t="s">
        <v>211</v>
      </c>
      <c r="E167" s="23" t="s">
        <v>343</v>
      </c>
      <c r="F167" s="23" t="s">
        <v>344</v>
      </c>
      <c r="G167" s="23" t="s">
        <v>239</v>
      </c>
      <c r="H167" s="43" t="s">
        <v>46</v>
      </c>
      <c r="I167" s="23" t="s">
        <v>345</v>
      </c>
      <c r="J167" s="23">
        <v>26.99</v>
      </c>
      <c r="K167" s="23">
        <v>14.87</v>
      </c>
      <c r="L167" s="23"/>
      <c r="M167" s="23"/>
      <c r="N167" s="23"/>
      <c r="O167" s="23" t="s">
        <v>239</v>
      </c>
      <c r="P167" s="23" t="s">
        <v>239</v>
      </c>
      <c r="Q167" s="23" t="s">
        <v>239</v>
      </c>
      <c r="R167" s="23" t="s">
        <v>239</v>
      </c>
      <c r="S167" s="23">
        <v>1</v>
      </c>
      <c r="T167" s="23">
        <v>1</v>
      </c>
      <c r="U167" s="23">
        <v>2</v>
      </c>
      <c r="V167" s="32">
        <v>0</v>
      </c>
      <c r="W167" s="32">
        <v>0.113938087</v>
      </c>
      <c r="X167" s="32">
        <v>0.113932601</v>
      </c>
      <c r="Y167" s="32">
        <v>0</v>
      </c>
      <c r="Z167" s="32">
        <v>0.156197888</v>
      </c>
      <c r="AA167" s="32">
        <v>0</v>
      </c>
      <c r="AB167" s="32">
        <v>0.033333333</v>
      </c>
      <c r="AC167" s="32">
        <v>0</v>
      </c>
      <c r="AD167" s="23" t="e">
        <f>VLOOKUP(B:B,库存明细报表10.16!L:P,5,0)</f>
        <v>#N/A</v>
      </c>
      <c r="AE167" s="23" t="e">
        <f>VLOOKUP(B:B,库存明细报表10.16!L:Q,6,0)</f>
        <v>#N/A</v>
      </c>
      <c r="AF167" s="23" t="e">
        <f>VLOOKUP(B:B,库存明细报表10.16!L:T,9,0)</f>
        <v>#N/A</v>
      </c>
      <c r="AG167" s="23">
        <f>VLOOKUP(A:A,进销存报表10.16!A:J,10,0)</f>
        <v>4</v>
      </c>
      <c r="AH167" s="23">
        <f>VLOOKUP(A:A,进销存报表10.16!A:K,11,0)</f>
        <v>10</v>
      </c>
      <c r="AI167" s="23">
        <v>21.8</v>
      </c>
      <c r="AJ167" s="23">
        <v>25.92</v>
      </c>
      <c r="AK167" s="23" t="s">
        <v>239</v>
      </c>
      <c r="AL167" s="26">
        <v>0.333333333</v>
      </c>
      <c r="AM167" s="32" t="e">
        <f t="shared" si="4"/>
        <v>#VALUE!</v>
      </c>
      <c r="AN167" s="44">
        <f t="shared" si="5"/>
        <v>0.0128600822916667</v>
      </c>
      <c r="AO167" s="2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</row>
    <row r="168" s="8" customFormat="1" customHeight="1" spans="1:53">
      <c r="A168" s="13" t="s">
        <v>554</v>
      </c>
      <c r="B168" s="13" t="s">
        <v>555</v>
      </c>
      <c r="C168" s="13" t="s">
        <v>556</v>
      </c>
      <c r="D168" s="23" t="s">
        <v>211</v>
      </c>
      <c r="E168" s="23" t="s">
        <v>343</v>
      </c>
      <c r="F168" s="23" t="s">
        <v>344</v>
      </c>
      <c r="G168" s="23" t="s">
        <v>239</v>
      </c>
      <c r="H168" s="43" t="s">
        <v>46</v>
      </c>
      <c r="I168" s="23" t="s">
        <v>345</v>
      </c>
      <c r="J168" s="23">
        <v>33.99</v>
      </c>
      <c r="K168" s="23">
        <v>15.23</v>
      </c>
      <c r="L168" s="23"/>
      <c r="M168" s="23"/>
      <c r="N168" s="23"/>
      <c r="O168" s="23" t="s">
        <v>239</v>
      </c>
      <c r="P168" s="23" t="s">
        <v>239</v>
      </c>
      <c r="Q168" s="23" t="s">
        <v>239</v>
      </c>
      <c r="R168" s="23" t="s">
        <v>239</v>
      </c>
      <c r="S168" s="23">
        <v>1</v>
      </c>
      <c r="T168" s="23">
        <v>1</v>
      </c>
      <c r="U168" s="23">
        <v>0</v>
      </c>
      <c r="V168" s="32">
        <v>0</v>
      </c>
      <c r="W168" s="32">
        <v>0.139795932</v>
      </c>
      <c r="X168" s="32">
        <v>0.156462037</v>
      </c>
      <c r="Y168" s="32">
        <v>0</v>
      </c>
      <c r="Z168" s="32">
        <v>0.139224677</v>
      </c>
      <c r="AA168" s="32">
        <v>0</v>
      </c>
      <c r="AB168" s="32">
        <v>0.027777778</v>
      </c>
      <c r="AC168" s="32">
        <v>0</v>
      </c>
      <c r="AD168" s="23" t="e">
        <f>VLOOKUP(B:B,库存明细报表10.16!L:P,5,0)</f>
        <v>#N/A</v>
      </c>
      <c r="AE168" s="23" t="e">
        <f>VLOOKUP(B:B,库存明细报表10.16!L:Q,6,0)</f>
        <v>#N/A</v>
      </c>
      <c r="AF168" s="23" t="e">
        <f>VLOOKUP(B:B,库存明细报表10.16!L:T,9,0)</f>
        <v>#N/A</v>
      </c>
      <c r="AG168" s="23">
        <f>VLOOKUP(A:A,进销存报表10.16!A:J,10,0)</f>
        <v>6</v>
      </c>
      <c r="AH168" s="23">
        <f>VLOOKUP(A:A,进销存报表10.16!A:K,11,0)</f>
        <v>7</v>
      </c>
      <c r="AI168" s="23">
        <v>8.24</v>
      </c>
      <c r="AJ168" s="23">
        <v>11.5</v>
      </c>
      <c r="AK168" s="23" t="s">
        <v>239</v>
      </c>
      <c r="AL168" s="26">
        <v>0.333333333</v>
      </c>
      <c r="AM168" s="32" t="e">
        <f t="shared" si="4"/>
        <v>#VALUE!</v>
      </c>
      <c r="AN168" s="44">
        <f t="shared" si="5"/>
        <v>0.0289855072173913</v>
      </c>
      <c r="AO168" s="2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</row>
    <row r="169" s="8" customFormat="1" customHeight="1" spans="1:53">
      <c r="A169" s="13" t="s">
        <v>557</v>
      </c>
      <c r="B169" s="13" t="s">
        <v>558</v>
      </c>
      <c r="C169" s="13" t="s">
        <v>559</v>
      </c>
      <c r="D169" s="23" t="s">
        <v>211</v>
      </c>
      <c r="E169" s="23" t="s">
        <v>343</v>
      </c>
      <c r="F169" s="23" t="s">
        <v>344</v>
      </c>
      <c r="G169" s="23" t="s">
        <v>239</v>
      </c>
      <c r="H169" s="43" t="s">
        <v>288</v>
      </c>
      <c r="I169" s="23" t="s">
        <v>345</v>
      </c>
      <c r="J169" s="23">
        <v>26.99</v>
      </c>
      <c r="K169" s="23">
        <v>16.29</v>
      </c>
      <c r="L169" s="23"/>
      <c r="M169" s="23"/>
      <c r="N169" s="23"/>
      <c r="O169" s="23" t="s">
        <v>239</v>
      </c>
      <c r="P169" s="23" t="s">
        <v>239</v>
      </c>
      <c r="Q169" s="23" t="s">
        <v>239</v>
      </c>
      <c r="R169" s="23" t="s">
        <v>239</v>
      </c>
      <c r="S169" s="23">
        <v>0</v>
      </c>
      <c r="T169" s="23">
        <v>0</v>
      </c>
      <c r="U169" s="23">
        <v>0</v>
      </c>
      <c r="V169" s="32">
        <v>0</v>
      </c>
      <c r="W169" s="32">
        <v>0</v>
      </c>
      <c r="X169" s="32">
        <v>0</v>
      </c>
      <c r="Y169" s="32">
        <v>0</v>
      </c>
      <c r="Z169" s="32" t="s">
        <v>69</v>
      </c>
      <c r="AA169" s="32" t="s">
        <v>69</v>
      </c>
      <c r="AB169" s="32">
        <v>0</v>
      </c>
      <c r="AC169" s="32">
        <v>0</v>
      </c>
      <c r="AD169" s="23" t="e">
        <f>VLOOKUP(B:B,库存明细报表10.16!L:P,5,0)</f>
        <v>#N/A</v>
      </c>
      <c r="AE169" s="23" t="e">
        <f>VLOOKUP(B:B,库存明细报表10.16!L:Q,6,0)</f>
        <v>#N/A</v>
      </c>
      <c r="AF169" s="23" t="e">
        <f>VLOOKUP(B:B,库存明细报表10.16!L:T,9,0)</f>
        <v>#N/A</v>
      </c>
      <c r="AG169" s="23">
        <f>VLOOKUP(A:A,进销存报表10.16!A:J,10,0)</f>
        <v>8</v>
      </c>
      <c r="AH169" s="23">
        <f>VLOOKUP(A:A,进销存报表10.16!A:K,11,0)</f>
        <v>7</v>
      </c>
      <c r="AI169" s="23">
        <v>19.04</v>
      </c>
      <c r="AJ169" s="23">
        <v>30.62</v>
      </c>
      <c r="AK169" s="23" t="s">
        <v>239</v>
      </c>
      <c r="AL169" s="26">
        <v>0</v>
      </c>
      <c r="AM169" s="32" t="e">
        <f t="shared" si="4"/>
        <v>#VALUE!</v>
      </c>
      <c r="AN169" s="44">
        <f t="shared" si="5"/>
        <v>0</v>
      </c>
      <c r="AO169" s="2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</row>
    <row r="170" s="8" customFormat="1" customHeight="1" spans="1:53">
      <c r="A170" s="13" t="s">
        <v>560</v>
      </c>
      <c r="B170" s="13" t="s">
        <v>561</v>
      </c>
      <c r="C170" s="13" t="s">
        <v>562</v>
      </c>
      <c r="D170" s="23" t="s">
        <v>211</v>
      </c>
      <c r="E170" s="23" t="s">
        <v>343</v>
      </c>
      <c r="F170" s="23" t="s">
        <v>344</v>
      </c>
      <c r="G170" s="23" t="s">
        <v>239</v>
      </c>
      <c r="H170" s="43" t="s">
        <v>46</v>
      </c>
      <c r="I170" s="23" t="s">
        <v>345</v>
      </c>
      <c r="J170" s="23">
        <v>87.99</v>
      </c>
      <c r="K170" s="23">
        <v>53.23</v>
      </c>
      <c r="L170" s="23"/>
      <c r="M170" s="23"/>
      <c r="N170" s="23"/>
      <c r="O170" s="23" t="s">
        <v>239</v>
      </c>
      <c r="P170" s="23" t="s">
        <v>239</v>
      </c>
      <c r="Q170" s="23" t="s">
        <v>239</v>
      </c>
      <c r="R170" s="23" t="s">
        <v>239</v>
      </c>
      <c r="S170" s="23">
        <v>1</v>
      </c>
      <c r="T170" s="23">
        <v>1</v>
      </c>
      <c r="U170" s="23">
        <v>0</v>
      </c>
      <c r="V170" s="32">
        <v>0</v>
      </c>
      <c r="W170" s="32">
        <v>0.19534499</v>
      </c>
      <c r="X170" s="32">
        <v>0.131094239</v>
      </c>
      <c r="Y170" s="32">
        <v>0</v>
      </c>
      <c r="Z170" s="32">
        <v>0.144890397</v>
      </c>
      <c r="AA170" s="32">
        <v>0.05808437</v>
      </c>
      <c r="AB170" s="32">
        <v>0.027777778</v>
      </c>
      <c r="AC170" s="32">
        <v>0.041662436</v>
      </c>
      <c r="AD170" s="23" t="e">
        <f>VLOOKUP(B:B,库存明细报表10.16!L:P,5,0)</f>
        <v>#N/A</v>
      </c>
      <c r="AE170" s="23" t="e">
        <f>VLOOKUP(B:B,库存明细报表10.16!L:Q,6,0)</f>
        <v>#N/A</v>
      </c>
      <c r="AF170" s="23" t="e">
        <f>VLOOKUP(B:B,库存明细报表10.16!L:T,9,0)</f>
        <v>#N/A</v>
      </c>
      <c r="AG170" s="23">
        <f>VLOOKUP(A:A,进销存报表10.16!A:J,10,0)</f>
        <v>8</v>
      </c>
      <c r="AH170" s="23">
        <f>VLOOKUP(A:A,进销存报表10.16!A:K,11,0)</f>
        <v>8</v>
      </c>
      <c r="AI170" s="23">
        <v>46.4</v>
      </c>
      <c r="AJ170" s="23">
        <v>29.99</v>
      </c>
      <c r="AK170" s="23" t="s">
        <v>239</v>
      </c>
      <c r="AL170" s="26">
        <v>0.666666667</v>
      </c>
      <c r="AM170" s="32" t="e">
        <f t="shared" si="4"/>
        <v>#VALUE!</v>
      </c>
      <c r="AN170" s="44">
        <f t="shared" si="5"/>
        <v>0.0222296321107036</v>
      </c>
      <c r="AO170" s="2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</row>
    <row r="171" s="8" customFormat="1" customHeight="1" spans="1:53">
      <c r="A171" s="13" t="s">
        <v>563</v>
      </c>
      <c r="B171" s="13" t="s">
        <v>564</v>
      </c>
      <c r="C171" s="13" t="s">
        <v>565</v>
      </c>
      <c r="D171" s="23" t="s">
        <v>211</v>
      </c>
      <c r="E171" s="23" t="s">
        <v>343</v>
      </c>
      <c r="F171" s="23" t="s">
        <v>344</v>
      </c>
      <c r="G171" s="23" t="s">
        <v>239</v>
      </c>
      <c r="H171" s="43" t="s">
        <v>48</v>
      </c>
      <c r="I171" s="23" t="s">
        <v>345</v>
      </c>
      <c r="J171" s="23">
        <v>89.99</v>
      </c>
      <c r="K171" s="23">
        <v>51.72</v>
      </c>
      <c r="L171" s="23"/>
      <c r="M171" s="23"/>
      <c r="N171" s="23"/>
      <c r="O171" s="23" t="s">
        <v>239</v>
      </c>
      <c r="P171" s="23" t="s">
        <v>239</v>
      </c>
      <c r="Q171" s="23" t="s">
        <v>239</v>
      </c>
      <c r="R171" s="23" t="s">
        <v>239</v>
      </c>
      <c r="S171" s="23">
        <v>1</v>
      </c>
      <c r="T171" s="23">
        <v>5</v>
      </c>
      <c r="U171" s="23">
        <v>0</v>
      </c>
      <c r="V171" s="32">
        <v>0</v>
      </c>
      <c r="W171" s="32">
        <v>0.281811486</v>
      </c>
      <c r="X171" s="32">
        <v>0.283011025</v>
      </c>
      <c r="Y171" s="32">
        <v>0</v>
      </c>
      <c r="Z171" s="32">
        <v>0.019852482</v>
      </c>
      <c r="AA171" s="32">
        <v>0.035704463</v>
      </c>
      <c r="AB171" s="32">
        <v>0.125</v>
      </c>
      <c r="AC171" s="32">
        <v>0.176452656</v>
      </c>
      <c r="AD171" s="23" t="e">
        <f>VLOOKUP(B:B,库存明细报表10.16!L:P,5,0)</f>
        <v>#N/A</v>
      </c>
      <c r="AE171" s="23" t="e">
        <f>VLOOKUP(B:B,库存明细报表10.16!L:Q,6,0)</f>
        <v>#N/A</v>
      </c>
      <c r="AF171" s="23" t="e">
        <f>VLOOKUP(B:B,库存明细报表10.16!L:T,9,0)</f>
        <v>#N/A</v>
      </c>
      <c r="AG171" s="23">
        <f>VLOOKUP(A:A,进销存报表10.16!A:J,10,0)</f>
        <v>0</v>
      </c>
      <c r="AH171" s="23">
        <f>VLOOKUP(A:A,进销存报表10.16!A:K,11,0)</f>
        <v>8</v>
      </c>
      <c r="AI171" s="23">
        <v>44.84</v>
      </c>
      <c r="AJ171" s="23">
        <v>25.95</v>
      </c>
      <c r="AK171" s="23" t="s">
        <v>239</v>
      </c>
      <c r="AL171" s="26">
        <v>1.666666667</v>
      </c>
      <c r="AM171" s="32" t="e">
        <f t="shared" si="4"/>
        <v>#VALUE!</v>
      </c>
      <c r="AN171" s="44">
        <f t="shared" si="5"/>
        <v>0.0642260757996146</v>
      </c>
      <c r="AO171" s="2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</row>
    <row r="172" s="8" customFormat="1" customHeight="1" spans="1:53">
      <c r="A172" s="13" t="s">
        <v>566</v>
      </c>
      <c r="B172" s="13" t="s">
        <v>567</v>
      </c>
      <c r="C172" s="13" t="s">
        <v>568</v>
      </c>
      <c r="D172" s="23" t="s">
        <v>211</v>
      </c>
      <c r="E172" s="23" t="s">
        <v>343</v>
      </c>
      <c r="F172" s="23" t="s">
        <v>344</v>
      </c>
      <c r="G172" s="23" t="s">
        <v>239</v>
      </c>
      <c r="H172" s="43" t="s">
        <v>46</v>
      </c>
      <c r="I172" s="23" t="s">
        <v>345</v>
      </c>
      <c r="J172" s="23">
        <v>29.99</v>
      </c>
      <c r="K172" s="23">
        <v>15.06</v>
      </c>
      <c r="L172" s="23"/>
      <c r="M172" s="23"/>
      <c r="N172" s="23"/>
      <c r="O172" s="23" t="s">
        <v>239</v>
      </c>
      <c r="P172" s="23" t="s">
        <v>239</v>
      </c>
      <c r="Q172" s="23" t="s">
        <v>239</v>
      </c>
      <c r="R172" s="23" t="s">
        <v>239</v>
      </c>
      <c r="S172" s="23">
        <v>0</v>
      </c>
      <c r="T172" s="23">
        <v>1</v>
      </c>
      <c r="U172" s="23">
        <v>0</v>
      </c>
      <c r="V172" s="32">
        <v>0</v>
      </c>
      <c r="W172" s="32">
        <v>-0.0717119</v>
      </c>
      <c r="X172" s="32">
        <v>-0.071720353</v>
      </c>
      <c r="Y172" s="32">
        <v>0</v>
      </c>
      <c r="Z172" s="32">
        <v>0.244122164</v>
      </c>
      <c r="AA172" s="32">
        <v>0.126563282</v>
      </c>
      <c r="AB172" s="32">
        <v>0.038461538</v>
      </c>
      <c r="AC172" s="32">
        <v>0</v>
      </c>
      <c r="AD172" s="23" t="e">
        <f>VLOOKUP(B:B,库存明细报表10.16!L:P,5,0)</f>
        <v>#N/A</v>
      </c>
      <c r="AE172" s="23" t="e">
        <f>VLOOKUP(B:B,库存明细报表10.16!L:Q,6,0)</f>
        <v>#N/A</v>
      </c>
      <c r="AF172" s="23" t="e">
        <f>VLOOKUP(B:B,库存明细报表10.16!L:T,9,0)</f>
        <v>#N/A</v>
      </c>
      <c r="AG172" s="23">
        <f>VLOOKUP(A:A,进销存报表10.16!A:J,10,0)</f>
        <v>8</v>
      </c>
      <c r="AH172" s="23">
        <f>VLOOKUP(A:A,进销存报表10.16!A:K,11,0)</f>
        <v>8</v>
      </c>
      <c r="AI172" s="23">
        <v>26.12</v>
      </c>
      <c r="AJ172" s="23">
        <v>16.26</v>
      </c>
      <c r="AK172" s="23" t="s">
        <v>239</v>
      </c>
      <c r="AL172" s="26">
        <v>0.333333333</v>
      </c>
      <c r="AM172" s="32" t="e">
        <f t="shared" si="4"/>
        <v>#VALUE!</v>
      </c>
      <c r="AN172" s="44">
        <f t="shared" si="5"/>
        <v>0.0205002049815498</v>
      </c>
      <c r="AO172" s="2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</row>
    <row r="173" s="8" customFormat="1" customHeight="1" spans="1:53">
      <c r="A173" s="13" t="s">
        <v>569</v>
      </c>
      <c r="B173" s="13" t="s">
        <v>570</v>
      </c>
      <c r="C173" s="13" t="s">
        <v>571</v>
      </c>
      <c r="D173" s="23" t="s">
        <v>211</v>
      </c>
      <c r="E173" s="23" t="s">
        <v>343</v>
      </c>
      <c r="F173" s="23" t="s">
        <v>344</v>
      </c>
      <c r="G173" s="23" t="s">
        <v>239</v>
      </c>
      <c r="H173" s="43" t="s">
        <v>46</v>
      </c>
      <c r="I173" s="23" t="s">
        <v>345</v>
      </c>
      <c r="J173" s="23">
        <v>39.99</v>
      </c>
      <c r="K173" s="23">
        <v>22.19</v>
      </c>
      <c r="L173" s="23"/>
      <c r="M173" s="23"/>
      <c r="N173" s="23"/>
      <c r="O173" s="23" t="s">
        <v>239</v>
      </c>
      <c r="P173" s="23" t="s">
        <v>239</v>
      </c>
      <c r="Q173" s="23" t="s">
        <v>239</v>
      </c>
      <c r="R173" s="23" t="s">
        <v>239</v>
      </c>
      <c r="S173" s="23">
        <v>0</v>
      </c>
      <c r="T173" s="23">
        <v>4</v>
      </c>
      <c r="U173" s="23">
        <v>1</v>
      </c>
      <c r="V173" s="32">
        <v>0</v>
      </c>
      <c r="W173" s="32">
        <v>0.197019747</v>
      </c>
      <c r="X173" s="32">
        <v>0.199519022</v>
      </c>
      <c r="Y173" s="32">
        <v>0</v>
      </c>
      <c r="Z173" s="32">
        <v>0.048241368</v>
      </c>
      <c r="AA173" s="32">
        <v>0.074056147</v>
      </c>
      <c r="AB173" s="32">
        <v>0.086956522</v>
      </c>
      <c r="AC173" s="32">
        <v>0.249973149</v>
      </c>
      <c r="AD173" s="23" t="e">
        <f>VLOOKUP(B:B,库存明细报表10.16!L:P,5,0)</f>
        <v>#N/A</v>
      </c>
      <c r="AE173" s="23" t="e">
        <f>VLOOKUP(B:B,库存明细报表10.16!L:Q,6,0)</f>
        <v>#N/A</v>
      </c>
      <c r="AF173" s="23" t="e">
        <f>VLOOKUP(B:B,库存明细报表10.16!L:T,9,0)</f>
        <v>#N/A</v>
      </c>
      <c r="AG173" s="23">
        <f>VLOOKUP(A:A,进销存报表10.16!A:J,10,0)</f>
        <v>3</v>
      </c>
      <c r="AH173" s="23">
        <f>VLOOKUP(A:A,进销存报表10.16!A:K,11,0)</f>
        <v>9</v>
      </c>
      <c r="AI173" s="23">
        <v>30.87</v>
      </c>
      <c r="AJ173" s="23">
        <v>23.2</v>
      </c>
      <c r="AK173" s="23" t="s">
        <v>239</v>
      </c>
      <c r="AL173" s="26">
        <v>1.333333333</v>
      </c>
      <c r="AM173" s="32" t="e">
        <f t="shared" si="4"/>
        <v>#VALUE!</v>
      </c>
      <c r="AN173" s="44">
        <f t="shared" si="5"/>
        <v>0.0574712643534483</v>
      </c>
      <c r="AO173" s="2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</row>
    <row r="174" s="8" customFormat="1" customHeight="1" spans="1:53">
      <c r="A174" s="13" t="s">
        <v>572</v>
      </c>
      <c r="B174" s="13" t="s">
        <v>573</v>
      </c>
      <c r="C174" s="13" t="s">
        <v>574</v>
      </c>
      <c r="D174" s="23" t="s">
        <v>211</v>
      </c>
      <c r="E174" s="23" t="s">
        <v>343</v>
      </c>
      <c r="F174" s="23" t="s">
        <v>344</v>
      </c>
      <c r="G174" s="23" t="s">
        <v>239</v>
      </c>
      <c r="H174" s="43" t="s">
        <v>46</v>
      </c>
      <c r="I174" s="23" t="s">
        <v>345</v>
      </c>
      <c r="J174" s="23">
        <v>27.99</v>
      </c>
      <c r="K174" s="23">
        <v>13.31</v>
      </c>
      <c r="L174" s="23"/>
      <c r="M174" s="23"/>
      <c r="N174" s="23"/>
      <c r="O174" s="23" t="s">
        <v>239</v>
      </c>
      <c r="P174" s="23" t="s">
        <v>239</v>
      </c>
      <c r="Q174" s="23" t="s">
        <v>239</v>
      </c>
      <c r="R174" s="23" t="s">
        <v>239</v>
      </c>
      <c r="S174" s="23">
        <v>0</v>
      </c>
      <c r="T174" s="23">
        <v>3</v>
      </c>
      <c r="U174" s="23">
        <v>1</v>
      </c>
      <c r="V174" s="32">
        <v>0</v>
      </c>
      <c r="W174" s="32">
        <v>0.086549521</v>
      </c>
      <c r="X174" s="32">
        <v>0.098217621</v>
      </c>
      <c r="Y174" s="32">
        <v>0</v>
      </c>
      <c r="Z174" s="32">
        <v>0.168704836</v>
      </c>
      <c r="AA174" s="32">
        <v>0.065869928</v>
      </c>
      <c r="AB174" s="32">
        <v>0.107142857</v>
      </c>
      <c r="AC174" s="32">
        <v>0.076915374</v>
      </c>
      <c r="AD174" s="23" t="e">
        <f>VLOOKUP(B:B,库存明细报表10.16!L:P,5,0)</f>
        <v>#N/A</v>
      </c>
      <c r="AE174" s="23" t="e">
        <f>VLOOKUP(B:B,库存明细报表10.16!L:Q,6,0)</f>
        <v>#N/A</v>
      </c>
      <c r="AF174" s="23" t="e">
        <f>VLOOKUP(B:B,库存明细报表10.16!L:T,9,0)</f>
        <v>#N/A</v>
      </c>
      <c r="AG174" s="23">
        <f>VLOOKUP(A:A,进销存报表10.16!A:J,10,0)</f>
        <v>2</v>
      </c>
      <c r="AH174" s="23">
        <f>VLOOKUP(A:A,进销存报表10.16!A:K,11,0)</f>
        <v>10</v>
      </c>
      <c r="AI174" s="23">
        <v>15.88</v>
      </c>
      <c r="AJ174" s="23">
        <v>7.04</v>
      </c>
      <c r="AK174" s="23" t="s">
        <v>239</v>
      </c>
      <c r="AL174" s="26">
        <v>0.666666667</v>
      </c>
      <c r="AM174" s="32" t="e">
        <f t="shared" si="4"/>
        <v>#VALUE!</v>
      </c>
      <c r="AN174" s="44">
        <f t="shared" si="5"/>
        <v>0.0946969697443182</v>
      </c>
      <c r="AO174" s="2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</row>
    <row r="175" s="8" customFormat="1" customHeight="1" spans="1:53">
      <c r="A175" s="13" t="s">
        <v>575</v>
      </c>
      <c r="B175" s="13" t="s">
        <v>576</v>
      </c>
      <c r="C175" s="13" t="s">
        <v>577</v>
      </c>
      <c r="D175" s="23" t="s">
        <v>211</v>
      </c>
      <c r="E175" s="23" t="s">
        <v>343</v>
      </c>
      <c r="F175" s="23" t="s">
        <v>344</v>
      </c>
      <c r="G175" s="23" t="s">
        <v>239</v>
      </c>
      <c r="H175" s="43" t="s">
        <v>288</v>
      </c>
      <c r="I175" s="23" t="s">
        <v>345</v>
      </c>
      <c r="J175" s="23">
        <v>28.99</v>
      </c>
      <c r="K175" s="23">
        <v>13.74</v>
      </c>
      <c r="L175" s="23"/>
      <c r="M175" s="23"/>
      <c r="N175" s="23"/>
      <c r="O175" s="23" t="s">
        <v>239</v>
      </c>
      <c r="P175" s="23" t="s">
        <v>239</v>
      </c>
      <c r="Q175" s="23" t="s">
        <v>239</v>
      </c>
      <c r="R175" s="23" t="s">
        <v>239</v>
      </c>
      <c r="S175" s="23">
        <v>0</v>
      </c>
      <c r="T175" s="23">
        <v>0</v>
      </c>
      <c r="U175" s="23">
        <v>1</v>
      </c>
      <c r="V175" s="32">
        <v>0</v>
      </c>
      <c r="W175" s="32">
        <v>0</v>
      </c>
      <c r="X175" s="32">
        <v>0</v>
      </c>
      <c r="Y175" s="32">
        <v>0</v>
      </c>
      <c r="Z175" s="32" t="s">
        <v>69</v>
      </c>
      <c r="AA175" s="32" t="s">
        <v>69</v>
      </c>
      <c r="AB175" s="32">
        <v>0</v>
      </c>
      <c r="AC175" s="32">
        <v>0</v>
      </c>
      <c r="AD175" s="23" t="e">
        <f>VLOOKUP(B:B,库存明细报表10.16!L:P,5,0)</f>
        <v>#N/A</v>
      </c>
      <c r="AE175" s="23" t="e">
        <f>VLOOKUP(B:B,库存明细报表10.16!L:Q,6,0)</f>
        <v>#N/A</v>
      </c>
      <c r="AF175" s="23" t="e">
        <f>VLOOKUP(B:B,库存明细报表10.16!L:T,9,0)</f>
        <v>#N/A</v>
      </c>
      <c r="AG175" s="23">
        <f>VLOOKUP(A:A,进销存报表10.16!A:J,10,0)</f>
        <v>8</v>
      </c>
      <c r="AH175" s="23">
        <f>VLOOKUP(A:A,进销存报表10.16!A:K,11,0)</f>
        <v>8</v>
      </c>
      <c r="AI175" s="23">
        <v>19.65</v>
      </c>
      <c r="AJ175" s="23">
        <v>13.49</v>
      </c>
      <c r="AK175" s="23" t="s">
        <v>239</v>
      </c>
      <c r="AL175" s="26">
        <v>0</v>
      </c>
      <c r="AM175" s="32" t="e">
        <f t="shared" si="4"/>
        <v>#VALUE!</v>
      </c>
      <c r="AN175" s="44">
        <f t="shared" si="5"/>
        <v>0</v>
      </c>
      <c r="AO175" s="2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</row>
    <row r="176" s="8" customFormat="1" customHeight="1" spans="1:53">
      <c r="A176" s="13" t="s">
        <v>578</v>
      </c>
      <c r="B176" s="13" t="s">
        <v>579</v>
      </c>
      <c r="C176" s="13" t="s">
        <v>580</v>
      </c>
      <c r="D176" s="23" t="s">
        <v>211</v>
      </c>
      <c r="E176" s="23" t="s">
        <v>343</v>
      </c>
      <c r="F176" s="23" t="s">
        <v>344</v>
      </c>
      <c r="G176" s="23" t="s">
        <v>239</v>
      </c>
      <c r="H176" s="43" t="s">
        <v>288</v>
      </c>
      <c r="I176" s="23" t="s">
        <v>345</v>
      </c>
      <c r="J176" s="23">
        <v>31.99</v>
      </c>
      <c r="K176" s="23">
        <v>15.99</v>
      </c>
      <c r="L176" s="23"/>
      <c r="M176" s="23"/>
      <c r="N176" s="23"/>
      <c r="O176" s="23" t="s">
        <v>239</v>
      </c>
      <c r="P176" s="23" t="s">
        <v>239</v>
      </c>
      <c r="Q176" s="23" t="s">
        <v>239</v>
      </c>
      <c r="R176" s="23" t="s">
        <v>239</v>
      </c>
      <c r="S176" s="23">
        <v>0</v>
      </c>
      <c r="T176" s="23">
        <v>0</v>
      </c>
      <c r="U176" s="23">
        <v>0</v>
      </c>
      <c r="V176" s="32">
        <v>0</v>
      </c>
      <c r="W176" s="32">
        <v>0</v>
      </c>
      <c r="X176" s="32" t="s">
        <v>239</v>
      </c>
      <c r="Y176" s="32" t="s">
        <v>239</v>
      </c>
      <c r="Z176" s="32" t="s">
        <v>239</v>
      </c>
      <c r="AA176" s="32" t="s">
        <v>239</v>
      </c>
      <c r="AB176" s="32">
        <v>0</v>
      </c>
      <c r="AC176" s="32" t="s">
        <v>69</v>
      </c>
      <c r="AD176" s="23" t="e">
        <f>VLOOKUP(B:B,库存明细报表10.16!L:P,5,0)</f>
        <v>#N/A</v>
      </c>
      <c r="AE176" s="23" t="e">
        <f>VLOOKUP(B:B,库存明细报表10.16!L:Q,6,0)</f>
        <v>#N/A</v>
      </c>
      <c r="AF176" s="23" t="e">
        <f>VLOOKUP(B:B,库存明细报表10.16!L:T,9,0)</f>
        <v>#N/A</v>
      </c>
      <c r="AG176" s="23">
        <f>VLOOKUP(A:A,进销存报表10.16!A:J,10,0)</f>
        <v>8</v>
      </c>
      <c r="AH176" s="23">
        <f>VLOOKUP(A:A,进销存报表10.16!A:K,11,0)</f>
        <v>6</v>
      </c>
      <c r="AI176" s="23">
        <v>24.07</v>
      </c>
      <c r="AJ176" s="23">
        <v>14.52</v>
      </c>
      <c r="AK176" s="23" t="s">
        <v>239</v>
      </c>
      <c r="AL176" s="26">
        <v>0</v>
      </c>
      <c r="AM176" s="32" t="e">
        <f t="shared" si="4"/>
        <v>#VALUE!</v>
      </c>
      <c r="AN176" s="44">
        <f t="shared" si="5"/>
        <v>0</v>
      </c>
      <c r="AO176" s="2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</row>
    <row r="177" s="8" customFormat="1" customHeight="1" spans="1:53">
      <c r="A177" s="13" t="s">
        <v>581</v>
      </c>
      <c r="B177" s="13" t="s">
        <v>582</v>
      </c>
      <c r="C177" s="13" t="s">
        <v>583</v>
      </c>
      <c r="D177" s="23" t="s">
        <v>211</v>
      </c>
      <c r="E177" s="23" t="s">
        <v>343</v>
      </c>
      <c r="F177" s="23" t="s">
        <v>344</v>
      </c>
      <c r="G177" s="23" t="s">
        <v>239</v>
      </c>
      <c r="H177" s="43" t="s">
        <v>46</v>
      </c>
      <c r="I177" s="23" t="s">
        <v>345</v>
      </c>
      <c r="J177" s="23">
        <v>61.99</v>
      </c>
      <c r="K177" s="23">
        <v>36.13</v>
      </c>
      <c r="L177" s="23"/>
      <c r="M177" s="23"/>
      <c r="N177" s="23"/>
      <c r="O177" s="23" t="s">
        <v>239</v>
      </c>
      <c r="P177" s="23" t="s">
        <v>239</v>
      </c>
      <c r="Q177" s="23" t="s">
        <v>239</v>
      </c>
      <c r="R177" s="23" t="s">
        <v>239</v>
      </c>
      <c r="S177" s="23">
        <v>0</v>
      </c>
      <c r="T177" s="23">
        <v>1</v>
      </c>
      <c r="U177" s="23">
        <v>0</v>
      </c>
      <c r="V177" s="32">
        <v>0</v>
      </c>
      <c r="W177" s="32">
        <v>0.177492479</v>
      </c>
      <c r="X177" s="32">
        <v>0.185566277</v>
      </c>
      <c r="Y177" s="32">
        <v>0</v>
      </c>
      <c r="Z177" s="32">
        <v>0.14791312</v>
      </c>
      <c r="AA177" s="32">
        <v>0.002500481</v>
      </c>
      <c r="AB177" s="32">
        <v>0.025</v>
      </c>
      <c r="AC177" s="32">
        <v>0</v>
      </c>
      <c r="AD177" s="23" t="e">
        <f>VLOOKUP(B:B,库存明细报表10.16!L:P,5,0)</f>
        <v>#N/A</v>
      </c>
      <c r="AE177" s="23" t="e">
        <f>VLOOKUP(B:B,库存明细报表10.16!L:Q,6,0)</f>
        <v>#N/A</v>
      </c>
      <c r="AF177" s="23" t="e">
        <f>VLOOKUP(B:B,库存明细报表10.16!L:T,9,0)</f>
        <v>#N/A</v>
      </c>
      <c r="AG177" s="23">
        <f>VLOOKUP(A:A,进销存报表10.16!A:J,10,0)</f>
        <v>18</v>
      </c>
      <c r="AH177" s="23">
        <f>VLOOKUP(A:A,进销存报表10.16!A:K,11,0)</f>
        <v>12</v>
      </c>
      <c r="AI177" s="23">
        <v>42.86</v>
      </c>
      <c r="AJ177" s="23">
        <v>74.04</v>
      </c>
      <c r="AK177" s="23" t="s">
        <v>239</v>
      </c>
      <c r="AL177" s="26">
        <v>0.333333333</v>
      </c>
      <c r="AM177" s="32" t="e">
        <f t="shared" si="4"/>
        <v>#VALUE!</v>
      </c>
      <c r="AN177" s="44">
        <f t="shared" si="5"/>
        <v>0.00450207094813614</v>
      </c>
      <c r="AO177" s="2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</row>
    <row r="178" s="8" customFormat="1" customHeight="1" spans="1:53">
      <c r="A178" s="13" t="s">
        <v>584</v>
      </c>
      <c r="B178" s="13" t="s">
        <v>585</v>
      </c>
      <c r="C178" s="13" t="s">
        <v>586</v>
      </c>
      <c r="D178" s="23" t="s">
        <v>211</v>
      </c>
      <c r="E178" s="23" t="s">
        <v>343</v>
      </c>
      <c r="F178" s="23" t="s">
        <v>344</v>
      </c>
      <c r="G178" s="23" t="s">
        <v>239</v>
      </c>
      <c r="H178" s="43" t="s">
        <v>46</v>
      </c>
      <c r="I178" s="23" t="s">
        <v>345</v>
      </c>
      <c r="J178" s="23">
        <v>47.99</v>
      </c>
      <c r="K178" s="23">
        <v>26.9</v>
      </c>
      <c r="L178" s="23"/>
      <c r="M178" s="23"/>
      <c r="N178" s="23"/>
      <c r="O178" s="23" t="s">
        <v>239</v>
      </c>
      <c r="P178" s="23" t="s">
        <v>239</v>
      </c>
      <c r="Q178" s="23" t="s">
        <v>239</v>
      </c>
      <c r="R178" s="23" t="s">
        <v>239</v>
      </c>
      <c r="S178" s="23">
        <v>0</v>
      </c>
      <c r="T178" s="23">
        <v>2</v>
      </c>
      <c r="U178" s="23">
        <v>0</v>
      </c>
      <c r="V178" s="32">
        <v>0</v>
      </c>
      <c r="W178" s="32">
        <v>0.198975399</v>
      </c>
      <c r="X178" s="32">
        <v>0.206027748</v>
      </c>
      <c r="Y178" s="32">
        <v>0</v>
      </c>
      <c r="Z178" s="32">
        <v>0.035393717</v>
      </c>
      <c r="AA178" s="32">
        <v>0.10182098</v>
      </c>
      <c r="AB178" s="32">
        <v>0.086956522</v>
      </c>
      <c r="AC178" s="32">
        <v>0.166650029</v>
      </c>
      <c r="AD178" s="23" t="e">
        <f>VLOOKUP(B:B,库存明细报表10.16!L:P,5,0)</f>
        <v>#N/A</v>
      </c>
      <c r="AE178" s="23" t="e">
        <f>VLOOKUP(B:B,库存明细报表10.16!L:Q,6,0)</f>
        <v>#N/A</v>
      </c>
      <c r="AF178" s="23" t="e">
        <f>VLOOKUP(B:B,库存明细报表10.16!L:T,9,0)</f>
        <v>#N/A</v>
      </c>
      <c r="AG178" s="23">
        <f>VLOOKUP(A:A,进销存报表10.16!A:J,10,0)</f>
        <v>6</v>
      </c>
      <c r="AH178" s="23">
        <f>VLOOKUP(A:A,进销存报表10.16!A:K,11,0)</f>
        <v>10</v>
      </c>
      <c r="AI178" s="23">
        <v>22.67</v>
      </c>
      <c r="AJ178" s="23">
        <v>11.59</v>
      </c>
      <c r="AK178" s="23" t="s">
        <v>239</v>
      </c>
      <c r="AL178" s="26">
        <v>0.666666667</v>
      </c>
      <c r="AM178" s="32" t="e">
        <f t="shared" si="4"/>
        <v>#VALUE!</v>
      </c>
      <c r="AN178" s="44">
        <f t="shared" si="5"/>
        <v>0.0575208513373598</v>
      </c>
      <c r="AO178" s="2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</row>
    <row r="179" s="8" customFormat="1" customHeight="1" spans="1:53">
      <c r="A179" s="13" t="s">
        <v>587</v>
      </c>
      <c r="B179" s="13" t="s">
        <v>588</v>
      </c>
      <c r="C179" s="13" t="s">
        <v>589</v>
      </c>
      <c r="D179" s="23" t="s">
        <v>211</v>
      </c>
      <c r="E179" s="23" t="s">
        <v>343</v>
      </c>
      <c r="F179" s="23" t="s">
        <v>344</v>
      </c>
      <c r="G179" s="23" t="s">
        <v>239</v>
      </c>
      <c r="H179" s="43" t="s">
        <v>288</v>
      </c>
      <c r="I179" s="23" t="s">
        <v>345</v>
      </c>
      <c r="J179" s="23">
        <v>35.99</v>
      </c>
      <c r="K179" s="23">
        <v>18.87</v>
      </c>
      <c r="L179" s="23"/>
      <c r="M179" s="23"/>
      <c r="N179" s="23"/>
      <c r="O179" s="23" t="s">
        <v>239</v>
      </c>
      <c r="P179" s="23" t="s">
        <v>239</v>
      </c>
      <c r="Q179" s="23" t="s">
        <v>239</v>
      </c>
      <c r="R179" s="23" t="s">
        <v>239</v>
      </c>
      <c r="S179" s="23">
        <v>0</v>
      </c>
      <c r="T179" s="23">
        <v>0</v>
      </c>
      <c r="U179" s="23">
        <v>1</v>
      </c>
      <c r="V179" s="32">
        <v>0</v>
      </c>
      <c r="W179" s="32">
        <v>0</v>
      </c>
      <c r="X179" s="32">
        <v>0</v>
      </c>
      <c r="Y179" s="32">
        <v>0</v>
      </c>
      <c r="Z179" s="32" t="s">
        <v>69</v>
      </c>
      <c r="AA179" s="32" t="s">
        <v>69</v>
      </c>
      <c r="AB179" s="32">
        <v>0</v>
      </c>
      <c r="AC179" s="32">
        <v>0</v>
      </c>
      <c r="AD179" s="23" t="e">
        <f>VLOOKUP(B:B,库存明细报表10.16!L:P,5,0)</f>
        <v>#N/A</v>
      </c>
      <c r="AE179" s="23" t="e">
        <f>VLOOKUP(B:B,库存明细报表10.16!L:Q,6,0)</f>
        <v>#N/A</v>
      </c>
      <c r="AF179" s="23" t="e">
        <f>VLOOKUP(B:B,库存明细报表10.16!L:T,9,0)</f>
        <v>#N/A</v>
      </c>
      <c r="AG179" s="23">
        <f>VLOOKUP(A:A,进销存报表10.16!A:J,10,0)</f>
        <v>6</v>
      </c>
      <c r="AH179" s="23">
        <f>VLOOKUP(A:A,进销存报表10.16!A:K,11,0)</f>
        <v>10</v>
      </c>
      <c r="AI179" s="23">
        <v>12.54</v>
      </c>
      <c r="AJ179" s="23">
        <v>5.45</v>
      </c>
      <c r="AK179" s="23" t="s">
        <v>239</v>
      </c>
      <c r="AL179" s="26">
        <v>0</v>
      </c>
      <c r="AM179" s="32" t="e">
        <f t="shared" si="4"/>
        <v>#VALUE!</v>
      </c>
      <c r="AN179" s="44">
        <f t="shared" si="5"/>
        <v>0</v>
      </c>
      <c r="AO179" s="2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</row>
    <row r="180" s="8" customFormat="1" customHeight="1" spans="1:53">
      <c r="A180" s="13" t="s">
        <v>590</v>
      </c>
      <c r="B180" s="13" t="s">
        <v>591</v>
      </c>
      <c r="C180" s="13" t="s">
        <v>592</v>
      </c>
      <c r="D180" s="23" t="s">
        <v>211</v>
      </c>
      <c r="E180" s="23" t="s">
        <v>343</v>
      </c>
      <c r="F180" s="23" t="s">
        <v>344</v>
      </c>
      <c r="G180" s="23" t="s">
        <v>239</v>
      </c>
      <c r="H180" s="43" t="s">
        <v>48</v>
      </c>
      <c r="I180" s="23" t="s">
        <v>345</v>
      </c>
      <c r="J180" s="23">
        <v>89.99</v>
      </c>
      <c r="K180" s="23">
        <v>54.42</v>
      </c>
      <c r="L180" s="23"/>
      <c r="M180" s="23"/>
      <c r="N180" s="23"/>
      <c r="O180" s="23" t="s">
        <v>239</v>
      </c>
      <c r="P180" s="23" t="s">
        <v>239</v>
      </c>
      <c r="Q180" s="23" t="s">
        <v>239</v>
      </c>
      <c r="R180" s="23" t="s">
        <v>239</v>
      </c>
      <c r="S180" s="23">
        <v>0</v>
      </c>
      <c r="T180" s="23">
        <v>1</v>
      </c>
      <c r="U180" s="23">
        <v>0</v>
      </c>
      <c r="V180" s="32">
        <v>0</v>
      </c>
      <c r="W180" s="32">
        <v>0.200625613</v>
      </c>
      <c r="X180" s="32">
        <v>0.203371021</v>
      </c>
      <c r="Y180" s="32">
        <v>0</v>
      </c>
      <c r="Z180" s="32">
        <v>0.143392937</v>
      </c>
      <c r="AA180" s="32">
        <v>0</v>
      </c>
      <c r="AB180" s="32">
        <v>0.027027027</v>
      </c>
      <c r="AC180" s="32">
        <v>0.043473571</v>
      </c>
      <c r="AD180" s="23" t="e">
        <f>VLOOKUP(B:B,库存明细报表10.16!L:P,5,0)</f>
        <v>#N/A</v>
      </c>
      <c r="AE180" s="23" t="e">
        <f>VLOOKUP(B:B,库存明细报表10.16!L:Q,6,0)</f>
        <v>#N/A</v>
      </c>
      <c r="AF180" s="23" t="e">
        <f>VLOOKUP(B:B,库存明细报表10.16!L:T,9,0)</f>
        <v>#N/A</v>
      </c>
      <c r="AG180" s="23">
        <f>VLOOKUP(A:A,进销存报表10.16!A:J,10,0)</f>
        <v>23</v>
      </c>
      <c r="AH180" s="23">
        <f>VLOOKUP(A:A,进销存报表10.16!A:K,11,0)</f>
        <v>8</v>
      </c>
      <c r="AI180" s="23">
        <v>45.78</v>
      </c>
      <c r="AJ180" s="23">
        <v>26.88</v>
      </c>
      <c r="AK180" s="23" t="s">
        <v>239</v>
      </c>
      <c r="AL180" s="26">
        <v>0.333333333</v>
      </c>
      <c r="AM180" s="32" t="e">
        <f t="shared" si="4"/>
        <v>#VALUE!</v>
      </c>
      <c r="AN180" s="44">
        <f t="shared" si="5"/>
        <v>0.0124007936383929</v>
      </c>
      <c r="AO180" s="2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</row>
    <row r="181" s="8" customFormat="1" customHeight="1" spans="1:53">
      <c r="A181" s="13" t="s">
        <v>593</v>
      </c>
      <c r="B181" s="13" t="s">
        <v>594</v>
      </c>
      <c r="C181" s="13" t="s">
        <v>595</v>
      </c>
      <c r="D181" s="23" t="s">
        <v>211</v>
      </c>
      <c r="E181" s="23" t="s">
        <v>343</v>
      </c>
      <c r="F181" s="23" t="s">
        <v>344</v>
      </c>
      <c r="G181" s="23" t="s">
        <v>239</v>
      </c>
      <c r="H181" s="43" t="s">
        <v>56</v>
      </c>
      <c r="I181" s="23" t="s">
        <v>345</v>
      </c>
      <c r="J181" s="23">
        <v>42.99</v>
      </c>
      <c r="K181" s="23">
        <v>23.69</v>
      </c>
      <c r="L181" s="23"/>
      <c r="M181" s="23"/>
      <c r="N181" s="23"/>
      <c r="O181" s="23" t="s">
        <v>239</v>
      </c>
      <c r="P181" s="23" t="s">
        <v>239</v>
      </c>
      <c r="Q181" s="23" t="s">
        <v>239</v>
      </c>
      <c r="R181" s="23" t="s">
        <v>239</v>
      </c>
      <c r="S181" s="23">
        <v>0</v>
      </c>
      <c r="T181" s="23">
        <v>3</v>
      </c>
      <c r="U181" s="23">
        <v>0</v>
      </c>
      <c r="V181" s="32">
        <v>0</v>
      </c>
      <c r="W181" s="32">
        <v>0.13746816</v>
      </c>
      <c r="X181" s="32">
        <v>0.141505681</v>
      </c>
      <c r="Y181" s="32">
        <v>0</v>
      </c>
      <c r="Z181" s="32">
        <v>0.122461373</v>
      </c>
      <c r="AA181" s="32">
        <v>0.054561988</v>
      </c>
      <c r="AB181" s="32">
        <v>0.049180328</v>
      </c>
      <c r="AC181" s="32">
        <v>0.038457673</v>
      </c>
      <c r="AD181" s="23" t="e">
        <f>VLOOKUP(B:B,库存明细报表10.16!L:P,5,0)</f>
        <v>#N/A</v>
      </c>
      <c r="AE181" s="23" t="e">
        <f>VLOOKUP(B:B,库存明细报表10.16!L:Q,6,0)</f>
        <v>#N/A</v>
      </c>
      <c r="AF181" s="23" t="e">
        <f>VLOOKUP(B:B,库存明细报表10.16!L:T,9,0)</f>
        <v>#N/A</v>
      </c>
      <c r="AG181" s="23">
        <f>VLOOKUP(A:A,进销存报表10.16!A:J,10,0)</f>
        <v>8</v>
      </c>
      <c r="AH181" s="23">
        <f>VLOOKUP(A:A,进销存报表10.16!A:K,11,0)</f>
        <v>6</v>
      </c>
      <c r="AI181" s="23">
        <v>9.91</v>
      </c>
      <c r="AJ181" s="23">
        <v>6.56</v>
      </c>
      <c r="AK181" s="23" t="s">
        <v>239</v>
      </c>
      <c r="AL181" s="26">
        <v>1</v>
      </c>
      <c r="AM181" s="32" t="e">
        <f t="shared" si="4"/>
        <v>#VALUE!</v>
      </c>
      <c r="AN181" s="44">
        <f t="shared" si="5"/>
        <v>0.152439024390244</v>
      </c>
      <c r="AO181" s="2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</row>
    <row r="182" s="8" customFormat="1" customHeight="1" spans="1:53">
      <c r="A182" s="13" t="s">
        <v>596</v>
      </c>
      <c r="B182" s="13" t="s">
        <v>597</v>
      </c>
      <c r="C182" s="13" t="s">
        <v>598</v>
      </c>
      <c r="D182" s="23" t="s">
        <v>211</v>
      </c>
      <c r="E182" s="23" t="s">
        <v>343</v>
      </c>
      <c r="F182" s="23" t="s">
        <v>344</v>
      </c>
      <c r="G182" s="23" t="s">
        <v>239</v>
      </c>
      <c r="H182" s="43" t="s">
        <v>46</v>
      </c>
      <c r="I182" s="23" t="s">
        <v>345</v>
      </c>
      <c r="J182" s="23">
        <v>39.99</v>
      </c>
      <c r="K182" s="23">
        <v>22.4</v>
      </c>
      <c r="L182" s="23"/>
      <c r="M182" s="23"/>
      <c r="N182" s="23"/>
      <c r="O182" s="23" t="s">
        <v>239</v>
      </c>
      <c r="P182" s="23" t="s">
        <v>239</v>
      </c>
      <c r="Q182" s="23" t="s">
        <v>239</v>
      </c>
      <c r="R182" s="23" t="s">
        <v>239</v>
      </c>
      <c r="S182" s="23">
        <v>0</v>
      </c>
      <c r="T182" s="23">
        <v>1</v>
      </c>
      <c r="U182" s="23">
        <v>0</v>
      </c>
      <c r="V182" s="32">
        <v>0</v>
      </c>
      <c r="W182" s="32">
        <v>0.178438215</v>
      </c>
      <c r="X182" s="32">
        <v>0.178435231</v>
      </c>
      <c r="Y182" s="32">
        <v>0</v>
      </c>
      <c r="Z182" s="32">
        <v>0.07808974</v>
      </c>
      <c r="AA182" s="32">
        <v>0.068731849</v>
      </c>
      <c r="AB182" s="32">
        <v>0.028571429</v>
      </c>
      <c r="AC182" s="32">
        <v>0.199979002</v>
      </c>
      <c r="AD182" s="23" t="e">
        <f>VLOOKUP(B:B,库存明细报表10.16!L:P,5,0)</f>
        <v>#N/A</v>
      </c>
      <c r="AE182" s="23" t="e">
        <f>VLOOKUP(B:B,库存明细报表10.16!L:Q,6,0)</f>
        <v>#N/A</v>
      </c>
      <c r="AF182" s="23" t="e">
        <f>VLOOKUP(B:B,库存明细报表10.16!L:T,9,0)</f>
        <v>#N/A</v>
      </c>
      <c r="AG182" s="23">
        <f>VLOOKUP(A:A,进销存报表10.16!A:J,10,0)</f>
        <v>7</v>
      </c>
      <c r="AH182" s="23">
        <f>VLOOKUP(A:A,进销存报表10.16!A:K,11,0)</f>
        <v>12</v>
      </c>
      <c r="AI182" s="23">
        <v>17.31</v>
      </c>
      <c r="AJ182" s="23">
        <v>9.11</v>
      </c>
      <c r="AK182" s="23" t="s">
        <v>239</v>
      </c>
      <c r="AL182" s="26">
        <v>0.333333333</v>
      </c>
      <c r="AM182" s="32" t="e">
        <f t="shared" si="4"/>
        <v>#VALUE!</v>
      </c>
      <c r="AN182" s="44">
        <f t="shared" si="5"/>
        <v>0.0365898279912184</v>
      </c>
      <c r="AO182" s="2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</row>
    <row r="183" s="8" customFormat="1" customHeight="1" spans="1:53">
      <c r="A183" s="13" t="s">
        <v>599</v>
      </c>
      <c r="B183" s="13" t="s">
        <v>600</v>
      </c>
      <c r="C183" s="13" t="s">
        <v>601</v>
      </c>
      <c r="D183" s="23" t="s">
        <v>211</v>
      </c>
      <c r="E183" s="23" t="s">
        <v>343</v>
      </c>
      <c r="F183" s="23" t="s">
        <v>344</v>
      </c>
      <c r="G183" s="23" t="s">
        <v>239</v>
      </c>
      <c r="H183" s="43" t="s">
        <v>48</v>
      </c>
      <c r="I183" s="23" t="s">
        <v>345</v>
      </c>
      <c r="J183" s="23">
        <v>179.99</v>
      </c>
      <c r="K183" s="23">
        <v>97.51</v>
      </c>
      <c r="L183" s="23"/>
      <c r="M183" s="23"/>
      <c r="N183" s="23"/>
      <c r="O183" s="23" t="s">
        <v>239</v>
      </c>
      <c r="P183" s="23" t="s">
        <v>239</v>
      </c>
      <c r="Q183" s="23" t="s">
        <v>239</v>
      </c>
      <c r="R183" s="23" t="s">
        <v>239</v>
      </c>
      <c r="S183" s="23">
        <v>0</v>
      </c>
      <c r="T183" s="23">
        <v>1</v>
      </c>
      <c r="U183" s="23">
        <v>1</v>
      </c>
      <c r="V183" s="32">
        <v>0</v>
      </c>
      <c r="W183" s="32">
        <v>0.356366952</v>
      </c>
      <c r="X183" s="32">
        <v>0.35883771</v>
      </c>
      <c r="Y183" s="32">
        <v>0</v>
      </c>
      <c r="Z183" s="32">
        <v>0.004941467</v>
      </c>
      <c r="AA183" s="32">
        <v>0</v>
      </c>
      <c r="AB183" s="32">
        <v>0.022222222</v>
      </c>
      <c r="AC183" s="32">
        <v>0</v>
      </c>
      <c r="AD183" s="23" t="e">
        <f>VLOOKUP(B:B,库存明细报表10.16!L:P,5,0)</f>
        <v>#N/A</v>
      </c>
      <c r="AE183" s="23" t="e">
        <f>VLOOKUP(B:B,库存明细报表10.16!L:Q,6,0)</f>
        <v>#N/A</v>
      </c>
      <c r="AF183" s="23" t="e">
        <f>VLOOKUP(B:B,库存明细报表10.16!L:T,9,0)</f>
        <v>#N/A</v>
      </c>
      <c r="AG183" s="23">
        <f>VLOOKUP(A:A,进销存报表10.16!A:J,10,0)</f>
        <v>21</v>
      </c>
      <c r="AH183" s="23">
        <f>VLOOKUP(A:A,进销存报表10.16!A:K,11,0)</f>
        <v>40</v>
      </c>
      <c r="AI183" s="23">
        <v>5.07</v>
      </c>
      <c r="AJ183" s="23">
        <v>81.48</v>
      </c>
      <c r="AK183" s="23" t="s">
        <v>239</v>
      </c>
      <c r="AL183" s="26">
        <v>0.333333333</v>
      </c>
      <c r="AM183" s="32" t="e">
        <f t="shared" si="4"/>
        <v>#VALUE!</v>
      </c>
      <c r="AN183" s="44">
        <f t="shared" si="5"/>
        <v>0.00409098346833579</v>
      </c>
      <c r="AO183" s="2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</row>
    <row r="184" s="8" customFormat="1" customHeight="1" spans="1:53">
      <c r="A184" s="13" t="s">
        <v>602</v>
      </c>
      <c r="B184" s="13" t="s">
        <v>603</v>
      </c>
      <c r="C184" s="13" t="s">
        <v>604</v>
      </c>
      <c r="D184" s="23" t="s">
        <v>211</v>
      </c>
      <c r="E184" s="23" t="s">
        <v>343</v>
      </c>
      <c r="F184" s="23" t="s">
        <v>344</v>
      </c>
      <c r="G184" s="23" t="s">
        <v>239</v>
      </c>
      <c r="H184" s="43" t="s">
        <v>288</v>
      </c>
      <c r="I184" s="23" t="s">
        <v>345</v>
      </c>
      <c r="J184" s="23">
        <v>33.99</v>
      </c>
      <c r="K184" s="23">
        <v>17.5</v>
      </c>
      <c r="L184" s="23"/>
      <c r="M184" s="23"/>
      <c r="N184" s="23"/>
      <c r="O184" s="23" t="s">
        <v>239</v>
      </c>
      <c r="P184" s="23" t="s">
        <v>239</v>
      </c>
      <c r="Q184" s="23" t="s">
        <v>239</v>
      </c>
      <c r="R184" s="23" t="s">
        <v>239</v>
      </c>
      <c r="S184" s="23">
        <v>0</v>
      </c>
      <c r="T184" s="23">
        <v>1</v>
      </c>
      <c r="U184" s="23">
        <v>1</v>
      </c>
      <c r="V184" s="32">
        <v>0</v>
      </c>
      <c r="W184" s="32">
        <v>0</v>
      </c>
      <c r="X184" s="32">
        <v>0</v>
      </c>
      <c r="Y184" s="32">
        <v>0</v>
      </c>
      <c r="Z184" s="32" t="s">
        <v>69</v>
      </c>
      <c r="AA184" s="32" t="s">
        <v>69</v>
      </c>
      <c r="AB184" s="32">
        <v>0.1</v>
      </c>
      <c r="AC184" s="32">
        <v>0.333294893</v>
      </c>
      <c r="AD184" s="23" t="e">
        <f>VLOOKUP(B:B,库存明细报表10.16!L:P,5,0)</f>
        <v>#N/A</v>
      </c>
      <c r="AE184" s="23" t="e">
        <f>VLOOKUP(B:B,库存明细报表10.16!L:Q,6,0)</f>
        <v>#N/A</v>
      </c>
      <c r="AF184" s="23" t="e">
        <f>VLOOKUP(B:B,库存明细报表10.16!L:T,9,0)</f>
        <v>#N/A</v>
      </c>
      <c r="AG184" s="23">
        <f>VLOOKUP(A:A,进销存报表10.16!A:J,10,0)</f>
        <v>6</v>
      </c>
      <c r="AH184" s="23">
        <f>VLOOKUP(A:A,进销存报表10.16!A:K,11,0)</f>
        <v>11</v>
      </c>
      <c r="AI184" s="23">
        <v>17.82</v>
      </c>
      <c r="AJ184" s="23">
        <v>14.18</v>
      </c>
      <c r="AK184" s="23" t="s">
        <v>239</v>
      </c>
      <c r="AL184" s="26">
        <v>0</v>
      </c>
      <c r="AM184" s="32" t="e">
        <f t="shared" si="4"/>
        <v>#VALUE!</v>
      </c>
      <c r="AN184" s="44">
        <f t="shared" si="5"/>
        <v>0</v>
      </c>
      <c r="AO184" s="2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</row>
    <row r="185" s="8" customFormat="1" customHeight="1" spans="1:53">
      <c r="A185" s="13" t="s">
        <v>605</v>
      </c>
      <c r="B185" s="13" t="s">
        <v>606</v>
      </c>
      <c r="C185" s="13" t="s">
        <v>607</v>
      </c>
      <c r="D185" s="23" t="s">
        <v>211</v>
      </c>
      <c r="E185" s="23" t="s">
        <v>343</v>
      </c>
      <c r="F185" s="23" t="s">
        <v>344</v>
      </c>
      <c r="G185" s="23" t="s">
        <v>239</v>
      </c>
      <c r="H185" s="43" t="s">
        <v>288</v>
      </c>
      <c r="I185" s="23" t="s">
        <v>345</v>
      </c>
      <c r="J185" s="23">
        <v>59.99</v>
      </c>
      <c r="K185" s="23">
        <v>34.59</v>
      </c>
      <c r="L185" s="23"/>
      <c r="M185" s="23"/>
      <c r="N185" s="23"/>
      <c r="O185" s="23" t="s">
        <v>239</v>
      </c>
      <c r="P185" s="23" t="s">
        <v>239</v>
      </c>
      <c r="Q185" s="23" t="s">
        <v>239</v>
      </c>
      <c r="R185" s="23" t="s">
        <v>239</v>
      </c>
      <c r="S185" s="23">
        <v>0</v>
      </c>
      <c r="T185" s="23">
        <v>0</v>
      </c>
      <c r="U185" s="23">
        <v>0</v>
      </c>
      <c r="V185" s="32">
        <v>0</v>
      </c>
      <c r="W185" s="32">
        <v>0</v>
      </c>
      <c r="X185" s="32">
        <v>0</v>
      </c>
      <c r="Y185" s="32">
        <v>0</v>
      </c>
      <c r="Z185" s="32" t="s">
        <v>69</v>
      </c>
      <c r="AA185" s="32" t="s">
        <v>69</v>
      </c>
      <c r="AB185" s="32">
        <v>0</v>
      </c>
      <c r="AC185" s="32">
        <v>0</v>
      </c>
      <c r="AD185" s="23" t="e">
        <f>VLOOKUP(B:B,库存明细报表10.16!L:P,5,0)</f>
        <v>#N/A</v>
      </c>
      <c r="AE185" s="23" t="e">
        <f>VLOOKUP(B:B,库存明细报表10.16!L:Q,6,0)</f>
        <v>#N/A</v>
      </c>
      <c r="AF185" s="23" t="e">
        <f>VLOOKUP(B:B,库存明细报表10.16!L:T,9,0)</f>
        <v>#N/A</v>
      </c>
      <c r="AG185" s="23">
        <f>VLOOKUP(A:A,进销存报表10.16!A:J,10,0)</f>
        <v>17</v>
      </c>
      <c r="AH185" s="23">
        <f>VLOOKUP(A:A,进销存报表10.16!A:K,11,0)</f>
        <v>6</v>
      </c>
      <c r="AI185" s="23">
        <v>13.47</v>
      </c>
      <c r="AJ185" s="23">
        <v>7.29</v>
      </c>
      <c r="AK185" s="23" t="s">
        <v>239</v>
      </c>
      <c r="AL185" s="26">
        <v>0</v>
      </c>
      <c r="AM185" s="32" t="e">
        <f t="shared" si="4"/>
        <v>#VALUE!</v>
      </c>
      <c r="AN185" s="44">
        <f t="shared" si="5"/>
        <v>0</v>
      </c>
      <c r="AO185" s="2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</row>
    <row r="186" customHeight="1" spans="1:40">
      <c r="A186" s="15" t="s">
        <v>608</v>
      </c>
      <c r="B186" s="15" t="s">
        <v>609</v>
      </c>
      <c r="C186" s="15" t="s">
        <v>610</v>
      </c>
      <c r="D186" s="23" t="s">
        <v>211</v>
      </c>
      <c r="F186" s="23" t="s">
        <v>344</v>
      </c>
      <c r="G186" s="23" t="s">
        <v>239</v>
      </c>
      <c r="H186" s="43" t="s">
        <v>239</v>
      </c>
      <c r="J186" s="9">
        <v>29.99</v>
      </c>
      <c r="K186" s="9">
        <v>14.87</v>
      </c>
      <c r="O186" s="23" t="s">
        <v>239</v>
      </c>
      <c r="P186" s="23" t="s">
        <v>239</v>
      </c>
      <c r="Q186" s="23" t="s">
        <v>239</v>
      </c>
      <c r="R186" s="23" t="s">
        <v>239</v>
      </c>
      <c r="S186" s="9">
        <v>0</v>
      </c>
      <c r="T186" s="9">
        <v>0</v>
      </c>
      <c r="U186" s="9">
        <v>1</v>
      </c>
      <c r="V186" s="45" t="s">
        <v>239</v>
      </c>
      <c r="W186" s="44" t="s">
        <v>239</v>
      </c>
      <c r="X186" s="44">
        <v>0</v>
      </c>
      <c r="Y186" s="44">
        <v>0</v>
      </c>
      <c r="Z186" s="44" t="s">
        <v>69</v>
      </c>
      <c r="AA186" s="44" t="s">
        <v>69</v>
      </c>
      <c r="AB186" s="44">
        <v>0</v>
      </c>
      <c r="AC186" s="44">
        <v>0</v>
      </c>
      <c r="AD186" s="23" t="e">
        <f>VLOOKUP(B:B,库存明细报表10.16!L:P,5,0)</f>
        <v>#N/A</v>
      </c>
      <c r="AE186" s="23" t="e">
        <f>VLOOKUP(B:B,库存明细报表10.16!L:Q,6,0)</f>
        <v>#N/A</v>
      </c>
      <c r="AF186" s="23" t="e">
        <f>VLOOKUP(B:B,库存明细报表10.16!L:T,9,0)</f>
        <v>#N/A</v>
      </c>
      <c r="AG186" s="23">
        <f>VLOOKUP(A:A,进销存报表10.16!A:J,10,0)</f>
        <v>8</v>
      </c>
      <c r="AH186" s="23">
        <f>VLOOKUP(A:A,进销存报表10.16!A:K,11,0)</f>
        <v>11</v>
      </c>
      <c r="AJ186" s="9" t="s">
        <v>239</v>
      </c>
      <c r="AL186" s="18" t="s">
        <v>239</v>
      </c>
      <c r="AN186" s="44" t="e">
        <f t="shared" si="5"/>
        <v>#VALUE!</v>
      </c>
    </row>
    <row r="187" customHeight="1" spans="1:40">
      <c r="A187" s="15" t="s">
        <v>611</v>
      </c>
      <c r="B187" s="15" t="s">
        <v>612</v>
      </c>
      <c r="C187" s="15" t="s">
        <v>613</v>
      </c>
      <c r="D187" s="23" t="s">
        <v>211</v>
      </c>
      <c r="F187" s="23" t="s">
        <v>344</v>
      </c>
      <c r="G187" s="23" t="s">
        <v>239</v>
      </c>
      <c r="H187" s="43" t="s">
        <v>239</v>
      </c>
      <c r="J187" s="9">
        <v>34.99</v>
      </c>
      <c r="K187" s="9">
        <v>18.23</v>
      </c>
      <c r="O187" s="23" t="s">
        <v>239</v>
      </c>
      <c r="P187" s="23" t="s">
        <v>239</v>
      </c>
      <c r="Q187" s="23" t="s">
        <v>239</v>
      </c>
      <c r="R187" s="23" t="s">
        <v>239</v>
      </c>
      <c r="S187" s="9">
        <v>0</v>
      </c>
      <c r="T187" s="9">
        <v>1</v>
      </c>
      <c r="U187" s="9">
        <v>1</v>
      </c>
      <c r="V187" s="45" t="s">
        <v>239</v>
      </c>
      <c r="W187" s="44" t="s">
        <v>239</v>
      </c>
      <c r="X187" s="44">
        <v>0</v>
      </c>
      <c r="Y187" s="44">
        <v>0</v>
      </c>
      <c r="Z187" s="44" t="s">
        <v>69</v>
      </c>
      <c r="AA187" s="44" t="s">
        <v>69</v>
      </c>
      <c r="AB187" s="44">
        <v>0.111111111</v>
      </c>
      <c r="AC187" s="44">
        <v>0.333300003</v>
      </c>
      <c r="AD187" s="23" t="e">
        <f>VLOOKUP(B:B,库存明细报表10.16!L:P,5,0)</f>
        <v>#N/A</v>
      </c>
      <c r="AE187" s="23" t="e">
        <f>VLOOKUP(B:B,库存明细报表10.16!L:Q,6,0)</f>
        <v>#N/A</v>
      </c>
      <c r="AF187" s="23" t="e">
        <f>VLOOKUP(B:B,库存明细报表10.16!L:T,9,0)</f>
        <v>#N/A</v>
      </c>
      <c r="AG187" s="23">
        <f>VLOOKUP(A:A,进销存报表10.16!A:J,10,0)</f>
        <v>6</v>
      </c>
      <c r="AH187" s="23">
        <f>VLOOKUP(A:A,进销存报表10.16!A:K,11,0)</f>
        <v>9</v>
      </c>
      <c r="AJ187" s="9" t="s">
        <v>239</v>
      </c>
      <c r="AL187" s="18" t="s">
        <v>239</v>
      </c>
      <c r="AN187" s="44" t="e">
        <f t="shared" si="5"/>
        <v>#VALUE!</v>
      </c>
    </row>
    <row r="188" customHeight="1" spans="1:40">
      <c r="A188" s="15" t="s">
        <v>614</v>
      </c>
      <c r="B188" s="15" t="s">
        <v>615</v>
      </c>
      <c r="C188" s="15" t="s">
        <v>616</v>
      </c>
      <c r="D188" s="23" t="s">
        <v>211</v>
      </c>
      <c r="F188" s="23" t="s">
        <v>344</v>
      </c>
      <c r="G188" s="23" t="s">
        <v>239</v>
      </c>
      <c r="H188" s="43" t="s">
        <v>239</v>
      </c>
      <c r="J188" s="9">
        <v>43.99</v>
      </c>
      <c r="K188" s="9">
        <v>24.43</v>
      </c>
      <c r="O188" s="23" t="s">
        <v>239</v>
      </c>
      <c r="P188" s="23" t="s">
        <v>239</v>
      </c>
      <c r="Q188" s="23" t="s">
        <v>239</v>
      </c>
      <c r="R188" s="23" t="s">
        <v>239</v>
      </c>
      <c r="S188" s="9" t="s">
        <v>239</v>
      </c>
      <c r="T188" s="9" t="s">
        <v>239</v>
      </c>
      <c r="U188" s="9" t="s">
        <v>239</v>
      </c>
      <c r="V188" s="45" t="s">
        <v>239</v>
      </c>
      <c r="W188" s="44" t="s">
        <v>239</v>
      </c>
      <c r="X188" s="44" t="s">
        <v>239</v>
      </c>
      <c r="Y188" s="44" t="s">
        <v>239</v>
      </c>
      <c r="Z188" s="44" t="s">
        <v>239</v>
      </c>
      <c r="AA188" s="44" t="s">
        <v>239</v>
      </c>
      <c r="AB188" s="44" t="s">
        <v>239</v>
      </c>
      <c r="AC188" s="44" t="s">
        <v>239</v>
      </c>
      <c r="AD188" s="23" t="e">
        <f>VLOOKUP(B:B,库存明细报表10.16!L:P,5,0)</f>
        <v>#N/A</v>
      </c>
      <c r="AE188" s="23" t="e">
        <f>VLOOKUP(B:B,库存明细报表10.16!L:Q,6,0)</f>
        <v>#N/A</v>
      </c>
      <c r="AF188" s="23" t="e">
        <f>VLOOKUP(B:B,库存明细报表10.16!L:T,9,0)</f>
        <v>#N/A</v>
      </c>
      <c r="AG188" s="23">
        <f>VLOOKUP(A:A,进销存报表10.16!A:J,10,0)</f>
        <v>0</v>
      </c>
      <c r="AH188" s="23">
        <f>VLOOKUP(A:A,进销存报表10.16!A:K,11,0)</f>
        <v>0</v>
      </c>
      <c r="AJ188" s="9" t="s">
        <v>239</v>
      </c>
      <c r="AL188" s="18" t="s">
        <v>239</v>
      </c>
      <c r="AN188" s="44" t="e">
        <f t="shared" si="5"/>
        <v>#VALUE!</v>
      </c>
    </row>
    <row r="189" customHeight="1" spans="1:40">
      <c r="A189" s="15" t="s">
        <v>617</v>
      </c>
      <c r="B189" s="15" t="s">
        <v>618</v>
      </c>
      <c r="C189" s="15" t="s">
        <v>619</v>
      </c>
      <c r="D189" s="23" t="s">
        <v>211</v>
      </c>
      <c r="F189" s="23" t="s">
        <v>344</v>
      </c>
      <c r="G189" s="23" t="s">
        <v>239</v>
      </c>
      <c r="H189" s="43" t="s">
        <v>239</v>
      </c>
      <c r="J189" s="9">
        <v>53.99</v>
      </c>
      <c r="K189" s="9">
        <v>30.34</v>
      </c>
      <c r="O189" s="23" t="s">
        <v>239</v>
      </c>
      <c r="P189" s="23" t="s">
        <v>239</v>
      </c>
      <c r="Q189" s="23" t="s">
        <v>239</v>
      </c>
      <c r="R189" s="23" t="s">
        <v>239</v>
      </c>
      <c r="S189" s="9" t="s">
        <v>239</v>
      </c>
      <c r="T189" s="9" t="s">
        <v>239</v>
      </c>
      <c r="U189" s="9" t="s">
        <v>239</v>
      </c>
      <c r="V189" s="45" t="s">
        <v>239</v>
      </c>
      <c r="W189" s="44" t="s">
        <v>239</v>
      </c>
      <c r="X189" s="44" t="s">
        <v>239</v>
      </c>
      <c r="Y189" s="44" t="s">
        <v>239</v>
      </c>
      <c r="Z189" s="44" t="s">
        <v>239</v>
      </c>
      <c r="AA189" s="44" t="s">
        <v>239</v>
      </c>
      <c r="AB189" s="44" t="s">
        <v>239</v>
      </c>
      <c r="AC189" s="44" t="s">
        <v>239</v>
      </c>
      <c r="AD189" s="23" t="e">
        <f>VLOOKUP(B:B,库存明细报表10.16!L:P,5,0)</f>
        <v>#N/A</v>
      </c>
      <c r="AE189" s="23" t="e">
        <f>VLOOKUP(B:B,库存明细报表10.16!L:Q,6,0)</f>
        <v>#N/A</v>
      </c>
      <c r="AF189" s="23" t="e">
        <f>VLOOKUP(B:B,库存明细报表10.16!L:T,9,0)</f>
        <v>#N/A</v>
      </c>
      <c r="AG189" s="23">
        <f>VLOOKUP(A:A,进销存报表10.16!A:J,10,0)</f>
        <v>0</v>
      </c>
      <c r="AH189" s="23">
        <f>VLOOKUP(A:A,进销存报表10.16!A:K,11,0)</f>
        <v>6</v>
      </c>
      <c r="AJ189" s="9" t="s">
        <v>239</v>
      </c>
      <c r="AL189" s="18" t="s">
        <v>239</v>
      </c>
      <c r="AN189" s="44" t="e">
        <f t="shared" si="5"/>
        <v>#VALUE!</v>
      </c>
    </row>
    <row r="190" customHeight="1" spans="1:40">
      <c r="A190" s="15" t="s">
        <v>620</v>
      </c>
      <c r="B190" s="15" t="s">
        <v>621</v>
      </c>
      <c r="C190" s="15" t="s">
        <v>622</v>
      </c>
      <c r="D190" s="23" t="s">
        <v>211</v>
      </c>
      <c r="F190" s="23" t="s">
        <v>344</v>
      </c>
      <c r="G190" s="23" t="s">
        <v>239</v>
      </c>
      <c r="H190" s="43" t="s">
        <v>239</v>
      </c>
      <c r="J190" s="9">
        <v>29.99</v>
      </c>
      <c r="K190" s="9">
        <v>15.11</v>
      </c>
      <c r="O190" s="23" t="s">
        <v>239</v>
      </c>
      <c r="P190" s="23" t="s">
        <v>239</v>
      </c>
      <c r="Q190" s="23" t="s">
        <v>239</v>
      </c>
      <c r="R190" s="23" t="s">
        <v>239</v>
      </c>
      <c r="S190" s="9">
        <v>0</v>
      </c>
      <c r="T190" s="9">
        <v>1</v>
      </c>
      <c r="U190" s="9">
        <v>0</v>
      </c>
      <c r="V190" s="45" t="s">
        <v>239</v>
      </c>
      <c r="W190" s="44" t="s">
        <v>239</v>
      </c>
      <c r="X190" s="44">
        <v>0</v>
      </c>
      <c r="Y190" s="44">
        <v>0</v>
      </c>
      <c r="Z190" s="44" t="s">
        <v>69</v>
      </c>
      <c r="AA190" s="44" t="s">
        <v>69</v>
      </c>
      <c r="AB190" s="44">
        <v>0.0625</v>
      </c>
      <c r="AC190" s="44">
        <v>0</v>
      </c>
      <c r="AD190" s="23" t="e">
        <f>VLOOKUP(B:B,库存明细报表10.16!L:P,5,0)</f>
        <v>#N/A</v>
      </c>
      <c r="AE190" s="23" t="e">
        <f>VLOOKUP(B:B,库存明细报表10.16!L:Q,6,0)</f>
        <v>#N/A</v>
      </c>
      <c r="AF190" s="23" t="e">
        <f>VLOOKUP(B:B,库存明细报表10.16!L:T,9,0)</f>
        <v>#N/A</v>
      </c>
      <c r="AG190" s="23">
        <f>VLOOKUP(A:A,进销存报表10.16!A:J,10,0)</f>
        <v>6</v>
      </c>
      <c r="AH190" s="23">
        <f>VLOOKUP(A:A,进销存报表10.16!A:K,11,0)</f>
        <v>9</v>
      </c>
      <c r="AJ190" s="9" t="s">
        <v>239</v>
      </c>
      <c r="AL190" s="18" t="s">
        <v>239</v>
      </c>
      <c r="AN190" s="44" t="e">
        <f t="shared" si="5"/>
        <v>#VALUE!</v>
      </c>
    </row>
    <row r="191" customHeight="1" spans="1:40">
      <c r="A191" s="15" t="s">
        <v>623</v>
      </c>
      <c r="B191" s="15" t="s">
        <v>624</v>
      </c>
      <c r="C191" s="15" t="s">
        <v>625</v>
      </c>
      <c r="D191" s="23" t="s">
        <v>211</v>
      </c>
      <c r="F191" s="23" t="s">
        <v>344</v>
      </c>
      <c r="G191" s="23" t="s">
        <v>239</v>
      </c>
      <c r="H191" s="43" t="s">
        <v>239</v>
      </c>
      <c r="J191" s="9">
        <v>37.99</v>
      </c>
      <c r="K191" s="9">
        <v>20.23</v>
      </c>
      <c r="O191" s="23" t="s">
        <v>239</v>
      </c>
      <c r="P191" s="23" t="s">
        <v>239</v>
      </c>
      <c r="Q191" s="23" t="s">
        <v>239</v>
      </c>
      <c r="R191" s="23" t="s">
        <v>239</v>
      </c>
      <c r="S191" s="9">
        <v>0</v>
      </c>
      <c r="T191" s="9">
        <v>0</v>
      </c>
      <c r="U191" s="9">
        <v>1</v>
      </c>
      <c r="V191" s="45" t="s">
        <v>239</v>
      </c>
      <c r="W191" s="44" t="s">
        <v>239</v>
      </c>
      <c r="X191" s="44">
        <v>0</v>
      </c>
      <c r="Y191" s="44">
        <v>0</v>
      </c>
      <c r="Z191" s="44" t="s">
        <v>69</v>
      </c>
      <c r="AA191" s="44" t="s">
        <v>69</v>
      </c>
      <c r="AB191" s="44">
        <v>0</v>
      </c>
      <c r="AC191" s="44">
        <v>0</v>
      </c>
      <c r="AD191" s="23" t="e">
        <f>VLOOKUP(B:B,库存明细报表10.16!L:P,5,0)</f>
        <v>#N/A</v>
      </c>
      <c r="AE191" s="23" t="e">
        <f>VLOOKUP(B:B,库存明细报表10.16!L:Q,6,0)</f>
        <v>#N/A</v>
      </c>
      <c r="AF191" s="23" t="e">
        <f>VLOOKUP(B:B,库存明细报表10.16!L:T,9,0)</f>
        <v>#N/A</v>
      </c>
      <c r="AG191" s="23">
        <f>VLOOKUP(A:A,进销存报表10.16!A:J,10,0)</f>
        <v>9</v>
      </c>
      <c r="AH191" s="23">
        <f>VLOOKUP(A:A,进销存报表10.16!A:K,11,0)</f>
        <v>10</v>
      </c>
      <c r="AJ191" s="9" t="s">
        <v>239</v>
      </c>
      <c r="AL191" s="18" t="s">
        <v>239</v>
      </c>
      <c r="AN191" s="44" t="e">
        <f t="shared" si="5"/>
        <v>#VALUE!</v>
      </c>
    </row>
    <row r="192" customHeight="1" spans="1:40">
      <c r="A192" s="15" t="s">
        <v>626</v>
      </c>
      <c r="B192" s="15" t="s">
        <v>627</v>
      </c>
      <c r="C192" s="15" t="s">
        <v>628</v>
      </c>
      <c r="D192" s="23" t="s">
        <v>211</v>
      </c>
      <c r="F192" s="23" t="s">
        <v>344</v>
      </c>
      <c r="G192" s="23" t="s">
        <v>239</v>
      </c>
      <c r="H192" s="43" t="s">
        <v>239</v>
      </c>
      <c r="J192" s="9">
        <v>44.99</v>
      </c>
      <c r="K192" s="9">
        <v>25.24</v>
      </c>
      <c r="O192" s="23" t="s">
        <v>239</v>
      </c>
      <c r="P192" s="23" t="s">
        <v>239</v>
      </c>
      <c r="Q192" s="23" t="s">
        <v>239</v>
      </c>
      <c r="R192" s="23" t="s">
        <v>239</v>
      </c>
      <c r="S192" s="9">
        <v>0</v>
      </c>
      <c r="T192" s="9">
        <v>0</v>
      </c>
      <c r="U192" s="9">
        <v>0</v>
      </c>
      <c r="V192" s="45" t="s">
        <v>239</v>
      </c>
      <c r="W192" s="44" t="s">
        <v>239</v>
      </c>
      <c r="X192" s="44">
        <v>0</v>
      </c>
      <c r="Y192" s="44">
        <v>0</v>
      </c>
      <c r="Z192" s="44" t="s">
        <v>69</v>
      </c>
      <c r="AA192" s="44" t="s">
        <v>69</v>
      </c>
      <c r="AB192" s="44">
        <v>0</v>
      </c>
      <c r="AC192" s="44">
        <v>0</v>
      </c>
      <c r="AD192" s="23" t="e">
        <f>VLOOKUP(B:B,库存明细报表10.16!L:P,5,0)</f>
        <v>#N/A</v>
      </c>
      <c r="AE192" s="23" t="e">
        <f>VLOOKUP(B:B,库存明细报表10.16!L:Q,6,0)</f>
        <v>#N/A</v>
      </c>
      <c r="AF192" s="23" t="e">
        <f>VLOOKUP(B:B,库存明细报表10.16!L:T,9,0)</f>
        <v>#N/A</v>
      </c>
      <c r="AG192" s="23">
        <f>VLOOKUP(A:A,进销存报表10.16!A:J,10,0)</f>
        <v>4</v>
      </c>
      <c r="AH192" s="23">
        <f>VLOOKUP(A:A,进销存报表10.16!A:K,11,0)</f>
        <v>17</v>
      </c>
      <c r="AJ192" s="9" t="s">
        <v>239</v>
      </c>
      <c r="AL192" s="18" t="s">
        <v>239</v>
      </c>
      <c r="AN192" s="44" t="e">
        <f t="shared" si="5"/>
        <v>#VALUE!</v>
      </c>
    </row>
    <row r="193" customHeight="1" spans="1:40">
      <c r="A193" s="15" t="s">
        <v>629</v>
      </c>
      <c r="B193" s="15" t="s">
        <v>630</v>
      </c>
      <c r="C193" s="15" t="s">
        <v>631</v>
      </c>
      <c r="D193" s="23" t="s">
        <v>211</v>
      </c>
      <c r="F193" s="23" t="s">
        <v>344</v>
      </c>
      <c r="G193" s="23" t="s">
        <v>239</v>
      </c>
      <c r="H193" s="43" t="s">
        <v>239</v>
      </c>
      <c r="J193" s="9">
        <v>46.99</v>
      </c>
      <c r="K193" s="9">
        <v>26.21</v>
      </c>
      <c r="O193" s="23" t="s">
        <v>239</v>
      </c>
      <c r="P193" s="23" t="s">
        <v>239</v>
      </c>
      <c r="Q193" s="23" t="s">
        <v>239</v>
      </c>
      <c r="R193" s="23" t="s">
        <v>239</v>
      </c>
      <c r="S193" s="9">
        <v>0</v>
      </c>
      <c r="T193" s="9">
        <v>0</v>
      </c>
      <c r="U193" s="9">
        <v>0</v>
      </c>
      <c r="V193" s="45" t="s">
        <v>239</v>
      </c>
      <c r="W193" s="44" t="s">
        <v>239</v>
      </c>
      <c r="X193" s="44">
        <v>0</v>
      </c>
      <c r="Y193" s="44">
        <v>0</v>
      </c>
      <c r="Z193" s="44" t="s">
        <v>69</v>
      </c>
      <c r="AA193" s="44" t="s">
        <v>69</v>
      </c>
      <c r="AB193" s="44">
        <v>0</v>
      </c>
      <c r="AC193" s="44">
        <v>0</v>
      </c>
      <c r="AD193" s="23" t="e">
        <f>VLOOKUP(B:B,库存明细报表10.16!L:P,5,0)</f>
        <v>#N/A</v>
      </c>
      <c r="AE193" s="23" t="e">
        <f>VLOOKUP(B:B,库存明细报表10.16!L:Q,6,0)</f>
        <v>#N/A</v>
      </c>
      <c r="AF193" s="23" t="e">
        <f>VLOOKUP(B:B,库存明细报表10.16!L:T,9,0)</f>
        <v>#N/A</v>
      </c>
      <c r="AG193" s="23">
        <f>VLOOKUP(A:A,进销存报表10.16!A:J,10,0)</f>
        <v>9</v>
      </c>
      <c r="AH193" s="23">
        <f>VLOOKUP(A:A,进销存报表10.16!A:K,11,0)</f>
        <v>10</v>
      </c>
      <c r="AJ193" s="9" t="s">
        <v>239</v>
      </c>
      <c r="AL193" s="18" t="s">
        <v>239</v>
      </c>
      <c r="AN193" s="44" t="e">
        <f t="shared" si="5"/>
        <v>#VALUE!</v>
      </c>
    </row>
    <row r="194" customHeight="1" spans="1:40">
      <c r="A194" s="15" t="s">
        <v>632</v>
      </c>
      <c r="B194" s="15" t="s">
        <v>633</v>
      </c>
      <c r="C194" s="15" t="s">
        <v>634</v>
      </c>
      <c r="D194" s="23" t="s">
        <v>211</v>
      </c>
      <c r="F194" s="23" t="s">
        <v>344</v>
      </c>
      <c r="G194" s="23" t="s">
        <v>239</v>
      </c>
      <c r="H194" s="43" t="s">
        <v>239</v>
      </c>
      <c r="J194" s="9">
        <v>51.99</v>
      </c>
      <c r="K194" s="9">
        <v>29.72</v>
      </c>
      <c r="O194" s="23" t="s">
        <v>239</v>
      </c>
      <c r="P194" s="23" t="s">
        <v>239</v>
      </c>
      <c r="Q194" s="23" t="s">
        <v>239</v>
      </c>
      <c r="R194" s="23" t="s">
        <v>239</v>
      </c>
      <c r="S194" s="9">
        <v>0</v>
      </c>
      <c r="T194" s="9">
        <v>0</v>
      </c>
      <c r="U194" s="9">
        <v>2</v>
      </c>
      <c r="V194" s="45" t="s">
        <v>239</v>
      </c>
      <c r="W194" s="44" t="s">
        <v>239</v>
      </c>
      <c r="X194" s="44" t="s">
        <v>239</v>
      </c>
      <c r="Y194" s="44" t="s">
        <v>239</v>
      </c>
      <c r="Z194" s="44" t="s">
        <v>239</v>
      </c>
      <c r="AA194" s="44" t="s">
        <v>239</v>
      </c>
      <c r="AB194" s="44">
        <v>0</v>
      </c>
      <c r="AC194" s="44" t="s">
        <v>69</v>
      </c>
      <c r="AD194" s="23" t="e">
        <f>VLOOKUP(B:B,库存明细报表10.16!L:P,5,0)</f>
        <v>#N/A</v>
      </c>
      <c r="AE194" s="23" t="e">
        <f>VLOOKUP(B:B,库存明细报表10.16!L:Q,6,0)</f>
        <v>#N/A</v>
      </c>
      <c r="AF194" s="23" t="e">
        <f>VLOOKUP(B:B,库存明细报表10.16!L:T,9,0)</f>
        <v>#N/A</v>
      </c>
      <c r="AG194" s="23">
        <f>VLOOKUP(A:A,进销存报表10.16!A:J,10,0)</f>
        <v>9</v>
      </c>
      <c r="AH194" s="23">
        <f>VLOOKUP(A:A,进销存报表10.16!A:K,11,0)</f>
        <v>4</v>
      </c>
      <c r="AJ194" s="9" t="s">
        <v>239</v>
      </c>
      <c r="AL194" s="18" t="s">
        <v>239</v>
      </c>
      <c r="AN194" s="44" t="e">
        <f t="shared" ref="AN194:AN215" si="6">AL194/AJ194</f>
        <v>#VALUE!</v>
      </c>
    </row>
    <row r="195" customHeight="1" spans="1:40">
      <c r="A195" s="15" t="s">
        <v>635</v>
      </c>
      <c r="B195" s="15" t="s">
        <v>636</v>
      </c>
      <c r="C195" s="15" t="s">
        <v>637</v>
      </c>
      <c r="D195" s="23" t="s">
        <v>211</v>
      </c>
      <c r="F195" s="23" t="s">
        <v>344</v>
      </c>
      <c r="G195" s="23" t="s">
        <v>239</v>
      </c>
      <c r="H195" s="43" t="s">
        <v>239</v>
      </c>
      <c r="J195" s="9">
        <v>36.99</v>
      </c>
      <c r="K195" s="9">
        <v>19.84</v>
      </c>
      <c r="O195" s="23" t="s">
        <v>239</v>
      </c>
      <c r="P195" s="23" t="s">
        <v>239</v>
      </c>
      <c r="Q195" s="23" t="s">
        <v>239</v>
      </c>
      <c r="R195" s="23" t="s">
        <v>239</v>
      </c>
      <c r="S195" s="9">
        <v>0</v>
      </c>
      <c r="T195" s="9">
        <v>0</v>
      </c>
      <c r="U195" s="9">
        <v>0</v>
      </c>
      <c r="V195" s="45" t="s">
        <v>239</v>
      </c>
      <c r="W195" s="44" t="s">
        <v>239</v>
      </c>
      <c r="X195" s="44" t="s">
        <v>239</v>
      </c>
      <c r="Y195" s="44" t="s">
        <v>239</v>
      </c>
      <c r="Z195" s="44" t="s">
        <v>239</v>
      </c>
      <c r="AA195" s="44" t="s">
        <v>239</v>
      </c>
      <c r="AB195" s="44">
        <v>0</v>
      </c>
      <c r="AC195" s="44" t="s">
        <v>69</v>
      </c>
      <c r="AD195" s="23" t="e">
        <f>VLOOKUP(B:B,库存明细报表10.16!L:P,5,0)</f>
        <v>#N/A</v>
      </c>
      <c r="AE195" s="23" t="e">
        <f>VLOOKUP(B:B,库存明细报表10.16!L:Q,6,0)</f>
        <v>#N/A</v>
      </c>
      <c r="AF195" s="23" t="e">
        <f>VLOOKUP(B:B,库存明细报表10.16!L:T,9,0)</f>
        <v>#N/A</v>
      </c>
      <c r="AG195" s="23">
        <f>VLOOKUP(A:A,进销存报表10.16!A:J,10,0)</f>
        <v>6</v>
      </c>
      <c r="AH195" s="23">
        <f>VLOOKUP(A:A,进销存报表10.16!A:K,11,0)</f>
        <v>10</v>
      </c>
      <c r="AJ195" s="9" t="s">
        <v>239</v>
      </c>
      <c r="AL195" s="18" t="s">
        <v>239</v>
      </c>
      <c r="AN195" s="44" t="e">
        <f t="shared" si="6"/>
        <v>#VALUE!</v>
      </c>
    </row>
    <row r="196" customHeight="1" spans="1:40">
      <c r="A196" s="15" t="s">
        <v>638</v>
      </c>
      <c r="B196" s="15" t="s">
        <v>639</v>
      </c>
      <c r="C196" s="15" t="s">
        <v>640</v>
      </c>
      <c r="D196" s="23" t="s">
        <v>211</v>
      </c>
      <c r="F196" s="23" t="s">
        <v>344</v>
      </c>
      <c r="G196" s="23" t="s">
        <v>239</v>
      </c>
      <c r="H196" s="43" t="s">
        <v>239</v>
      </c>
      <c r="J196" s="9">
        <v>27.99</v>
      </c>
      <c r="K196" s="9">
        <v>12.98</v>
      </c>
      <c r="O196" s="23" t="s">
        <v>239</v>
      </c>
      <c r="P196" s="23" t="s">
        <v>239</v>
      </c>
      <c r="Q196" s="23" t="s">
        <v>239</v>
      </c>
      <c r="R196" s="23" t="s">
        <v>239</v>
      </c>
      <c r="S196" s="9">
        <v>0</v>
      </c>
      <c r="T196" s="9">
        <v>0</v>
      </c>
      <c r="U196" s="9">
        <v>1</v>
      </c>
      <c r="V196" s="45" t="s">
        <v>239</v>
      </c>
      <c r="W196" s="44" t="s">
        <v>239</v>
      </c>
      <c r="X196" s="44">
        <v>0</v>
      </c>
      <c r="Y196" s="44">
        <v>0</v>
      </c>
      <c r="Z196" s="44" t="s">
        <v>69</v>
      </c>
      <c r="AA196" s="44" t="s">
        <v>69</v>
      </c>
      <c r="AB196" s="44">
        <v>0</v>
      </c>
      <c r="AC196" s="44">
        <v>0.11109831</v>
      </c>
      <c r="AD196" s="23" t="e">
        <f>VLOOKUP(B:B,库存明细报表10.16!L:P,5,0)</f>
        <v>#N/A</v>
      </c>
      <c r="AE196" s="23" t="e">
        <f>VLOOKUP(B:B,库存明细报表10.16!L:Q,6,0)</f>
        <v>#N/A</v>
      </c>
      <c r="AF196" s="23" t="e">
        <f>VLOOKUP(B:B,库存明细报表10.16!L:T,9,0)</f>
        <v>#N/A</v>
      </c>
      <c r="AG196" s="23">
        <f>VLOOKUP(A:A,进销存报表10.16!A:J,10,0)</f>
        <v>8</v>
      </c>
      <c r="AH196" s="23">
        <f>VLOOKUP(A:A,进销存报表10.16!A:K,11,0)</f>
        <v>10</v>
      </c>
      <c r="AJ196" s="9" t="s">
        <v>239</v>
      </c>
      <c r="AL196" s="18" t="s">
        <v>239</v>
      </c>
      <c r="AN196" s="44" t="e">
        <f t="shared" si="6"/>
        <v>#VALUE!</v>
      </c>
    </row>
    <row r="197" customHeight="1" spans="1:40">
      <c r="A197" s="15" t="s">
        <v>641</v>
      </c>
      <c r="B197" s="15" t="s">
        <v>642</v>
      </c>
      <c r="C197" s="15" t="s">
        <v>643</v>
      </c>
      <c r="D197" s="23" t="s">
        <v>211</v>
      </c>
      <c r="F197" s="23" t="s">
        <v>344</v>
      </c>
      <c r="G197" s="23" t="s">
        <v>239</v>
      </c>
      <c r="H197" s="43" t="s">
        <v>239</v>
      </c>
      <c r="J197" s="9">
        <v>35.99</v>
      </c>
      <c r="K197" s="9">
        <v>19.42</v>
      </c>
      <c r="O197" s="23" t="s">
        <v>239</v>
      </c>
      <c r="P197" s="23" t="s">
        <v>239</v>
      </c>
      <c r="Q197" s="23" t="s">
        <v>239</v>
      </c>
      <c r="R197" s="23" t="s">
        <v>239</v>
      </c>
      <c r="S197" s="9">
        <v>0</v>
      </c>
      <c r="T197" s="9">
        <v>0</v>
      </c>
      <c r="U197" s="9">
        <v>0</v>
      </c>
      <c r="V197" s="45" t="s">
        <v>239</v>
      </c>
      <c r="W197" s="44" t="s">
        <v>239</v>
      </c>
      <c r="X197" s="44" t="s">
        <v>239</v>
      </c>
      <c r="Y197" s="44" t="s">
        <v>239</v>
      </c>
      <c r="Z197" s="44" t="s">
        <v>239</v>
      </c>
      <c r="AA197" s="44" t="s">
        <v>239</v>
      </c>
      <c r="AB197" s="44">
        <v>0</v>
      </c>
      <c r="AC197" s="44" t="s">
        <v>69</v>
      </c>
      <c r="AD197" s="23" t="e">
        <f>VLOOKUP(B:B,库存明细报表10.16!L:P,5,0)</f>
        <v>#N/A</v>
      </c>
      <c r="AE197" s="23" t="e">
        <f>VLOOKUP(B:B,库存明细报表10.16!L:Q,6,0)</f>
        <v>#N/A</v>
      </c>
      <c r="AF197" s="23" t="e">
        <f>VLOOKUP(B:B,库存明细报表10.16!L:T,9,0)</f>
        <v>#N/A</v>
      </c>
      <c r="AG197" s="23">
        <f>VLOOKUP(A:A,进销存报表10.16!A:J,10,0)</f>
        <v>12</v>
      </c>
      <c r="AH197" s="23">
        <f>VLOOKUP(A:A,进销存报表10.16!A:K,11,0)</f>
        <v>2</v>
      </c>
      <c r="AJ197" s="9" t="s">
        <v>239</v>
      </c>
      <c r="AL197" s="18" t="s">
        <v>239</v>
      </c>
      <c r="AN197" s="44" t="e">
        <f t="shared" si="6"/>
        <v>#VALUE!</v>
      </c>
    </row>
    <row r="198" customHeight="1" spans="1:40">
      <c r="A198" s="15" t="s">
        <v>644</v>
      </c>
      <c r="B198" s="15" t="s">
        <v>645</v>
      </c>
      <c r="C198" s="15" t="s">
        <v>646</v>
      </c>
      <c r="D198" s="23" t="s">
        <v>211</v>
      </c>
      <c r="F198" s="23" t="s">
        <v>344</v>
      </c>
      <c r="G198" s="23" t="s">
        <v>239</v>
      </c>
      <c r="H198" s="43" t="s">
        <v>239</v>
      </c>
      <c r="J198" s="9">
        <v>46.99</v>
      </c>
      <c r="K198" s="9">
        <v>26.48</v>
      </c>
      <c r="O198" s="23" t="s">
        <v>239</v>
      </c>
      <c r="P198" s="23" t="s">
        <v>239</v>
      </c>
      <c r="Q198" s="23" t="s">
        <v>239</v>
      </c>
      <c r="R198" s="23" t="s">
        <v>239</v>
      </c>
      <c r="S198" s="9">
        <v>0</v>
      </c>
      <c r="T198" s="9">
        <v>2</v>
      </c>
      <c r="U198" s="9">
        <v>0</v>
      </c>
      <c r="V198" s="45" t="s">
        <v>239</v>
      </c>
      <c r="W198" s="44" t="s">
        <v>239</v>
      </c>
      <c r="X198" s="44">
        <v>0.234906322</v>
      </c>
      <c r="Y198" s="44">
        <v>0</v>
      </c>
      <c r="Z198" s="44">
        <v>0.011845222</v>
      </c>
      <c r="AA198" s="44">
        <v>0.077652014</v>
      </c>
      <c r="AB198" s="44">
        <v>0.181818182</v>
      </c>
      <c r="AC198" s="44">
        <v>0</v>
      </c>
      <c r="AD198" s="23" t="e">
        <f>VLOOKUP(B:B,库存明细报表10.16!L:P,5,0)</f>
        <v>#N/A</v>
      </c>
      <c r="AE198" s="23" t="e">
        <f>VLOOKUP(B:B,库存明细报表10.16!L:Q,6,0)</f>
        <v>#N/A</v>
      </c>
      <c r="AF198" s="23" t="e">
        <f>VLOOKUP(B:B,库存明细报表10.16!L:T,9,0)</f>
        <v>#N/A</v>
      </c>
      <c r="AG198" s="23">
        <f>VLOOKUP(A:A,进销存报表10.16!A:J,10,0)</f>
        <v>5</v>
      </c>
      <c r="AH198" s="23">
        <f>VLOOKUP(A:A,进销存报表10.16!A:K,11,0)</f>
        <v>11</v>
      </c>
      <c r="AJ198" s="9" t="s">
        <v>239</v>
      </c>
      <c r="AL198" s="18" t="s">
        <v>239</v>
      </c>
      <c r="AN198" s="44" t="e">
        <f t="shared" si="6"/>
        <v>#VALUE!</v>
      </c>
    </row>
    <row r="199" customHeight="1" spans="1:40">
      <c r="A199" s="15" t="s">
        <v>647</v>
      </c>
      <c r="B199" s="15" t="s">
        <v>648</v>
      </c>
      <c r="C199" s="15" t="s">
        <v>649</v>
      </c>
      <c r="D199" s="23" t="s">
        <v>211</v>
      </c>
      <c r="F199" s="23" t="s">
        <v>344</v>
      </c>
      <c r="G199" s="23" t="s">
        <v>239</v>
      </c>
      <c r="H199" s="43" t="s">
        <v>239</v>
      </c>
      <c r="J199" s="9">
        <v>27.99</v>
      </c>
      <c r="K199" s="9">
        <v>13.46</v>
      </c>
      <c r="O199" s="23" t="s">
        <v>239</v>
      </c>
      <c r="P199" s="23" t="s">
        <v>239</v>
      </c>
      <c r="Q199" s="23" t="s">
        <v>239</v>
      </c>
      <c r="R199" s="23" t="s">
        <v>239</v>
      </c>
      <c r="S199" s="9">
        <v>0</v>
      </c>
      <c r="T199" s="9">
        <v>0</v>
      </c>
      <c r="U199" s="9">
        <v>1</v>
      </c>
      <c r="V199" s="45" t="s">
        <v>239</v>
      </c>
      <c r="W199" s="44" t="s">
        <v>239</v>
      </c>
      <c r="X199" s="44" t="s">
        <v>239</v>
      </c>
      <c r="Y199" s="44" t="s">
        <v>239</v>
      </c>
      <c r="Z199" s="44" t="s">
        <v>239</v>
      </c>
      <c r="AA199" s="44" t="s">
        <v>239</v>
      </c>
      <c r="AB199" s="44">
        <v>0</v>
      </c>
      <c r="AC199" s="44" t="s">
        <v>69</v>
      </c>
      <c r="AD199" s="23" t="e">
        <f>VLOOKUP(B:B,库存明细报表10.16!L:P,5,0)</f>
        <v>#N/A</v>
      </c>
      <c r="AE199" s="23" t="e">
        <f>VLOOKUP(B:B,库存明细报表10.16!L:Q,6,0)</f>
        <v>#N/A</v>
      </c>
      <c r="AF199" s="23" t="e">
        <f>VLOOKUP(B:B,库存明细报表10.16!L:T,9,0)</f>
        <v>#N/A</v>
      </c>
      <c r="AG199" s="23">
        <f>VLOOKUP(A:A,进销存报表10.16!A:J,10,0)</f>
        <v>8</v>
      </c>
      <c r="AH199" s="23">
        <f>VLOOKUP(A:A,进销存报表10.16!A:K,11,0)</f>
        <v>9</v>
      </c>
      <c r="AJ199" s="9" t="s">
        <v>239</v>
      </c>
      <c r="AL199" s="18" t="s">
        <v>239</v>
      </c>
      <c r="AN199" s="44" t="e">
        <f t="shared" si="6"/>
        <v>#VALUE!</v>
      </c>
    </row>
    <row r="200" customHeight="1" spans="1:40">
      <c r="A200" s="15" t="s">
        <v>650</v>
      </c>
      <c r="B200" s="15" t="s">
        <v>651</v>
      </c>
      <c r="C200" s="15" t="s">
        <v>652</v>
      </c>
      <c r="D200" s="23" t="s">
        <v>211</v>
      </c>
      <c r="F200" s="23" t="s">
        <v>344</v>
      </c>
      <c r="G200" s="23" t="s">
        <v>239</v>
      </c>
      <c r="H200" s="43" t="s">
        <v>239</v>
      </c>
      <c r="J200" s="9">
        <v>47.99</v>
      </c>
      <c r="K200" s="9">
        <v>27.35</v>
      </c>
      <c r="O200" s="23" t="s">
        <v>239</v>
      </c>
      <c r="P200" s="23" t="s">
        <v>239</v>
      </c>
      <c r="Q200" s="23" t="s">
        <v>239</v>
      </c>
      <c r="R200" s="23" t="s">
        <v>239</v>
      </c>
      <c r="S200" s="9">
        <v>0</v>
      </c>
      <c r="T200" s="9">
        <v>3</v>
      </c>
      <c r="U200" s="9">
        <v>0</v>
      </c>
      <c r="V200" s="45" t="s">
        <v>239</v>
      </c>
      <c r="W200" s="44" t="s">
        <v>239</v>
      </c>
      <c r="X200" s="44">
        <v>0.243303387</v>
      </c>
      <c r="Y200" s="44">
        <v>0</v>
      </c>
      <c r="Z200" s="44">
        <v>0.056168248</v>
      </c>
      <c r="AA200" s="44">
        <v>0.032444216</v>
      </c>
      <c r="AB200" s="44">
        <v>0.115384615</v>
      </c>
      <c r="AC200" s="44">
        <v>0.111099298</v>
      </c>
      <c r="AD200" s="23" t="e">
        <f>VLOOKUP(B:B,库存明细报表10.16!L:P,5,0)</f>
        <v>#N/A</v>
      </c>
      <c r="AE200" s="23" t="e">
        <f>VLOOKUP(B:B,库存明细报表10.16!L:Q,6,0)</f>
        <v>#N/A</v>
      </c>
      <c r="AF200" s="23" t="e">
        <f>VLOOKUP(B:B,库存明细报表10.16!L:T,9,0)</f>
        <v>#N/A</v>
      </c>
      <c r="AG200" s="23">
        <f>VLOOKUP(A:A,进销存报表10.16!A:J,10,0)</f>
        <v>7</v>
      </c>
      <c r="AH200" s="23">
        <f>VLOOKUP(A:A,进销存报表10.16!A:K,11,0)</f>
        <v>10</v>
      </c>
      <c r="AJ200" s="9" t="s">
        <v>239</v>
      </c>
      <c r="AL200" s="18" t="s">
        <v>239</v>
      </c>
      <c r="AN200" s="44" t="e">
        <f t="shared" si="6"/>
        <v>#VALUE!</v>
      </c>
    </row>
    <row r="201" customHeight="1" spans="1:40">
      <c r="A201" s="15" t="s">
        <v>653</v>
      </c>
      <c r="B201" s="15" t="s">
        <v>654</v>
      </c>
      <c r="C201" s="15" t="s">
        <v>655</v>
      </c>
      <c r="D201" s="23" t="s">
        <v>211</v>
      </c>
      <c r="F201" s="23" t="s">
        <v>344</v>
      </c>
      <c r="G201" s="23" t="s">
        <v>239</v>
      </c>
      <c r="H201" s="43" t="s">
        <v>239</v>
      </c>
      <c r="J201" s="9">
        <v>29.99</v>
      </c>
      <c r="K201" s="9">
        <v>15.03</v>
      </c>
      <c r="O201" s="23" t="s">
        <v>239</v>
      </c>
      <c r="P201" s="23" t="s">
        <v>239</v>
      </c>
      <c r="Q201" s="23" t="s">
        <v>239</v>
      </c>
      <c r="R201" s="23" t="s">
        <v>239</v>
      </c>
      <c r="S201" s="9">
        <v>0</v>
      </c>
      <c r="T201" s="9">
        <v>0</v>
      </c>
      <c r="U201" s="9">
        <v>0</v>
      </c>
      <c r="V201" s="45" t="s">
        <v>239</v>
      </c>
      <c r="W201" s="44" t="s">
        <v>239</v>
      </c>
      <c r="X201" s="44">
        <v>0</v>
      </c>
      <c r="Y201" s="44">
        <v>0</v>
      </c>
      <c r="Z201" s="44" t="s">
        <v>69</v>
      </c>
      <c r="AA201" s="44" t="s">
        <v>69</v>
      </c>
      <c r="AB201" s="44">
        <v>0</v>
      </c>
      <c r="AC201" s="44">
        <v>0</v>
      </c>
      <c r="AD201" s="23" t="e">
        <f>VLOOKUP(B:B,库存明细报表10.16!L:P,5,0)</f>
        <v>#N/A</v>
      </c>
      <c r="AE201" s="23" t="e">
        <f>VLOOKUP(B:B,库存明细报表10.16!L:Q,6,0)</f>
        <v>#N/A</v>
      </c>
      <c r="AF201" s="23" t="e">
        <f>VLOOKUP(B:B,库存明细报表10.16!L:T,9,0)</f>
        <v>#N/A</v>
      </c>
      <c r="AG201" s="23">
        <f>VLOOKUP(A:A,进销存报表10.16!A:J,10,0)</f>
        <v>7</v>
      </c>
      <c r="AH201" s="23">
        <f>VLOOKUP(A:A,进销存报表10.16!A:K,11,0)</f>
        <v>7</v>
      </c>
      <c r="AJ201" s="9" t="s">
        <v>239</v>
      </c>
      <c r="AL201" s="18" t="s">
        <v>239</v>
      </c>
      <c r="AN201" s="44" t="e">
        <f t="shared" si="6"/>
        <v>#VALUE!</v>
      </c>
    </row>
    <row r="202" customHeight="1" spans="1:40">
      <c r="A202" s="15" t="s">
        <v>656</v>
      </c>
      <c r="B202" s="15" t="s">
        <v>657</v>
      </c>
      <c r="C202" s="15" t="s">
        <v>658</v>
      </c>
      <c r="D202" s="23" t="s">
        <v>211</v>
      </c>
      <c r="F202" s="23" t="s">
        <v>344</v>
      </c>
      <c r="G202" s="23" t="s">
        <v>239</v>
      </c>
      <c r="H202" s="43" t="s">
        <v>239</v>
      </c>
      <c r="J202" s="9">
        <v>125.99</v>
      </c>
      <c r="K202" s="9">
        <v>72.36</v>
      </c>
      <c r="O202" s="23" t="s">
        <v>239</v>
      </c>
      <c r="P202" s="23" t="s">
        <v>239</v>
      </c>
      <c r="Q202" s="23" t="s">
        <v>239</v>
      </c>
      <c r="R202" s="23" t="s">
        <v>239</v>
      </c>
      <c r="S202" s="9" t="s">
        <v>239</v>
      </c>
      <c r="T202" s="9" t="s">
        <v>239</v>
      </c>
      <c r="U202" s="9" t="s">
        <v>239</v>
      </c>
      <c r="V202" s="45" t="s">
        <v>239</v>
      </c>
      <c r="W202" s="44" t="s">
        <v>239</v>
      </c>
      <c r="X202" s="44" t="s">
        <v>239</v>
      </c>
      <c r="Y202" s="44" t="s">
        <v>239</v>
      </c>
      <c r="Z202" s="44" t="s">
        <v>239</v>
      </c>
      <c r="AA202" s="44" t="s">
        <v>239</v>
      </c>
      <c r="AB202" s="44" t="s">
        <v>239</v>
      </c>
      <c r="AC202" s="44" t="s">
        <v>239</v>
      </c>
      <c r="AD202" s="23" t="e">
        <f>VLOOKUP(B:B,库存明细报表10.16!L:P,5,0)</f>
        <v>#N/A</v>
      </c>
      <c r="AE202" s="23" t="e">
        <f>VLOOKUP(B:B,库存明细报表10.16!L:Q,6,0)</f>
        <v>#N/A</v>
      </c>
      <c r="AF202" s="23" t="e">
        <f>VLOOKUP(B:B,库存明细报表10.16!L:T,9,0)</f>
        <v>#N/A</v>
      </c>
      <c r="AG202" s="23">
        <f>VLOOKUP(A:A,进销存报表10.16!A:J,10,0)</f>
        <v>0</v>
      </c>
      <c r="AH202" s="23">
        <f>VLOOKUP(A:A,进销存报表10.16!A:K,11,0)</f>
        <v>16</v>
      </c>
      <c r="AJ202" s="9" t="s">
        <v>239</v>
      </c>
      <c r="AL202" s="18" t="s">
        <v>239</v>
      </c>
      <c r="AN202" s="44" t="e">
        <f t="shared" si="6"/>
        <v>#VALUE!</v>
      </c>
    </row>
    <row r="203" customHeight="1" spans="1:40">
      <c r="A203" s="15" t="s">
        <v>659</v>
      </c>
      <c r="B203" s="15" t="s">
        <v>660</v>
      </c>
      <c r="C203" s="15" t="s">
        <v>661</v>
      </c>
      <c r="D203" s="23" t="s">
        <v>211</v>
      </c>
      <c r="F203" s="23" t="s">
        <v>344</v>
      </c>
      <c r="G203" s="23" t="s">
        <v>239</v>
      </c>
      <c r="H203" s="43" t="s">
        <v>239</v>
      </c>
      <c r="J203" s="9">
        <v>47.99</v>
      </c>
      <c r="K203" s="9">
        <v>25.27</v>
      </c>
      <c r="O203" s="23" t="s">
        <v>239</v>
      </c>
      <c r="P203" s="23" t="s">
        <v>239</v>
      </c>
      <c r="Q203" s="23" t="s">
        <v>239</v>
      </c>
      <c r="R203" s="23" t="s">
        <v>239</v>
      </c>
      <c r="S203" s="9">
        <v>0</v>
      </c>
      <c r="T203" s="9">
        <v>0</v>
      </c>
      <c r="U203" s="9">
        <v>1</v>
      </c>
      <c r="V203" s="45" t="s">
        <v>239</v>
      </c>
      <c r="W203" s="44" t="s">
        <v>239</v>
      </c>
      <c r="X203" s="44">
        <v>0</v>
      </c>
      <c r="Y203" s="44">
        <v>0</v>
      </c>
      <c r="Z203" s="44" t="s">
        <v>69</v>
      </c>
      <c r="AA203" s="44" t="s">
        <v>69</v>
      </c>
      <c r="AB203" s="44">
        <v>0</v>
      </c>
      <c r="AC203" s="44">
        <v>0</v>
      </c>
      <c r="AD203" s="23" t="e">
        <f>VLOOKUP(B:B,库存明细报表10.16!L:P,5,0)</f>
        <v>#N/A</v>
      </c>
      <c r="AE203" s="23" t="e">
        <f>VLOOKUP(B:B,库存明细报表10.16!L:Q,6,0)</f>
        <v>#N/A</v>
      </c>
      <c r="AF203" s="23" t="e">
        <f>VLOOKUP(B:B,库存明细报表10.16!L:T,9,0)</f>
        <v>#N/A</v>
      </c>
      <c r="AG203" s="23">
        <f>VLOOKUP(A:A,进销存报表10.16!A:J,10,0)</f>
        <v>5</v>
      </c>
      <c r="AH203" s="23">
        <f>VLOOKUP(A:A,进销存报表10.16!A:K,11,0)</f>
        <v>12</v>
      </c>
      <c r="AJ203" s="9" t="s">
        <v>239</v>
      </c>
      <c r="AL203" s="18" t="s">
        <v>239</v>
      </c>
      <c r="AN203" s="44" t="e">
        <f t="shared" si="6"/>
        <v>#VALUE!</v>
      </c>
    </row>
    <row r="204" customHeight="1" spans="1:40">
      <c r="A204" s="15" t="s">
        <v>662</v>
      </c>
      <c r="B204" s="15" t="s">
        <v>663</v>
      </c>
      <c r="C204" s="15" t="s">
        <v>664</v>
      </c>
      <c r="D204" s="23" t="s">
        <v>211</v>
      </c>
      <c r="F204" s="23" t="s">
        <v>344</v>
      </c>
      <c r="G204" s="23" t="s">
        <v>239</v>
      </c>
      <c r="H204" s="43" t="s">
        <v>239</v>
      </c>
      <c r="J204" s="9">
        <v>29.99</v>
      </c>
      <c r="K204" s="9">
        <v>13.2</v>
      </c>
      <c r="O204" s="23" t="s">
        <v>239</v>
      </c>
      <c r="P204" s="23" t="s">
        <v>239</v>
      </c>
      <c r="Q204" s="23" t="s">
        <v>239</v>
      </c>
      <c r="R204" s="23" t="s">
        <v>239</v>
      </c>
      <c r="S204" s="9">
        <v>0</v>
      </c>
      <c r="T204" s="9">
        <v>0</v>
      </c>
      <c r="U204" s="9">
        <v>0</v>
      </c>
      <c r="V204" s="45" t="s">
        <v>239</v>
      </c>
      <c r="W204" s="44" t="s">
        <v>239</v>
      </c>
      <c r="X204" s="44">
        <v>0</v>
      </c>
      <c r="Y204" s="44">
        <v>0</v>
      </c>
      <c r="Z204" s="44" t="s">
        <v>69</v>
      </c>
      <c r="AA204" s="44" t="s">
        <v>69</v>
      </c>
      <c r="AB204" s="44">
        <v>0</v>
      </c>
      <c r="AC204" s="44">
        <v>0</v>
      </c>
      <c r="AD204" s="23" t="e">
        <f>VLOOKUP(B:B,库存明细报表10.16!L:P,5,0)</f>
        <v>#N/A</v>
      </c>
      <c r="AE204" s="23" t="e">
        <f>VLOOKUP(B:B,库存明细报表10.16!L:Q,6,0)</f>
        <v>#N/A</v>
      </c>
      <c r="AF204" s="23" t="e">
        <f>VLOOKUP(B:B,库存明细报表10.16!L:T,9,0)</f>
        <v>#N/A</v>
      </c>
      <c r="AG204" s="23">
        <f>VLOOKUP(A:A,进销存报表10.16!A:J,10,0)</f>
        <v>5</v>
      </c>
      <c r="AH204" s="23">
        <f>VLOOKUP(A:A,进销存报表10.16!A:K,11,0)</f>
        <v>14</v>
      </c>
      <c r="AJ204" s="9" t="s">
        <v>239</v>
      </c>
      <c r="AL204" s="18" t="s">
        <v>239</v>
      </c>
      <c r="AN204" s="44" t="e">
        <f t="shared" si="6"/>
        <v>#VALUE!</v>
      </c>
    </row>
    <row r="205" customHeight="1" spans="1:40">
      <c r="A205" s="15" t="s">
        <v>665</v>
      </c>
      <c r="B205" s="15" t="s">
        <v>666</v>
      </c>
      <c r="C205" s="15" t="s">
        <v>667</v>
      </c>
      <c r="D205" s="23" t="s">
        <v>211</v>
      </c>
      <c r="F205" s="23" t="s">
        <v>344</v>
      </c>
      <c r="G205" s="23" t="s">
        <v>239</v>
      </c>
      <c r="H205" s="43" t="s">
        <v>239</v>
      </c>
      <c r="J205" s="9">
        <v>34.99</v>
      </c>
      <c r="K205" s="9">
        <v>18.11</v>
      </c>
      <c r="O205" s="23" t="s">
        <v>239</v>
      </c>
      <c r="P205" s="23" t="s">
        <v>239</v>
      </c>
      <c r="Q205" s="23" t="s">
        <v>239</v>
      </c>
      <c r="R205" s="23" t="s">
        <v>239</v>
      </c>
      <c r="S205" s="9">
        <v>0</v>
      </c>
      <c r="T205" s="9">
        <v>0</v>
      </c>
      <c r="U205" s="9">
        <v>0</v>
      </c>
      <c r="V205" s="45" t="s">
        <v>239</v>
      </c>
      <c r="W205" s="44" t="s">
        <v>239</v>
      </c>
      <c r="X205" s="44">
        <v>0</v>
      </c>
      <c r="Y205" s="44">
        <v>0</v>
      </c>
      <c r="Z205" s="44" t="s">
        <v>69</v>
      </c>
      <c r="AA205" s="44" t="s">
        <v>69</v>
      </c>
      <c r="AB205" s="44">
        <v>0</v>
      </c>
      <c r="AC205" s="44">
        <v>0</v>
      </c>
      <c r="AD205" s="23" t="e">
        <f>VLOOKUP(B:B,库存明细报表10.16!L:P,5,0)</f>
        <v>#N/A</v>
      </c>
      <c r="AE205" s="23" t="e">
        <f>VLOOKUP(B:B,库存明细报表10.16!L:Q,6,0)</f>
        <v>#N/A</v>
      </c>
      <c r="AF205" s="23" t="e">
        <f>VLOOKUP(B:B,库存明细报表10.16!L:T,9,0)</f>
        <v>#N/A</v>
      </c>
      <c r="AG205" s="23">
        <f>VLOOKUP(A:A,进销存报表10.16!A:J,10,0)</f>
        <v>30</v>
      </c>
      <c r="AH205" s="23">
        <f>VLOOKUP(A:A,进销存报表10.16!A:K,11,0)</f>
        <v>0</v>
      </c>
      <c r="AJ205" s="9" t="s">
        <v>239</v>
      </c>
      <c r="AL205" s="18" t="s">
        <v>239</v>
      </c>
      <c r="AN205" s="44" t="e">
        <f t="shared" si="6"/>
        <v>#VALUE!</v>
      </c>
    </row>
    <row r="206" customHeight="1" spans="1:40">
      <c r="A206" s="15" t="s">
        <v>668</v>
      </c>
      <c r="B206" s="15" t="s">
        <v>669</v>
      </c>
      <c r="C206" s="15" t="s">
        <v>670</v>
      </c>
      <c r="D206" s="23" t="s">
        <v>211</v>
      </c>
      <c r="F206" s="23" t="s">
        <v>344</v>
      </c>
      <c r="G206" s="23" t="s">
        <v>239</v>
      </c>
      <c r="H206" s="43" t="s">
        <v>239</v>
      </c>
      <c r="J206" s="9">
        <v>36.99</v>
      </c>
      <c r="K206" s="9">
        <v>19.43</v>
      </c>
      <c r="O206" s="23" t="s">
        <v>239</v>
      </c>
      <c r="P206" s="23" t="s">
        <v>239</v>
      </c>
      <c r="Q206" s="23" t="s">
        <v>239</v>
      </c>
      <c r="R206" s="23" t="s">
        <v>239</v>
      </c>
      <c r="S206" s="9">
        <v>0</v>
      </c>
      <c r="T206" s="9">
        <v>0</v>
      </c>
      <c r="U206" s="9">
        <v>0</v>
      </c>
      <c r="V206" s="45" t="s">
        <v>239</v>
      </c>
      <c r="W206" s="44" t="s">
        <v>239</v>
      </c>
      <c r="X206" s="44" t="s">
        <v>239</v>
      </c>
      <c r="Y206" s="44" t="s">
        <v>239</v>
      </c>
      <c r="Z206" s="44" t="s">
        <v>239</v>
      </c>
      <c r="AA206" s="44" t="s">
        <v>239</v>
      </c>
      <c r="AB206" s="44">
        <v>0</v>
      </c>
      <c r="AC206" s="44" t="s">
        <v>69</v>
      </c>
      <c r="AD206" s="23" t="e">
        <f>VLOOKUP(B:B,库存明细报表10.16!L:P,5,0)</f>
        <v>#N/A</v>
      </c>
      <c r="AE206" s="23" t="e">
        <f>VLOOKUP(B:B,库存明细报表10.16!L:Q,6,0)</f>
        <v>#N/A</v>
      </c>
      <c r="AF206" s="23" t="e">
        <f>VLOOKUP(B:B,库存明细报表10.16!L:T,9,0)</f>
        <v>#N/A</v>
      </c>
      <c r="AG206" s="23">
        <f>VLOOKUP(A:A,进销存报表10.16!A:J,10,0)</f>
        <v>7</v>
      </c>
      <c r="AH206" s="23">
        <f>VLOOKUP(A:A,进销存报表10.16!A:K,11,0)</f>
        <v>11</v>
      </c>
      <c r="AJ206" s="9" t="s">
        <v>239</v>
      </c>
      <c r="AL206" s="18" t="s">
        <v>239</v>
      </c>
      <c r="AN206" s="44" t="e">
        <f t="shared" si="6"/>
        <v>#VALUE!</v>
      </c>
    </row>
    <row r="207" customHeight="1" spans="1:40">
      <c r="A207" s="15" t="s">
        <v>671</v>
      </c>
      <c r="B207" s="15" t="s">
        <v>672</v>
      </c>
      <c r="C207" s="15" t="s">
        <v>673</v>
      </c>
      <c r="D207" s="23" t="s">
        <v>211</v>
      </c>
      <c r="F207" s="23" t="s">
        <v>344</v>
      </c>
      <c r="G207" s="23" t="s">
        <v>239</v>
      </c>
      <c r="H207" s="43" t="s">
        <v>239</v>
      </c>
      <c r="J207" s="9">
        <v>71.99</v>
      </c>
      <c r="K207" s="9">
        <v>42.26</v>
      </c>
      <c r="O207" s="23" t="s">
        <v>239</v>
      </c>
      <c r="P207" s="23" t="s">
        <v>239</v>
      </c>
      <c r="Q207" s="23" t="s">
        <v>239</v>
      </c>
      <c r="R207" s="23" t="s">
        <v>239</v>
      </c>
      <c r="S207" s="9" t="s">
        <v>239</v>
      </c>
      <c r="T207" s="9" t="s">
        <v>239</v>
      </c>
      <c r="U207" s="9" t="s">
        <v>239</v>
      </c>
      <c r="V207" s="45" t="s">
        <v>239</v>
      </c>
      <c r="W207" s="44" t="s">
        <v>239</v>
      </c>
      <c r="X207" s="44" t="s">
        <v>239</v>
      </c>
      <c r="Y207" s="44" t="s">
        <v>239</v>
      </c>
      <c r="Z207" s="44" t="s">
        <v>239</v>
      </c>
      <c r="AA207" s="44" t="s">
        <v>239</v>
      </c>
      <c r="AB207" s="44" t="s">
        <v>239</v>
      </c>
      <c r="AC207" s="44" t="s">
        <v>239</v>
      </c>
      <c r="AD207" s="23" t="e">
        <f>VLOOKUP(B:B,库存明细报表10.16!L:P,5,0)</f>
        <v>#N/A</v>
      </c>
      <c r="AE207" s="23" t="e">
        <f>VLOOKUP(B:B,库存明细报表10.16!L:Q,6,0)</f>
        <v>#N/A</v>
      </c>
      <c r="AF207" s="23" t="e">
        <f>VLOOKUP(B:B,库存明细报表10.16!L:T,9,0)</f>
        <v>#N/A</v>
      </c>
      <c r="AG207" s="23">
        <f>VLOOKUP(A:A,进销存报表10.16!A:J,10,0)</f>
        <v>0</v>
      </c>
      <c r="AH207" s="23">
        <f>VLOOKUP(A:A,进销存报表10.16!A:K,11,0)</f>
        <v>6</v>
      </c>
      <c r="AJ207" s="9" t="s">
        <v>239</v>
      </c>
      <c r="AL207" s="18" t="s">
        <v>239</v>
      </c>
      <c r="AN207" s="44" t="e">
        <f t="shared" si="6"/>
        <v>#VALUE!</v>
      </c>
    </row>
    <row r="208" customHeight="1" spans="1:40">
      <c r="A208" s="15" t="s">
        <v>674</v>
      </c>
      <c r="B208" s="15" t="s">
        <v>675</v>
      </c>
      <c r="C208" s="15" t="s">
        <v>676</v>
      </c>
      <c r="D208" s="23" t="s">
        <v>211</v>
      </c>
      <c r="F208" s="23" t="s">
        <v>344</v>
      </c>
      <c r="G208" s="23" t="s">
        <v>239</v>
      </c>
      <c r="H208" s="43" t="s">
        <v>239</v>
      </c>
      <c r="J208" s="9">
        <v>57.99</v>
      </c>
      <c r="K208" s="9">
        <v>33.94</v>
      </c>
      <c r="O208" s="23" t="s">
        <v>239</v>
      </c>
      <c r="P208" s="23" t="s">
        <v>239</v>
      </c>
      <c r="Q208" s="23" t="s">
        <v>239</v>
      </c>
      <c r="R208" s="23" t="s">
        <v>239</v>
      </c>
      <c r="S208" s="9" t="s">
        <v>239</v>
      </c>
      <c r="T208" s="9" t="s">
        <v>239</v>
      </c>
      <c r="U208" s="9" t="s">
        <v>239</v>
      </c>
      <c r="V208" s="45" t="s">
        <v>239</v>
      </c>
      <c r="W208" s="44" t="s">
        <v>239</v>
      </c>
      <c r="X208" s="44" t="s">
        <v>239</v>
      </c>
      <c r="Y208" s="44" t="s">
        <v>239</v>
      </c>
      <c r="Z208" s="44" t="s">
        <v>239</v>
      </c>
      <c r="AA208" s="44" t="s">
        <v>239</v>
      </c>
      <c r="AB208" s="44" t="s">
        <v>239</v>
      </c>
      <c r="AC208" s="44" t="s">
        <v>239</v>
      </c>
      <c r="AD208" s="23" t="e">
        <f>VLOOKUP(B:B,库存明细报表10.16!L:P,5,0)</f>
        <v>#N/A</v>
      </c>
      <c r="AE208" s="23" t="e">
        <f>VLOOKUP(B:B,库存明细报表10.16!L:Q,6,0)</f>
        <v>#N/A</v>
      </c>
      <c r="AF208" s="23" t="e">
        <f>VLOOKUP(B:B,库存明细报表10.16!L:T,9,0)</f>
        <v>#N/A</v>
      </c>
      <c r="AG208" s="23">
        <f>VLOOKUP(A:A,进销存报表10.16!A:J,10,0)</f>
        <v>0</v>
      </c>
      <c r="AH208" s="23">
        <f>VLOOKUP(A:A,进销存报表10.16!A:K,11,0)</f>
        <v>4</v>
      </c>
      <c r="AJ208" s="9" t="s">
        <v>239</v>
      </c>
      <c r="AL208" s="18" t="s">
        <v>239</v>
      </c>
      <c r="AN208" s="44" t="e">
        <f t="shared" si="6"/>
        <v>#VALUE!</v>
      </c>
    </row>
    <row r="209" customHeight="1" spans="1:40">
      <c r="A209" s="15" t="s">
        <v>677</v>
      </c>
      <c r="B209" s="15" t="s">
        <v>678</v>
      </c>
      <c r="C209" s="15" t="s">
        <v>679</v>
      </c>
      <c r="D209" s="23" t="s">
        <v>211</v>
      </c>
      <c r="F209" s="23" t="s">
        <v>344</v>
      </c>
      <c r="G209" s="23" t="s">
        <v>239</v>
      </c>
      <c r="H209" s="43" t="s">
        <v>239</v>
      </c>
      <c r="J209" s="9">
        <v>55.99</v>
      </c>
      <c r="K209" s="9">
        <v>32.02</v>
      </c>
      <c r="O209" s="23" t="s">
        <v>239</v>
      </c>
      <c r="P209" s="23" t="s">
        <v>239</v>
      </c>
      <c r="Q209" s="23" t="s">
        <v>239</v>
      </c>
      <c r="R209" s="23" t="s">
        <v>239</v>
      </c>
      <c r="S209" s="9">
        <v>0</v>
      </c>
      <c r="T209" s="9">
        <v>0</v>
      </c>
      <c r="U209" s="9">
        <v>0</v>
      </c>
      <c r="V209" s="45" t="s">
        <v>239</v>
      </c>
      <c r="W209" s="44" t="s">
        <v>239</v>
      </c>
      <c r="X209" s="44" t="s">
        <v>239</v>
      </c>
      <c r="Y209" s="44" t="s">
        <v>239</v>
      </c>
      <c r="Z209" s="44" t="s">
        <v>239</v>
      </c>
      <c r="AA209" s="44" t="s">
        <v>239</v>
      </c>
      <c r="AB209" s="44">
        <v>0</v>
      </c>
      <c r="AC209" s="44" t="s">
        <v>69</v>
      </c>
      <c r="AD209" s="23" t="e">
        <f>VLOOKUP(B:B,库存明细报表10.16!L:P,5,0)</f>
        <v>#N/A</v>
      </c>
      <c r="AE209" s="23" t="e">
        <f>VLOOKUP(B:B,库存明细报表10.16!L:Q,6,0)</f>
        <v>#N/A</v>
      </c>
      <c r="AF209" s="23" t="e">
        <f>VLOOKUP(B:B,库存明细报表10.16!L:T,9,0)</f>
        <v>#N/A</v>
      </c>
      <c r="AG209" s="23">
        <f>VLOOKUP(A:A,进销存报表10.16!A:J,10,0)</f>
        <v>23</v>
      </c>
      <c r="AH209" s="23">
        <f>VLOOKUP(A:A,进销存报表10.16!A:K,11,0)</f>
        <v>0</v>
      </c>
      <c r="AJ209" s="9" t="s">
        <v>239</v>
      </c>
      <c r="AL209" s="18" t="s">
        <v>239</v>
      </c>
      <c r="AN209" s="44" t="e">
        <f t="shared" si="6"/>
        <v>#VALUE!</v>
      </c>
    </row>
    <row r="210" customHeight="1" spans="1:40">
      <c r="A210" s="15" t="s">
        <v>680</v>
      </c>
      <c r="B210" s="15" t="s">
        <v>681</v>
      </c>
      <c r="C210" s="15" t="s">
        <v>682</v>
      </c>
      <c r="D210" s="23" t="s">
        <v>211</v>
      </c>
      <c r="F210" s="23" t="s">
        <v>344</v>
      </c>
      <c r="G210" s="23" t="s">
        <v>239</v>
      </c>
      <c r="H210" s="43" t="s">
        <v>239</v>
      </c>
      <c r="J210" s="9">
        <v>35.99</v>
      </c>
      <c r="K210" s="9">
        <v>18.7</v>
      </c>
      <c r="O210" s="23" t="s">
        <v>239</v>
      </c>
      <c r="P210" s="23" t="s">
        <v>239</v>
      </c>
      <c r="Q210" s="23" t="s">
        <v>239</v>
      </c>
      <c r="R210" s="23" t="s">
        <v>239</v>
      </c>
      <c r="S210" s="9">
        <v>0</v>
      </c>
      <c r="T210" s="9">
        <v>2</v>
      </c>
      <c r="U210" s="9">
        <v>0</v>
      </c>
      <c r="V210" s="45" t="s">
        <v>239</v>
      </c>
      <c r="W210" s="44" t="s">
        <v>239</v>
      </c>
      <c r="X210" s="44" t="s">
        <v>239</v>
      </c>
      <c r="Y210" s="44" t="s">
        <v>239</v>
      </c>
      <c r="Z210" s="44" t="s">
        <v>239</v>
      </c>
      <c r="AA210" s="44" t="s">
        <v>239</v>
      </c>
      <c r="AB210" s="44">
        <v>0.5</v>
      </c>
      <c r="AC210" s="44" t="s">
        <v>69</v>
      </c>
      <c r="AD210" s="23" t="e">
        <f>VLOOKUP(B:B,库存明细报表10.16!L:P,5,0)</f>
        <v>#N/A</v>
      </c>
      <c r="AE210" s="23" t="e">
        <f>VLOOKUP(B:B,库存明细报表10.16!L:Q,6,0)</f>
        <v>#N/A</v>
      </c>
      <c r="AF210" s="23" t="e">
        <f>VLOOKUP(B:B,库存明细报表10.16!L:T,9,0)</f>
        <v>#N/A</v>
      </c>
      <c r="AG210" s="23">
        <f>VLOOKUP(A:A,进销存报表10.16!A:J,10,0)</f>
        <v>13</v>
      </c>
      <c r="AH210" s="23">
        <f>VLOOKUP(A:A,进销存报表10.16!A:K,11,0)</f>
        <v>0</v>
      </c>
      <c r="AJ210" s="9" t="s">
        <v>239</v>
      </c>
      <c r="AL210" s="18" t="s">
        <v>239</v>
      </c>
      <c r="AN210" s="44" t="e">
        <f t="shared" si="6"/>
        <v>#VALUE!</v>
      </c>
    </row>
    <row r="211" customHeight="1" spans="1:40">
      <c r="A211" s="15" t="s">
        <v>683</v>
      </c>
      <c r="B211" s="15" t="s">
        <v>684</v>
      </c>
      <c r="C211" s="15" t="s">
        <v>685</v>
      </c>
      <c r="D211" s="23" t="s">
        <v>211</v>
      </c>
      <c r="F211" s="23" t="s">
        <v>344</v>
      </c>
      <c r="G211" s="23" t="s">
        <v>239</v>
      </c>
      <c r="H211" s="43" t="s">
        <v>239</v>
      </c>
      <c r="J211" s="9">
        <v>54.99</v>
      </c>
      <c r="K211" s="9">
        <v>32.53</v>
      </c>
      <c r="O211" s="23" t="s">
        <v>239</v>
      </c>
      <c r="P211" s="23" t="s">
        <v>239</v>
      </c>
      <c r="Q211" s="23" t="s">
        <v>239</v>
      </c>
      <c r="R211" s="23" t="s">
        <v>239</v>
      </c>
      <c r="S211" s="9">
        <v>0</v>
      </c>
      <c r="T211" s="9">
        <v>1</v>
      </c>
      <c r="U211" s="9">
        <v>0</v>
      </c>
      <c r="V211" s="45" t="s">
        <v>239</v>
      </c>
      <c r="W211" s="44" t="s">
        <v>239</v>
      </c>
      <c r="X211" s="44">
        <v>0.24167648</v>
      </c>
      <c r="Y211" s="44">
        <v>0</v>
      </c>
      <c r="Z211" s="44">
        <v>0.023483366</v>
      </c>
      <c r="AA211" s="44">
        <v>0.062622309</v>
      </c>
      <c r="AB211" s="44">
        <v>0.166666667</v>
      </c>
      <c r="AC211" s="44">
        <v>0.333309335</v>
      </c>
      <c r="AD211" s="23" t="e">
        <f>VLOOKUP(B:B,库存明细报表10.16!L:P,5,0)</f>
        <v>#N/A</v>
      </c>
      <c r="AE211" s="23" t="e">
        <f>VLOOKUP(B:B,库存明细报表10.16!L:Q,6,0)</f>
        <v>#N/A</v>
      </c>
      <c r="AF211" s="23" t="e">
        <f>VLOOKUP(B:B,库存明细报表10.16!L:T,9,0)</f>
        <v>#N/A</v>
      </c>
      <c r="AG211" s="23">
        <f>VLOOKUP(A:A,进销存报表10.16!A:J,10,0)</f>
        <v>11</v>
      </c>
      <c r="AH211" s="23">
        <f>VLOOKUP(A:A,进销存报表10.16!A:K,11,0)</f>
        <v>4</v>
      </c>
      <c r="AJ211" s="9" t="s">
        <v>239</v>
      </c>
      <c r="AL211" s="18" t="s">
        <v>239</v>
      </c>
      <c r="AN211" s="44" t="e">
        <f t="shared" si="6"/>
        <v>#VALUE!</v>
      </c>
    </row>
    <row r="212" customHeight="1" spans="1:40">
      <c r="A212" s="15" t="s">
        <v>686</v>
      </c>
      <c r="B212" s="15" t="s">
        <v>687</v>
      </c>
      <c r="C212" s="15" t="s">
        <v>688</v>
      </c>
      <c r="D212" s="23" t="s">
        <v>211</v>
      </c>
      <c r="F212" s="23" t="s">
        <v>344</v>
      </c>
      <c r="G212" s="23" t="s">
        <v>239</v>
      </c>
      <c r="H212" s="43" t="s">
        <v>239</v>
      </c>
      <c r="J212" s="9">
        <v>27.99</v>
      </c>
      <c r="K212" s="9">
        <v>12.94</v>
      </c>
      <c r="O212" s="23" t="s">
        <v>239</v>
      </c>
      <c r="P212" s="23" t="s">
        <v>239</v>
      </c>
      <c r="Q212" s="23" t="s">
        <v>239</v>
      </c>
      <c r="R212" s="23" t="s">
        <v>239</v>
      </c>
      <c r="S212" s="9">
        <v>0</v>
      </c>
      <c r="T212" s="9">
        <v>0</v>
      </c>
      <c r="U212" s="9">
        <v>0</v>
      </c>
      <c r="V212" s="45" t="s">
        <v>239</v>
      </c>
      <c r="W212" s="44" t="s">
        <v>239</v>
      </c>
      <c r="X212" s="44">
        <v>0</v>
      </c>
      <c r="Y212" s="44">
        <v>0</v>
      </c>
      <c r="Z212" s="44" t="s">
        <v>69</v>
      </c>
      <c r="AA212" s="44" t="s">
        <v>69</v>
      </c>
      <c r="AB212" s="44">
        <v>0</v>
      </c>
      <c r="AC212" s="44">
        <v>0</v>
      </c>
      <c r="AD212" s="23" t="e">
        <f>VLOOKUP(B:B,库存明细报表10.16!L:P,5,0)</f>
        <v>#N/A</v>
      </c>
      <c r="AE212" s="23" t="e">
        <f>VLOOKUP(B:B,库存明细报表10.16!L:Q,6,0)</f>
        <v>#N/A</v>
      </c>
      <c r="AF212" s="23" t="e">
        <f>VLOOKUP(B:B,库存明细报表10.16!L:T,9,0)</f>
        <v>#N/A</v>
      </c>
      <c r="AG212" s="23">
        <f>VLOOKUP(A:A,进销存报表10.16!A:J,10,0)</f>
        <v>12</v>
      </c>
      <c r="AH212" s="23">
        <f>VLOOKUP(A:A,进销存报表10.16!A:K,11,0)</f>
        <v>8</v>
      </c>
      <c r="AJ212" s="9" t="s">
        <v>239</v>
      </c>
      <c r="AL212" s="18" t="s">
        <v>239</v>
      </c>
      <c r="AN212" s="44" t="e">
        <f t="shared" si="6"/>
        <v>#VALUE!</v>
      </c>
    </row>
    <row r="213" customHeight="1" spans="1:40">
      <c r="A213" s="15" t="s">
        <v>689</v>
      </c>
      <c r="B213" s="15" t="s">
        <v>690</v>
      </c>
      <c r="C213" s="15" t="s">
        <v>691</v>
      </c>
      <c r="D213" s="23" t="s">
        <v>211</v>
      </c>
      <c r="F213" s="23" t="s">
        <v>45</v>
      </c>
      <c r="G213" s="23" t="s">
        <v>239</v>
      </c>
      <c r="H213" s="43" t="s">
        <v>239</v>
      </c>
      <c r="J213" s="9">
        <v>113.54</v>
      </c>
      <c r="K213" s="9">
        <v>73.94</v>
      </c>
      <c r="O213" s="23" t="s">
        <v>239</v>
      </c>
      <c r="P213" s="23" t="s">
        <v>239</v>
      </c>
      <c r="Q213" s="23" t="s">
        <v>239</v>
      </c>
      <c r="R213" s="23" t="s">
        <v>239</v>
      </c>
      <c r="S213" s="9">
        <v>0</v>
      </c>
      <c r="T213" s="9">
        <v>0</v>
      </c>
      <c r="U213" s="9">
        <v>0</v>
      </c>
      <c r="V213" s="45" t="s">
        <v>239</v>
      </c>
      <c r="W213" s="44" t="s">
        <v>239</v>
      </c>
      <c r="X213" s="44" t="s">
        <v>239</v>
      </c>
      <c r="Y213" s="44" t="s">
        <v>239</v>
      </c>
      <c r="Z213" s="44" t="s">
        <v>239</v>
      </c>
      <c r="AA213" s="44" t="s">
        <v>239</v>
      </c>
      <c r="AB213" s="44">
        <v>0</v>
      </c>
      <c r="AC213" s="44" t="s">
        <v>69</v>
      </c>
      <c r="AD213" s="23" t="e">
        <f>VLOOKUP(B:B,库存明细报表10.16!L:P,5,0)</f>
        <v>#N/A</v>
      </c>
      <c r="AE213" s="23" t="e">
        <f>VLOOKUP(B:B,库存明细报表10.16!L:Q,6,0)</f>
        <v>#N/A</v>
      </c>
      <c r="AF213" s="23" t="e">
        <f>VLOOKUP(B:B,库存明细报表10.16!L:T,9,0)</f>
        <v>#N/A</v>
      </c>
      <c r="AG213" s="23">
        <f>VLOOKUP(A:A,进销存报表10.16!A:J,10,0)</f>
        <v>1</v>
      </c>
      <c r="AH213" s="23">
        <f>VLOOKUP(A:A,进销存报表10.16!A:K,11,0)</f>
        <v>4</v>
      </c>
      <c r="AJ213" s="9" t="s">
        <v>239</v>
      </c>
      <c r="AL213" s="18" t="s">
        <v>239</v>
      </c>
      <c r="AN213" s="44" t="e">
        <f t="shared" si="6"/>
        <v>#VALUE!</v>
      </c>
    </row>
    <row r="214" customHeight="1" spans="1:40">
      <c r="A214" s="15" t="s">
        <v>692</v>
      </c>
      <c r="B214" s="15" t="s">
        <v>693</v>
      </c>
      <c r="C214" s="15" t="s">
        <v>694</v>
      </c>
      <c r="D214" s="23" t="s">
        <v>211</v>
      </c>
      <c r="F214" s="23" t="s">
        <v>45</v>
      </c>
      <c r="G214" s="23" t="s">
        <v>239</v>
      </c>
      <c r="H214" s="43" t="s">
        <v>239</v>
      </c>
      <c r="J214" s="9">
        <v>104.99</v>
      </c>
      <c r="K214" s="9">
        <v>68.2</v>
      </c>
      <c r="O214" s="23" t="s">
        <v>239</v>
      </c>
      <c r="P214" s="23" t="s">
        <v>239</v>
      </c>
      <c r="Q214" s="23" t="s">
        <v>239</v>
      </c>
      <c r="R214" s="9">
        <v>1</v>
      </c>
      <c r="S214" s="9">
        <v>0</v>
      </c>
      <c r="T214" s="9">
        <v>2</v>
      </c>
      <c r="U214" s="9">
        <v>0</v>
      </c>
      <c r="V214" s="45" t="s">
        <v>239</v>
      </c>
      <c r="W214" s="44" t="s">
        <v>239</v>
      </c>
      <c r="X214" s="44">
        <v>0.057047307</v>
      </c>
      <c r="Y214" s="44">
        <v>0</v>
      </c>
      <c r="Z214" s="44">
        <v>0.021460569</v>
      </c>
      <c r="AA214" s="44">
        <v>0.22377331</v>
      </c>
      <c r="AB214" s="44">
        <v>0.083333333</v>
      </c>
      <c r="AC214" s="44">
        <v>0</v>
      </c>
      <c r="AD214" s="23" t="e">
        <f>VLOOKUP(B:B,库存明细报表10.16!L:P,5,0)</f>
        <v>#N/A</v>
      </c>
      <c r="AE214" s="23" t="e">
        <f>VLOOKUP(B:B,库存明细报表10.16!L:Q,6,0)</f>
        <v>#N/A</v>
      </c>
      <c r="AF214" s="23" t="e">
        <f>VLOOKUP(B:B,库存明细报表10.16!L:T,9,0)</f>
        <v>#N/A</v>
      </c>
      <c r="AG214" s="23">
        <f>VLOOKUP(A:A,进销存报表10.16!A:J,10,0)</f>
        <v>2</v>
      </c>
      <c r="AH214" s="23">
        <f>VLOOKUP(A:A,进销存报表10.16!A:K,11,0)</f>
        <v>0</v>
      </c>
      <c r="AJ214" s="9" t="s">
        <v>239</v>
      </c>
      <c r="AL214" s="18" t="s">
        <v>239</v>
      </c>
      <c r="AN214" s="44" t="e">
        <f t="shared" si="6"/>
        <v>#VALUE!</v>
      </c>
    </row>
    <row r="215" customHeight="1" spans="1:40">
      <c r="A215" s="15" t="s">
        <v>695</v>
      </c>
      <c r="B215" s="15" t="s">
        <v>696</v>
      </c>
      <c r="C215" s="15" t="s">
        <v>697</v>
      </c>
      <c r="D215" s="23" t="s">
        <v>211</v>
      </c>
      <c r="F215" s="23" t="s">
        <v>45</v>
      </c>
      <c r="G215" s="23" t="s">
        <v>239</v>
      </c>
      <c r="H215" s="43" t="s">
        <v>239</v>
      </c>
      <c r="J215" s="9">
        <v>35.99</v>
      </c>
      <c r="K215" s="9">
        <v>17.86</v>
      </c>
      <c r="O215" s="23" t="s">
        <v>239</v>
      </c>
      <c r="P215" s="23" t="s">
        <v>239</v>
      </c>
      <c r="Q215" s="23" t="s">
        <v>239</v>
      </c>
      <c r="R215" s="23" t="s">
        <v>239</v>
      </c>
      <c r="S215" s="9">
        <v>0</v>
      </c>
      <c r="T215" s="9">
        <v>4</v>
      </c>
      <c r="U215" s="9">
        <v>0</v>
      </c>
      <c r="V215" s="45" t="s">
        <v>239</v>
      </c>
      <c r="W215" s="44" t="s">
        <v>239</v>
      </c>
      <c r="X215" s="44">
        <v>0.307334758</v>
      </c>
      <c r="Y215" s="44">
        <v>0</v>
      </c>
      <c r="Z215" s="44">
        <v>0.031358215</v>
      </c>
      <c r="AA215" s="44">
        <v>0</v>
      </c>
      <c r="AB215" s="44">
        <v>0.181818182</v>
      </c>
      <c r="AC215" s="44">
        <v>0.285685554</v>
      </c>
      <c r="AD215" s="23" t="e">
        <f>VLOOKUP(B:B,库存明细报表10.16!L:P,5,0)</f>
        <v>#N/A</v>
      </c>
      <c r="AE215" s="23" t="e">
        <f>VLOOKUP(B:B,库存明细报表10.16!L:Q,6,0)</f>
        <v>#N/A</v>
      </c>
      <c r="AF215" s="23" t="e">
        <f>VLOOKUP(B:B,库存明细报表10.16!L:T,9,0)</f>
        <v>#N/A</v>
      </c>
      <c r="AG215" s="23">
        <f>VLOOKUP(A:A,进销存报表10.16!A:J,10,0)</f>
        <v>6</v>
      </c>
      <c r="AH215" s="23">
        <f>VLOOKUP(A:A,进销存报表10.16!A:K,11,0)</f>
        <v>6</v>
      </c>
      <c r="AJ215" s="9" t="s">
        <v>239</v>
      </c>
      <c r="AL215" s="18" t="s">
        <v>239</v>
      </c>
      <c r="AN215" s="44" t="e">
        <f t="shared" si="6"/>
        <v>#VALUE!</v>
      </c>
    </row>
  </sheetData>
  <autoFilter xmlns:etc="http://www.wps.cn/officeDocument/2017/etCustomData" ref="A1:XFD1048576" etc:filterBottomFollowUsedRange="0">
    <extLst/>
  </autoFilter>
  <conditionalFormatting sqref="A$1:A$1048576">
    <cfRule type="duplicateValues" dxfId="0" priority="1"/>
  </conditionalFormatting>
  <conditionalFormatting sqref="B$1:B$1048576">
    <cfRule type="duplicateValues" dxfId="0" priority="2"/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T101"/>
  <sheetViews>
    <sheetView workbookViewId="0">
      <pane xSplit="6" ySplit="1" topLeftCell="G2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sheetData>
    <row r="1" customHeight="1" spans="1:46">
      <c r="A1" s="15" t="s">
        <v>698</v>
      </c>
      <c r="B1" s="15" t="s">
        <v>699</v>
      </c>
      <c r="C1" s="15" t="s">
        <v>700</v>
      </c>
      <c r="D1" s="15" t="s">
        <v>701</v>
      </c>
      <c r="E1" s="15" t="s">
        <v>702</v>
      </c>
      <c r="F1" s="15" t="s">
        <v>703</v>
      </c>
      <c r="G1" s="15" t="s">
        <v>704</v>
      </c>
      <c r="H1" s="15" t="s">
        <v>705</v>
      </c>
      <c r="I1" s="15" t="s">
        <v>706</v>
      </c>
      <c r="J1" s="15" t="s">
        <v>707</v>
      </c>
      <c r="K1" s="15" t="s">
        <v>29</v>
      </c>
      <c r="L1" s="15" t="s">
        <v>31</v>
      </c>
      <c r="M1" s="15" t="s">
        <v>708</v>
      </c>
      <c r="N1" s="15" t="s">
        <v>709</v>
      </c>
      <c r="O1" s="15" t="s">
        <v>710</v>
      </c>
      <c r="P1" s="15" t="s">
        <v>711</v>
      </c>
      <c r="Q1" s="15" t="s">
        <v>712</v>
      </c>
      <c r="R1" s="15" t="s">
        <v>713</v>
      </c>
      <c r="S1" s="15" t="s">
        <v>714</v>
      </c>
      <c r="T1" s="15" t="s">
        <v>715</v>
      </c>
      <c r="U1" s="15" t="s">
        <v>716</v>
      </c>
      <c r="V1" s="15" t="s">
        <v>717</v>
      </c>
      <c r="W1" s="15" t="s">
        <v>718</v>
      </c>
      <c r="X1" s="15" t="s">
        <v>719</v>
      </c>
      <c r="Y1" s="15" t="s">
        <v>720</v>
      </c>
      <c r="Z1" s="15" t="s">
        <v>721</v>
      </c>
      <c r="AA1" s="15" t="s">
        <v>722</v>
      </c>
      <c r="AB1" s="15" t="s">
        <v>723</v>
      </c>
      <c r="AC1" s="15" t="s">
        <v>724</v>
      </c>
      <c r="AD1" s="15" t="s">
        <v>725</v>
      </c>
      <c r="AE1" s="15" t="s">
        <v>726</v>
      </c>
      <c r="AF1" s="15" t="s">
        <v>727</v>
      </c>
      <c r="AG1" s="15" t="s">
        <v>728</v>
      </c>
      <c r="AH1" s="15" t="s">
        <v>729</v>
      </c>
      <c r="AI1" s="15" t="s">
        <v>730</v>
      </c>
      <c r="AJ1" s="15" t="s">
        <v>731</v>
      </c>
      <c r="AK1" s="15" t="s">
        <v>732</v>
      </c>
      <c r="AL1" s="15" t="s">
        <v>733</v>
      </c>
      <c r="AM1" s="15" t="s">
        <v>734</v>
      </c>
      <c r="AN1" s="15" t="s">
        <v>735</v>
      </c>
      <c r="AO1" s="15" t="s">
        <v>736</v>
      </c>
      <c r="AP1" s="15" t="s">
        <v>737</v>
      </c>
      <c r="AQ1" s="15" t="s">
        <v>738</v>
      </c>
      <c r="AR1" s="15" t="s">
        <v>739</v>
      </c>
      <c r="AS1" s="15" t="s">
        <v>740</v>
      </c>
      <c r="AT1" s="15" t="s">
        <v>741</v>
      </c>
    </row>
    <row r="2" customHeight="1" spans="1:2">
      <c r="A2" s="15" t="s">
        <v>742</v>
      </c>
      <c r="B2" s="15" t="s">
        <v>743</v>
      </c>
    </row>
    <row r="3" customHeight="1" spans="1:45">
      <c r="A3" s="15" t="s">
        <v>742</v>
      </c>
      <c r="B3" s="15" t="s">
        <v>184</v>
      </c>
      <c r="C3" s="15" t="s">
        <v>185</v>
      </c>
      <c r="D3" s="15" t="s">
        <v>744</v>
      </c>
      <c r="E3" s="15" t="s">
        <v>745</v>
      </c>
      <c r="F3" s="15" t="s">
        <v>746</v>
      </c>
      <c r="G3" s="15" t="s">
        <v>747</v>
      </c>
      <c r="H3" s="15" t="s">
        <v>748</v>
      </c>
      <c r="I3" s="15" t="s">
        <v>749</v>
      </c>
      <c r="J3" s="15" t="s">
        <v>750</v>
      </c>
      <c r="K3" s="15" t="s">
        <v>751</v>
      </c>
      <c r="L3" s="15" t="s">
        <v>752</v>
      </c>
      <c r="M3" s="15" t="s">
        <v>753</v>
      </c>
      <c r="N3" s="15" t="s">
        <v>754</v>
      </c>
      <c r="O3" s="15" t="s">
        <v>755</v>
      </c>
      <c r="P3" s="15" t="s">
        <v>756</v>
      </c>
      <c r="Q3" s="15" t="s">
        <v>757</v>
      </c>
      <c r="R3" s="15" t="s">
        <v>758</v>
      </c>
      <c r="S3" s="15" t="s">
        <v>759</v>
      </c>
      <c r="T3" s="15" t="s">
        <v>760</v>
      </c>
      <c r="U3" s="15" t="s">
        <v>761</v>
      </c>
      <c r="V3" s="15" t="s">
        <v>762</v>
      </c>
      <c r="W3" s="15" t="s">
        <v>763</v>
      </c>
      <c r="X3" s="15" t="s">
        <v>764</v>
      </c>
      <c r="Y3" s="15" t="s">
        <v>765</v>
      </c>
      <c r="Z3" s="15" t="s">
        <v>766</v>
      </c>
      <c r="AA3" s="15" t="s">
        <v>767</v>
      </c>
      <c r="AB3" s="15" t="s">
        <v>768</v>
      </c>
      <c r="AC3" s="15" t="s">
        <v>769</v>
      </c>
      <c r="AD3" s="15" t="s">
        <v>770</v>
      </c>
      <c r="AE3" s="15" t="s">
        <v>771</v>
      </c>
      <c r="AF3" s="15" t="s">
        <v>772</v>
      </c>
      <c r="AG3" s="15" t="s">
        <v>773</v>
      </c>
      <c r="AH3" s="15" t="s">
        <v>774</v>
      </c>
      <c r="AI3" s="15" t="s">
        <v>775</v>
      </c>
      <c r="AJ3" s="15" t="s">
        <v>776</v>
      </c>
      <c r="AK3" s="15" t="s">
        <v>777</v>
      </c>
      <c r="AL3" s="15" t="s">
        <v>778</v>
      </c>
      <c r="AM3" s="15" t="s">
        <v>779</v>
      </c>
      <c r="AN3" s="15" t="s">
        <v>780</v>
      </c>
      <c r="AO3" s="15" t="s">
        <v>781</v>
      </c>
      <c r="AP3" s="15" t="s">
        <v>782</v>
      </c>
      <c r="AQ3" s="15" t="s">
        <v>783</v>
      </c>
      <c r="AR3" s="15" t="s">
        <v>784</v>
      </c>
      <c r="AS3" s="15" t="s">
        <v>785</v>
      </c>
    </row>
    <row r="4" customHeight="1" spans="1:46">
      <c r="A4" s="15" t="s">
        <v>742</v>
      </c>
      <c r="B4" s="15" t="s">
        <v>212</v>
      </c>
      <c r="C4" s="15" t="s">
        <v>213</v>
      </c>
      <c r="D4" s="15" t="s">
        <v>786</v>
      </c>
      <c r="E4" s="15" t="s">
        <v>787</v>
      </c>
      <c r="F4" s="15" t="s">
        <v>788</v>
      </c>
      <c r="G4" s="15" t="s">
        <v>789</v>
      </c>
      <c r="H4" s="15" t="s">
        <v>789</v>
      </c>
      <c r="J4" s="15" t="s">
        <v>789</v>
      </c>
      <c r="K4" s="15" t="s">
        <v>790</v>
      </c>
      <c r="L4" s="15" t="s">
        <v>791</v>
      </c>
      <c r="M4" s="15" t="s">
        <v>761</v>
      </c>
      <c r="N4" s="15" t="s">
        <v>792</v>
      </c>
      <c r="O4" s="15" t="s">
        <v>793</v>
      </c>
      <c r="P4" s="15" t="s">
        <v>794</v>
      </c>
      <c r="Q4" s="15" t="s">
        <v>795</v>
      </c>
      <c r="T4" s="15" t="s">
        <v>789</v>
      </c>
      <c r="U4" s="15" t="s">
        <v>793</v>
      </c>
      <c r="V4" s="15" t="s">
        <v>789</v>
      </c>
      <c r="W4" s="15" t="s">
        <v>763</v>
      </c>
      <c r="X4" s="15" t="s">
        <v>796</v>
      </c>
      <c r="Y4" s="15" t="s">
        <v>789</v>
      </c>
      <c r="Z4" s="15" t="s">
        <v>789</v>
      </c>
      <c r="AA4" s="15" t="s">
        <v>789</v>
      </c>
      <c r="AB4" s="15" t="s">
        <v>768</v>
      </c>
      <c r="AC4" s="15" t="s">
        <v>789</v>
      </c>
      <c r="AE4" s="15" t="s">
        <v>797</v>
      </c>
      <c r="AF4" s="15" t="s">
        <v>798</v>
      </c>
      <c r="AG4" s="15" t="s">
        <v>799</v>
      </c>
      <c r="AH4" s="15" t="s">
        <v>800</v>
      </c>
      <c r="AM4" s="15" t="s">
        <v>801</v>
      </c>
      <c r="AN4" s="15" t="s">
        <v>789</v>
      </c>
      <c r="AO4" s="15" t="s">
        <v>789</v>
      </c>
      <c r="AT4" s="15" t="s">
        <v>802</v>
      </c>
    </row>
    <row r="5" customHeight="1" spans="1:46">
      <c r="A5" s="15" t="s">
        <v>742</v>
      </c>
      <c r="B5" s="15" t="s">
        <v>178</v>
      </c>
      <c r="C5" s="15" t="s">
        <v>179</v>
      </c>
      <c r="D5" s="15" t="s">
        <v>744</v>
      </c>
      <c r="E5" s="15" t="s">
        <v>787</v>
      </c>
      <c r="F5" s="15" t="s">
        <v>803</v>
      </c>
      <c r="G5" s="15" t="s">
        <v>804</v>
      </c>
      <c r="H5" s="15" t="s">
        <v>748</v>
      </c>
      <c r="I5" s="15" t="s">
        <v>805</v>
      </c>
      <c r="J5" s="15" t="s">
        <v>806</v>
      </c>
      <c r="K5" s="15" t="s">
        <v>807</v>
      </c>
      <c r="L5" s="15" t="s">
        <v>796</v>
      </c>
      <c r="M5" s="15" t="s">
        <v>808</v>
      </c>
      <c r="N5" s="15" t="s">
        <v>809</v>
      </c>
      <c r="O5" s="15" t="s">
        <v>810</v>
      </c>
      <c r="P5" s="15" t="s">
        <v>756</v>
      </c>
      <c r="Q5" s="15" t="s">
        <v>811</v>
      </c>
      <c r="R5" s="15" t="s">
        <v>812</v>
      </c>
      <c r="S5" s="15" t="s">
        <v>813</v>
      </c>
      <c r="T5" s="15" t="s">
        <v>814</v>
      </c>
      <c r="U5" s="15" t="s">
        <v>761</v>
      </c>
      <c r="V5" s="15" t="s">
        <v>815</v>
      </c>
      <c r="W5" s="15" t="s">
        <v>763</v>
      </c>
      <c r="X5" s="15" t="s">
        <v>816</v>
      </c>
      <c r="Y5" s="15" t="s">
        <v>817</v>
      </c>
      <c r="Z5" s="15" t="s">
        <v>818</v>
      </c>
      <c r="AA5" s="15" t="s">
        <v>819</v>
      </c>
      <c r="AB5" s="15" t="s">
        <v>768</v>
      </c>
      <c r="AC5" s="15" t="s">
        <v>820</v>
      </c>
      <c r="AD5" s="15" t="s">
        <v>821</v>
      </c>
      <c r="AE5" s="15" t="s">
        <v>822</v>
      </c>
      <c r="AF5" s="15" t="s">
        <v>823</v>
      </c>
      <c r="AG5" s="15" t="s">
        <v>824</v>
      </c>
      <c r="AH5" s="15" t="s">
        <v>825</v>
      </c>
      <c r="AI5" s="15" t="s">
        <v>826</v>
      </c>
      <c r="AJ5" s="15" t="s">
        <v>827</v>
      </c>
      <c r="AK5" s="15" t="s">
        <v>828</v>
      </c>
      <c r="AL5" s="15" t="s">
        <v>778</v>
      </c>
      <c r="AM5" s="15" t="s">
        <v>829</v>
      </c>
      <c r="AN5" s="15" t="s">
        <v>830</v>
      </c>
      <c r="AO5" s="15" t="s">
        <v>831</v>
      </c>
      <c r="AP5" s="15" t="s">
        <v>832</v>
      </c>
      <c r="AQ5" s="15" t="s">
        <v>833</v>
      </c>
      <c r="AR5" s="15" t="s">
        <v>834</v>
      </c>
      <c r="AS5" s="15" t="s">
        <v>785</v>
      </c>
      <c r="AT5" s="15" t="s">
        <v>835</v>
      </c>
    </row>
    <row r="6" customHeight="1" spans="1:46">
      <c r="A6" s="15" t="s">
        <v>742</v>
      </c>
      <c r="B6" s="15" t="s">
        <v>157</v>
      </c>
      <c r="C6" s="15" t="s">
        <v>158</v>
      </c>
      <c r="D6" s="15" t="s">
        <v>744</v>
      </c>
      <c r="E6" s="15" t="s">
        <v>745</v>
      </c>
      <c r="F6" s="15" t="s">
        <v>803</v>
      </c>
      <c r="G6" s="15" t="s">
        <v>804</v>
      </c>
      <c r="H6" s="15" t="s">
        <v>747</v>
      </c>
      <c r="I6" s="15" t="s">
        <v>836</v>
      </c>
      <c r="J6" s="15" t="s">
        <v>806</v>
      </c>
      <c r="K6" s="15" t="s">
        <v>837</v>
      </c>
      <c r="L6" s="15" t="s">
        <v>838</v>
      </c>
      <c r="M6" s="15" t="s">
        <v>753</v>
      </c>
      <c r="N6" s="15" t="s">
        <v>839</v>
      </c>
      <c r="O6" s="15" t="s">
        <v>840</v>
      </c>
      <c r="P6" s="15" t="s">
        <v>841</v>
      </c>
      <c r="Q6" s="15" t="s">
        <v>842</v>
      </c>
      <c r="R6" s="15" t="s">
        <v>843</v>
      </c>
      <c r="S6" s="15" t="s">
        <v>844</v>
      </c>
      <c r="T6" s="15" t="s">
        <v>748</v>
      </c>
      <c r="U6" s="15" t="s">
        <v>790</v>
      </c>
      <c r="V6" s="15" t="s">
        <v>845</v>
      </c>
      <c r="W6" s="15" t="s">
        <v>763</v>
      </c>
      <c r="X6" s="15" t="s">
        <v>846</v>
      </c>
      <c r="Y6" s="15" t="s">
        <v>760</v>
      </c>
      <c r="Z6" s="15" t="s">
        <v>760</v>
      </c>
      <c r="AA6" s="15" t="s">
        <v>847</v>
      </c>
      <c r="AB6" s="15" t="s">
        <v>768</v>
      </c>
      <c r="AC6" s="15" t="s">
        <v>748</v>
      </c>
      <c r="AD6" s="15" t="s">
        <v>848</v>
      </c>
      <c r="AE6" s="15" t="s">
        <v>849</v>
      </c>
      <c r="AF6" s="15" t="s">
        <v>850</v>
      </c>
      <c r="AG6" s="15" t="s">
        <v>851</v>
      </c>
      <c r="AH6" s="15" t="s">
        <v>852</v>
      </c>
      <c r="AI6" s="15" t="s">
        <v>844</v>
      </c>
      <c r="AJ6" s="15" t="s">
        <v>853</v>
      </c>
      <c r="AK6" s="15" t="s">
        <v>854</v>
      </c>
      <c r="AL6" s="15" t="s">
        <v>778</v>
      </c>
      <c r="AM6" s="15" t="s">
        <v>855</v>
      </c>
      <c r="AN6" s="15" t="s">
        <v>760</v>
      </c>
      <c r="AO6" s="15" t="s">
        <v>856</v>
      </c>
      <c r="AP6" s="15" t="s">
        <v>857</v>
      </c>
      <c r="AQ6" s="15" t="s">
        <v>858</v>
      </c>
      <c r="AR6" s="15" t="s">
        <v>859</v>
      </c>
      <c r="AS6" s="15" t="s">
        <v>785</v>
      </c>
      <c r="AT6" s="15" t="s">
        <v>860</v>
      </c>
    </row>
    <row r="7" customHeight="1" spans="1:46">
      <c r="A7" s="15" t="s">
        <v>742</v>
      </c>
      <c r="B7" s="15" t="s">
        <v>230</v>
      </c>
      <c r="C7" s="15" t="s">
        <v>231</v>
      </c>
      <c r="D7" s="15" t="s">
        <v>744</v>
      </c>
      <c r="E7" s="15" t="s">
        <v>745</v>
      </c>
      <c r="F7" s="15" t="s">
        <v>803</v>
      </c>
      <c r="G7" s="15" t="s">
        <v>861</v>
      </c>
      <c r="H7" s="15" t="s">
        <v>862</v>
      </c>
      <c r="I7" s="15" t="s">
        <v>863</v>
      </c>
      <c r="J7" s="15" t="s">
        <v>864</v>
      </c>
      <c r="K7" s="15" t="s">
        <v>865</v>
      </c>
      <c r="L7" s="15" t="s">
        <v>796</v>
      </c>
      <c r="M7" s="15" t="s">
        <v>866</v>
      </c>
      <c r="N7" s="15" t="s">
        <v>867</v>
      </c>
      <c r="O7" s="15" t="s">
        <v>801</v>
      </c>
      <c r="P7" s="15" t="s">
        <v>868</v>
      </c>
      <c r="Q7" s="15" t="s">
        <v>869</v>
      </c>
      <c r="R7" s="15" t="s">
        <v>870</v>
      </c>
      <c r="S7" s="15" t="s">
        <v>871</v>
      </c>
      <c r="T7" s="15" t="s">
        <v>760</v>
      </c>
      <c r="U7" s="15" t="s">
        <v>872</v>
      </c>
      <c r="V7" s="15" t="s">
        <v>873</v>
      </c>
      <c r="W7" s="15" t="s">
        <v>763</v>
      </c>
      <c r="X7" s="15" t="s">
        <v>865</v>
      </c>
      <c r="Y7" s="15" t="s">
        <v>874</v>
      </c>
      <c r="Z7" s="15" t="s">
        <v>875</v>
      </c>
      <c r="AA7" s="15" t="s">
        <v>876</v>
      </c>
      <c r="AB7" s="15" t="s">
        <v>768</v>
      </c>
      <c r="AC7" s="15" t="s">
        <v>877</v>
      </c>
      <c r="AD7" s="15" t="s">
        <v>878</v>
      </c>
      <c r="AE7" s="15" t="s">
        <v>822</v>
      </c>
      <c r="AF7" s="15" t="s">
        <v>879</v>
      </c>
      <c r="AG7" s="15" t="s">
        <v>880</v>
      </c>
      <c r="AH7" s="15" t="s">
        <v>881</v>
      </c>
      <c r="AI7" s="15" t="s">
        <v>882</v>
      </c>
      <c r="AJ7" s="15" t="s">
        <v>883</v>
      </c>
      <c r="AK7" s="15" t="s">
        <v>884</v>
      </c>
      <c r="AL7" s="15" t="s">
        <v>885</v>
      </c>
      <c r="AM7" s="15" t="s">
        <v>886</v>
      </c>
      <c r="AN7" s="15" t="s">
        <v>887</v>
      </c>
      <c r="AO7" s="15" t="s">
        <v>888</v>
      </c>
      <c r="AP7" s="15" t="s">
        <v>832</v>
      </c>
      <c r="AQ7" s="15" t="s">
        <v>833</v>
      </c>
      <c r="AR7" s="15" t="s">
        <v>834</v>
      </c>
      <c r="AS7" s="15" t="s">
        <v>785</v>
      </c>
      <c r="AT7" s="15" t="s">
        <v>889</v>
      </c>
    </row>
    <row r="8" customHeight="1" spans="1:46">
      <c r="A8" s="15" t="s">
        <v>742</v>
      </c>
      <c r="B8" s="15" t="s">
        <v>133</v>
      </c>
      <c r="C8" s="15" t="s">
        <v>134</v>
      </c>
      <c r="D8" s="15" t="s">
        <v>786</v>
      </c>
      <c r="E8" s="15" t="s">
        <v>787</v>
      </c>
      <c r="F8" s="15" t="s">
        <v>788</v>
      </c>
      <c r="G8" s="15" t="s">
        <v>789</v>
      </c>
      <c r="H8" s="15" t="s">
        <v>804</v>
      </c>
      <c r="I8" s="15" t="s">
        <v>890</v>
      </c>
      <c r="J8" s="15" t="s">
        <v>789</v>
      </c>
      <c r="K8" s="15" t="s">
        <v>891</v>
      </c>
      <c r="L8" s="15" t="s">
        <v>838</v>
      </c>
      <c r="M8" s="15" t="s">
        <v>841</v>
      </c>
      <c r="N8" s="15" t="s">
        <v>753</v>
      </c>
      <c r="O8" s="15" t="s">
        <v>791</v>
      </c>
      <c r="P8" s="15" t="s">
        <v>838</v>
      </c>
      <c r="Q8" s="15" t="s">
        <v>892</v>
      </c>
      <c r="R8" s="15" t="s">
        <v>893</v>
      </c>
      <c r="T8" s="15" t="s">
        <v>804</v>
      </c>
      <c r="U8" s="15" t="s">
        <v>894</v>
      </c>
      <c r="V8" s="15" t="s">
        <v>895</v>
      </c>
      <c r="W8" s="15" t="s">
        <v>763</v>
      </c>
      <c r="X8" s="15" t="s">
        <v>896</v>
      </c>
      <c r="Y8" s="15" t="s">
        <v>747</v>
      </c>
      <c r="Z8" s="15" t="s">
        <v>748</v>
      </c>
      <c r="AA8" s="15" t="s">
        <v>897</v>
      </c>
      <c r="AB8" s="15" t="s">
        <v>768</v>
      </c>
      <c r="AC8" s="15" t="s">
        <v>747</v>
      </c>
      <c r="AD8" s="15" t="s">
        <v>898</v>
      </c>
      <c r="AE8" s="15" t="s">
        <v>899</v>
      </c>
      <c r="AF8" s="15" t="s">
        <v>900</v>
      </c>
      <c r="AG8" s="15" t="s">
        <v>901</v>
      </c>
      <c r="AH8" s="15" t="s">
        <v>902</v>
      </c>
      <c r="AI8" s="15" t="s">
        <v>903</v>
      </c>
      <c r="AJ8" s="15" t="s">
        <v>904</v>
      </c>
      <c r="AK8" s="15" t="s">
        <v>905</v>
      </c>
      <c r="AL8" s="15" t="s">
        <v>789</v>
      </c>
      <c r="AM8" s="15" t="s">
        <v>906</v>
      </c>
      <c r="AN8" s="15" t="s">
        <v>907</v>
      </c>
      <c r="AO8" s="15" t="s">
        <v>908</v>
      </c>
      <c r="AP8" s="15" t="s">
        <v>909</v>
      </c>
      <c r="AQ8" s="15" t="s">
        <v>783</v>
      </c>
      <c r="AR8" s="15" t="s">
        <v>910</v>
      </c>
      <c r="AS8" s="15" t="s">
        <v>785</v>
      </c>
      <c r="AT8" s="15" t="s">
        <v>911</v>
      </c>
    </row>
    <row r="9" customHeight="1" spans="1:46">
      <c r="A9" s="15" t="s">
        <v>742</v>
      </c>
      <c r="B9" s="15" t="s">
        <v>115</v>
      </c>
      <c r="C9" s="15" t="s">
        <v>116</v>
      </c>
      <c r="D9" s="15" t="s">
        <v>786</v>
      </c>
      <c r="E9" s="15" t="s">
        <v>787</v>
      </c>
      <c r="F9" s="15" t="s">
        <v>788</v>
      </c>
      <c r="G9" s="15" t="s">
        <v>789</v>
      </c>
      <c r="H9" s="15" t="s">
        <v>789</v>
      </c>
      <c r="J9" s="15" t="s">
        <v>789</v>
      </c>
      <c r="K9" s="15" t="s">
        <v>912</v>
      </c>
      <c r="L9" s="15" t="s">
        <v>838</v>
      </c>
      <c r="M9" s="15" t="s">
        <v>753</v>
      </c>
      <c r="N9" s="15" t="s">
        <v>846</v>
      </c>
      <c r="O9" s="15" t="s">
        <v>793</v>
      </c>
      <c r="P9" s="15" t="s">
        <v>756</v>
      </c>
      <c r="Q9" s="15" t="s">
        <v>913</v>
      </c>
      <c r="R9" s="15" t="s">
        <v>914</v>
      </c>
      <c r="T9" s="15" t="s">
        <v>789</v>
      </c>
      <c r="U9" s="15" t="s">
        <v>837</v>
      </c>
      <c r="V9" s="15" t="s">
        <v>789</v>
      </c>
      <c r="W9" s="15" t="s">
        <v>763</v>
      </c>
      <c r="X9" s="15" t="s">
        <v>840</v>
      </c>
      <c r="Y9" s="15" t="s">
        <v>789</v>
      </c>
      <c r="Z9" s="15" t="s">
        <v>748</v>
      </c>
      <c r="AA9" s="15" t="s">
        <v>789</v>
      </c>
      <c r="AB9" s="15" t="s">
        <v>768</v>
      </c>
      <c r="AC9" s="15" t="s">
        <v>789</v>
      </c>
      <c r="AE9" s="15" t="s">
        <v>915</v>
      </c>
      <c r="AF9" s="15" t="s">
        <v>916</v>
      </c>
      <c r="AG9" s="15" t="s">
        <v>917</v>
      </c>
      <c r="AH9" s="15" t="s">
        <v>918</v>
      </c>
      <c r="AM9" s="15" t="s">
        <v>919</v>
      </c>
      <c r="AN9" s="15" t="s">
        <v>789</v>
      </c>
      <c r="AO9" s="15" t="s">
        <v>789</v>
      </c>
      <c r="AP9" s="15" t="s">
        <v>920</v>
      </c>
      <c r="AQ9" s="15" t="s">
        <v>858</v>
      </c>
      <c r="AR9" s="15" t="s">
        <v>921</v>
      </c>
      <c r="AS9" s="15" t="s">
        <v>785</v>
      </c>
      <c r="AT9" s="15" t="s">
        <v>802</v>
      </c>
    </row>
    <row r="10" customHeight="1" spans="1:46">
      <c r="A10" s="15" t="s">
        <v>742</v>
      </c>
      <c r="B10" s="15" t="s">
        <v>249</v>
      </c>
      <c r="C10" s="15" t="s">
        <v>250</v>
      </c>
      <c r="D10" s="15" t="s">
        <v>786</v>
      </c>
      <c r="E10" s="15" t="s">
        <v>745</v>
      </c>
      <c r="F10" s="15" t="s">
        <v>922</v>
      </c>
      <c r="G10" s="15" t="s">
        <v>804</v>
      </c>
      <c r="H10" s="15" t="s">
        <v>789</v>
      </c>
      <c r="J10" s="15" t="s">
        <v>806</v>
      </c>
      <c r="K10" s="15" t="s">
        <v>838</v>
      </c>
      <c r="L10" s="15" t="s">
        <v>838</v>
      </c>
      <c r="M10" s="15" t="s">
        <v>891</v>
      </c>
      <c r="N10" s="15" t="s">
        <v>755</v>
      </c>
      <c r="O10" s="15" t="s">
        <v>923</v>
      </c>
      <c r="P10" s="15" t="s">
        <v>924</v>
      </c>
      <c r="Q10" s="15" t="s">
        <v>925</v>
      </c>
      <c r="R10" s="15" t="s">
        <v>926</v>
      </c>
      <c r="S10" s="15" t="s">
        <v>789</v>
      </c>
      <c r="T10" s="15" t="s">
        <v>804</v>
      </c>
      <c r="U10" s="15" t="s">
        <v>790</v>
      </c>
      <c r="V10" s="15" t="s">
        <v>927</v>
      </c>
      <c r="W10" s="15" t="s">
        <v>763</v>
      </c>
      <c r="X10" s="15" t="s">
        <v>837</v>
      </c>
      <c r="Y10" s="15" t="s">
        <v>862</v>
      </c>
      <c r="Z10" s="15" t="s">
        <v>862</v>
      </c>
      <c r="AA10" s="15" t="s">
        <v>928</v>
      </c>
      <c r="AB10" s="15" t="s">
        <v>929</v>
      </c>
      <c r="AC10" s="15" t="s">
        <v>930</v>
      </c>
      <c r="AD10" s="15" t="s">
        <v>931</v>
      </c>
      <c r="AE10" s="15" t="s">
        <v>932</v>
      </c>
      <c r="AF10" s="15" t="s">
        <v>933</v>
      </c>
      <c r="AG10" s="15" t="s">
        <v>934</v>
      </c>
      <c r="AH10" s="15" t="s">
        <v>935</v>
      </c>
      <c r="AI10" s="15" t="s">
        <v>936</v>
      </c>
      <c r="AK10" s="15" t="s">
        <v>937</v>
      </c>
      <c r="AL10" s="15" t="s">
        <v>789</v>
      </c>
      <c r="AM10" s="15" t="s">
        <v>938</v>
      </c>
      <c r="AN10" s="15" t="s">
        <v>939</v>
      </c>
      <c r="AO10" s="15" t="s">
        <v>856</v>
      </c>
      <c r="AP10" s="15" t="s">
        <v>940</v>
      </c>
      <c r="AQ10" s="15" t="s">
        <v>941</v>
      </c>
      <c r="AR10" s="15" t="s">
        <v>942</v>
      </c>
      <c r="AS10" s="15" t="s">
        <v>785</v>
      </c>
      <c r="AT10" s="15" t="s">
        <v>943</v>
      </c>
    </row>
    <row r="11" customHeight="1" spans="1:46">
      <c r="A11" s="15" t="s">
        <v>742</v>
      </c>
      <c r="B11" s="15" t="s">
        <v>139</v>
      </c>
      <c r="C11" s="15" t="s">
        <v>140</v>
      </c>
      <c r="D11" s="15" t="s">
        <v>786</v>
      </c>
      <c r="E11" s="15" t="s">
        <v>745</v>
      </c>
      <c r="F11" s="15" t="s">
        <v>922</v>
      </c>
      <c r="G11" s="15" t="s">
        <v>814</v>
      </c>
      <c r="H11" s="15" t="s">
        <v>861</v>
      </c>
      <c r="I11" s="15" t="s">
        <v>845</v>
      </c>
      <c r="J11" s="15" t="s">
        <v>944</v>
      </c>
      <c r="K11" s="15" t="s">
        <v>837</v>
      </c>
      <c r="L11" s="15" t="s">
        <v>838</v>
      </c>
      <c r="M11" s="15" t="s">
        <v>838</v>
      </c>
      <c r="N11" s="15" t="s">
        <v>838</v>
      </c>
      <c r="O11" s="15" t="s">
        <v>945</v>
      </c>
      <c r="P11" s="15" t="s">
        <v>946</v>
      </c>
      <c r="Q11" s="15" t="s">
        <v>947</v>
      </c>
      <c r="R11" s="15" t="s">
        <v>948</v>
      </c>
      <c r="S11" s="15" t="s">
        <v>949</v>
      </c>
      <c r="T11" s="15" t="s">
        <v>769</v>
      </c>
      <c r="U11" s="15" t="s">
        <v>894</v>
      </c>
      <c r="V11" s="15" t="s">
        <v>950</v>
      </c>
      <c r="W11" s="15" t="s">
        <v>763</v>
      </c>
      <c r="X11" s="15" t="s">
        <v>912</v>
      </c>
      <c r="Y11" s="15" t="s">
        <v>951</v>
      </c>
      <c r="Z11" s="15" t="s">
        <v>951</v>
      </c>
      <c r="AA11" s="15" t="s">
        <v>952</v>
      </c>
      <c r="AB11" s="15" t="s">
        <v>929</v>
      </c>
      <c r="AC11" s="15" t="s">
        <v>769</v>
      </c>
      <c r="AD11" s="15" t="s">
        <v>953</v>
      </c>
      <c r="AE11" s="15" t="s">
        <v>954</v>
      </c>
      <c r="AF11" s="15" t="s">
        <v>955</v>
      </c>
      <c r="AG11" s="15" t="s">
        <v>956</v>
      </c>
      <c r="AH11" s="15" t="s">
        <v>957</v>
      </c>
      <c r="AI11" s="15" t="s">
        <v>958</v>
      </c>
      <c r="AJ11" s="15" t="s">
        <v>959</v>
      </c>
      <c r="AK11" s="15" t="s">
        <v>960</v>
      </c>
      <c r="AL11" s="15" t="s">
        <v>961</v>
      </c>
      <c r="AM11" s="15" t="s">
        <v>801</v>
      </c>
      <c r="AN11" s="15" t="s">
        <v>962</v>
      </c>
      <c r="AO11" s="15" t="s">
        <v>831</v>
      </c>
      <c r="AP11" s="15" t="s">
        <v>940</v>
      </c>
      <c r="AQ11" s="15" t="s">
        <v>941</v>
      </c>
      <c r="AR11" s="15" t="s">
        <v>963</v>
      </c>
      <c r="AS11" s="15" t="s">
        <v>785</v>
      </c>
      <c r="AT11" s="15" t="s">
        <v>964</v>
      </c>
    </row>
    <row r="12" customHeight="1" spans="1:41">
      <c r="A12" s="15" t="s">
        <v>742</v>
      </c>
      <c r="B12" s="15" t="s">
        <v>273</v>
      </c>
      <c r="C12" s="15" t="s">
        <v>274</v>
      </c>
      <c r="D12" s="15" t="s">
        <v>786</v>
      </c>
      <c r="E12" s="15" t="s">
        <v>745</v>
      </c>
      <c r="F12" s="15" t="s">
        <v>746</v>
      </c>
      <c r="G12" s="15" t="s">
        <v>861</v>
      </c>
      <c r="H12" s="15" t="s">
        <v>861</v>
      </c>
      <c r="I12" s="15" t="s">
        <v>789</v>
      </c>
      <c r="J12" s="15" t="s">
        <v>864</v>
      </c>
      <c r="K12" s="15" t="s">
        <v>865</v>
      </c>
      <c r="L12" s="15" t="s">
        <v>837</v>
      </c>
      <c r="M12" s="15" t="s">
        <v>807</v>
      </c>
      <c r="N12" s="15" t="s">
        <v>755</v>
      </c>
      <c r="O12" s="15" t="s">
        <v>965</v>
      </c>
      <c r="P12" s="15" t="s">
        <v>838</v>
      </c>
      <c r="Q12" s="15" t="s">
        <v>966</v>
      </c>
      <c r="R12" s="15" t="s">
        <v>884</v>
      </c>
      <c r="S12" s="15" t="s">
        <v>871</v>
      </c>
      <c r="T12" s="15" t="s">
        <v>862</v>
      </c>
      <c r="U12" s="15" t="s">
        <v>837</v>
      </c>
      <c r="V12" s="15" t="s">
        <v>928</v>
      </c>
      <c r="W12" s="15" t="s">
        <v>763</v>
      </c>
      <c r="X12" s="15" t="s">
        <v>872</v>
      </c>
      <c r="Y12" s="15" t="s">
        <v>930</v>
      </c>
      <c r="Z12" s="15" t="s">
        <v>818</v>
      </c>
      <c r="AA12" s="15" t="s">
        <v>967</v>
      </c>
      <c r="AB12" s="15" t="s">
        <v>929</v>
      </c>
      <c r="AC12" s="15" t="s">
        <v>769</v>
      </c>
      <c r="AD12" s="15" t="s">
        <v>968</v>
      </c>
      <c r="AE12" s="15" t="s">
        <v>969</v>
      </c>
      <c r="AF12" s="15" t="s">
        <v>970</v>
      </c>
      <c r="AG12" s="15" t="s">
        <v>971</v>
      </c>
      <c r="AH12" s="15" t="s">
        <v>972</v>
      </c>
      <c r="AI12" s="15" t="s">
        <v>973</v>
      </c>
      <c r="AJ12" s="15" t="s">
        <v>974</v>
      </c>
      <c r="AK12" s="15" t="s">
        <v>975</v>
      </c>
      <c r="AL12" s="15" t="s">
        <v>882</v>
      </c>
      <c r="AM12" s="15" t="s">
        <v>976</v>
      </c>
      <c r="AN12" s="15" t="s">
        <v>977</v>
      </c>
      <c r="AO12" s="15" t="s">
        <v>978</v>
      </c>
    </row>
    <row r="13" customHeight="1" spans="1:46">
      <c r="A13" s="15" t="s">
        <v>742</v>
      </c>
      <c r="B13" s="15" t="s">
        <v>169</v>
      </c>
      <c r="C13" s="15" t="s">
        <v>170</v>
      </c>
      <c r="D13" s="15" t="s">
        <v>786</v>
      </c>
      <c r="E13" s="15" t="s">
        <v>787</v>
      </c>
      <c r="F13" s="15" t="s">
        <v>788</v>
      </c>
      <c r="G13" s="15" t="s">
        <v>789</v>
      </c>
      <c r="H13" s="15" t="s">
        <v>789</v>
      </c>
      <c r="J13" s="15" t="s">
        <v>789</v>
      </c>
      <c r="K13" s="15" t="s">
        <v>755</v>
      </c>
      <c r="L13" s="15" t="s">
        <v>946</v>
      </c>
      <c r="M13" s="15" t="s">
        <v>979</v>
      </c>
      <c r="N13" s="15" t="s">
        <v>980</v>
      </c>
      <c r="O13" s="15" t="s">
        <v>981</v>
      </c>
      <c r="P13" s="15" t="s">
        <v>838</v>
      </c>
      <c r="Q13" s="15" t="s">
        <v>982</v>
      </c>
      <c r="R13" s="15" t="s">
        <v>983</v>
      </c>
      <c r="T13" s="15" t="s">
        <v>789</v>
      </c>
      <c r="U13" s="15" t="s">
        <v>753</v>
      </c>
      <c r="V13" s="15" t="s">
        <v>789</v>
      </c>
      <c r="W13" s="15" t="s">
        <v>763</v>
      </c>
      <c r="X13" s="15" t="s">
        <v>753</v>
      </c>
      <c r="Y13" s="15" t="s">
        <v>804</v>
      </c>
      <c r="Z13" s="15" t="s">
        <v>747</v>
      </c>
      <c r="AA13" s="15" t="s">
        <v>984</v>
      </c>
      <c r="AB13" s="15" t="s">
        <v>768</v>
      </c>
      <c r="AC13" s="15" t="s">
        <v>760</v>
      </c>
      <c r="AD13" s="15" t="s">
        <v>985</v>
      </c>
      <c r="AE13" s="15" t="s">
        <v>986</v>
      </c>
      <c r="AF13" s="15" t="s">
        <v>987</v>
      </c>
      <c r="AG13" s="15" t="s">
        <v>988</v>
      </c>
      <c r="AH13" s="15" t="s">
        <v>989</v>
      </c>
      <c r="AI13" s="15" t="s">
        <v>990</v>
      </c>
      <c r="AJ13" s="15" t="s">
        <v>991</v>
      </c>
      <c r="AK13" s="15" t="s">
        <v>992</v>
      </c>
      <c r="AL13" s="15" t="s">
        <v>789</v>
      </c>
      <c r="AM13" s="15" t="s">
        <v>993</v>
      </c>
      <c r="AN13" s="15" t="s">
        <v>994</v>
      </c>
      <c r="AO13" s="15" t="s">
        <v>995</v>
      </c>
      <c r="AP13" s="15" t="s">
        <v>920</v>
      </c>
      <c r="AQ13" s="15" t="s">
        <v>858</v>
      </c>
      <c r="AR13" s="15" t="s">
        <v>921</v>
      </c>
      <c r="AS13" s="15" t="s">
        <v>785</v>
      </c>
      <c r="AT13" s="15" t="s">
        <v>802</v>
      </c>
    </row>
    <row r="14" customHeight="1" spans="1:46">
      <c r="A14" s="15" t="s">
        <v>742</v>
      </c>
      <c r="B14" s="15" t="s">
        <v>202</v>
      </c>
      <c r="C14" s="15" t="s">
        <v>203</v>
      </c>
      <c r="D14" s="15" t="s">
        <v>786</v>
      </c>
      <c r="E14" s="15" t="s">
        <v>787</v>
      </c>
      <c r="F14" s="15" t="s">
        <v>996</v>
      </c>
      <c r="G14" s="15" t="s">
        <v>861</v>
      </c>
      <c r="H14" s="15" t="s">
        <v>789</v>
      </c>
      <c r="J14" s="15" t="s">
        <v>864</v>
      </c>
      <c r="K14" s="15" t="s">
        <v>997</v>
      </c>
      <c r="L14" s="15" t="s">
        <v>796</v>
      </c>
      <c r="M14" s="15" t="s">
        <v>809</v>
      </c>
      <c r="N14" s="15" t="s">
        <v>891</v>
      </c>
      <c r="O14" s="15" t="s">
        <v>838</v>
      </c>
      <c r="P14" s="15" t="s">
        <v>855</v>
      </c>
      <c r="Q14" s="15" t="s">
        <v>998</v>
      </c>
      <c r="R14" s="15" t="s">
        <v>999</v>
      </c>
      <c r="S14" s="15" t="s">
        <v>1000</v>
      </c>
      <c r="T14" s="15" t="s">
        <v>861</v>
      </c>
      <c r="U14" s="15" t="s">
        <v>793</v>
      </c>
      <c r="V14" s="15" t="s">
        <v>1001</v>
      </c>
      <c r="W14" s="15" t="s">
        <v>763</v>
      </c>
      <c r="X14" s="15" t="s">
        <v>1002</v>
      </c>
      <c r="Y14" s="15" t="s">
        <v>747</v>
      </c>
      <c r="Z14" s="15" t="s">
        <v>747</v>
      </c>
      <c r="AA14" s="15" t="s">
        <v>1003</v>
      </c>
      <c r="AB14" s="15" t="s">
        <v>768</v>
      </c>
      <c r="AC14" s="15" t="s">
        <v>760</v>
      </c>
      <c r="AD14" s="15" t="s">
        <v>1004</v>
      </c>
      <c r="AE14" s="15" t="s">
        <v>899</v>
      </c>
      <c r="AF14" s="15" t="s">
        <v>1005</v>
      </c>
      <c r="AG14" s="15" t="s">
        <v>1006</v>
      </c>
      <c r="AH14" s="15" t="s">
        <v>1007</v>
      </c>
      <c r="AI14" s="15" t="s">
        <v>1008</v>
      </c>
      <c r="AK14" s="15" t="s">
        <v>1009</v>
      </c>
      <c r="AL14" s="15" t="s">
        <v>1010</v>
      </c>
      <c r="AM14" s="15" t="s">
        <v>1011</v>
      </c>
      <c r="AN14" s="15" t="s">
        <v>1012</v>
      </c>
      <c r="AO14" s="15" t="s">
        <v>995</v>
      </c>
      <c r="AT14" s="15" t="s">
        <v>1013</v>
      </c>
    </row>
    <row r="15" customHeight="1" spans="1:46">
      <c r="A15" s="15" t="s">
        <v>742</v>
      </c>
      <c r="B15" s="15" t="s">
        <v>252</v>
      </c>
      <c r="C15" s="15" t="s">
        <v>253</v>
      </c>
      <c r="D15" s="15" t="s">
        <v>786</v>
      </c>
      <c r="E15" s="15" t="s">
        <v>787</v>
      </c>
      <c r="F15" s="15" t="s">
        <v>996</v>
      </c>
      <c r="G15" s="15" t="s">
        <v>804</v>
      </c>
      <c r="H15" s="15" t="s">
        <v>789</v>
      </c>
      <c r="J15" s="15" t="s">
        <v>806</v>
      </c>
      <c r="K15" s="15" t="s">
        <v>837</v>
      </c>
      <c r="L15" s="15" t="s">
        <v>790</v>
      </c>
      <c r="M15" s="15" t="s">
        <v>891</v>
      </c>
      <c r="N15" s="15" t="s">
        <v>840</v>
      </c>
      <c r="O15" s="15" t="s">
        <v>808</v>
      </c>
      <c r="P15" s="15" t="s">
        <v>838</v>
      </c>
      <c r="Q15" s="15" t="s">
        <v>1014</v>
      </c>
      <c r="R15" s="15" t="s">
        <v>1015</v>
      </c>
      <c r="S15" s="15" t="s">
        <v>844</v>
      </c>
      <c r="T15" s="15" t="s">
        <v>804</v>
      </c>
      <c r="U15" s="15" t="s">
        <v>891</v>
      </c>
      <c r="V15" s="15" t="s">
        <v>877</v>
      </c>
      <c r="W15" s="15" t="s">
        <v>763</v>
      </c>
      <c r="X15" s="15" t="s">
        <v>979</v>
      </c>
      <c r="Y15" s="15" t="s">
        <v>814</v>
      </c>
      <c r="Z15" s="15" t="s">
        <v>930</v>
      </c>
      <c r="AA15" s="15" t="s">
        <v>1016</v>
      </c>
      <c r="AB15" s="15" t="s">
        <v>929</v>
      </c>
      <c r="AC15" s="15" t="s">
        <v>778</v>
      </c>
      <c r="AD15" s="15" t="s">
        <v>1017</v>
      </c>
      <c r="AE15" s="15" t="s">
        <v>1018</v>
      </c>
      <c r="AF15" s="15" t="s">
        <v>1019</v>
      </c>
      <c r="AG15" s="15" t="s">
        <v>1020</v>
      </c>
      <c r="AH15" s="15" t="s">
        <v>1021</v>
      </c>
      <c r="AI15" s="15" t="s">
        <v>1022</v>
      </c>
      <c r="AK15" s="15" t="s">
        <v>1023</v>
      </c>
      <c r="AL15" s="15" t="s">
        <v>1024</v>
      </c>
      <c r="AM15" s="15" t="s">
        <v>751</v>
      </c>
      <c r="AN15" s="15" t="s">
        <v>1025</v>
      </c>
      <c r="AO15" s="15" t="s">
        <v>856</v>
      </c>
      <c r="AP15" s="15" t="s">
        <v>857</v>
      </c>
      <c r="AQ15" s="15" t="s">
        <v>858</v>
      </c>
      <c r="AR15" s="15" t="s">
        <v>859</v>
      </c>
      <c r="AS15" s="15" t="s">
        <v>785</v>
      </c>
      <c r="AT15" s="15" t="s">
        <v>1026</v>
      </c>
    </row>
    <row r="16" customHeight="1" spans="1:41">
      <c r="A16" s="15" t="s">
        <v>742</v>
      </c>
      <c r="B16" s="15" t="s">
        <v>172</v>
      </c>
      <c r="C16" s="15" t="s">
        <v>173</v>
      </c>
      <c r="D16" s="15" t="s">
        <v>786</v>
      </c>
      <c r="E16" s="15" t="s">
        <v>745</v>
      </c>
      <c r="F16" s="15" t="s">
        <v>746</v>
      </c>
      <c r="G16" s="15" t="s">
        <v>861</v>
      </c>
      <c r="H16" s="15" t="s">
        <v>789</v>
      </c>
      <c r="J16" s="15" t="s">
        <v>864</v>
      </c>
      <c r="K16" s="15" t="s">
        <v>839</v>
      </c>
      <c r="L16" s="15" t="s">
        <v>838</v>
      </c>
      <c r="M16" s="15" t="s">
        <v>809</v>
      </c>
      <c r="N16" s="15" t="s">
        <v>912</v>
      </c>
      <c r="O16" s="15" t="s">
        <v>1027</v>
      </c>
      <c r="P16" s="15" t="s">
        <v>1028</v>
      </c>
      <c r="Q16" s="15" t="s">
        <v>1029</v>
      </c>
      <c r="R16" s="15" t="s">
        <v>1030</v>
      </c>
      <c r="S16" s="15" t="s">
        <v>1031</v>
      </c>
      <c r="T16" s="15" t="s">
        <v>861</v>
      </c>
      <c r="U16" s="15" t="s">
        <v>894</v>
      </c>
      <c r="V16" s="15" t="s">
        <v>1032</v>
      </c>
      <c r="W16" s="15" t="s">
        <v>763</v>
      </c>
      <c r="X16" s="15" t="s">
        <v>1033</v>
      </c>
      <c r="Y16" s="15" t="s">
        <v>862</v>
      </c>
      <c r="Z16" s="15" t="s">
        <v>862</v>
      </c>
      <c r="AA16" s="15" t="s">
        <v>1031</v>
      </c>
      <c r="AB16" s="15" t="s">
        <v>768</v>
      </c>
      <c r="AC16" s="15" t="s">
        <v>769</v>
      </c>
      <c r="AD16" s="15" t="s">
        <v>1034</v>
      </c>
      <c r="AE16" s="15" t="s">
        <v>1035</v>
      </c>
      <c r="AF16" s="15" t="s">
        <v>1036</v>
      </c>
      <c r="AG16" s="15" t="s">
        <v>1037</v>
      </c>
      <c r="AH16" s="15" t="s">
        <v>1038</v>
      </c>
      <c r="AI16" s="15" t="s">
        <v>1039</v>
      </c>
      <c r="AJ16" s="15" t="s">
        <v>827</v>
      </c>
      <c r="AK16" s="15" t="s">
        <v>1040</v>
      </c>
      <c r="AL16" s="15" t="s">
        <v>1041</v>
      </c>
      <c r="AM16" s="15" t="s">
        <v>1042</v>
      </c>
      <c r="AN16" s="15" t="s">
        <v>1043</v>
      </c>
      <c r="AO16" s="15" t="s">
        <v>806</v>
      </c>
    </row>
    <row r="17" customHeight="1" spans="1:46">
      <c r="A17" s="15" t="s">
        <v>742</v>
      </c>
      <c r="B17" s="15" t="s">
        <v>187</v>
      </c>
      <c r="C17" s="15" t="s">
        <v>188</v>
      </c>
      <c r="D17" s="15" t="s">
        <v>786</v>
      </c>
      <c r="E17" s="15" t="s">
        <v>787</v>
      </c>
      <c r="F17" s="15" t="s">
        <v>996</v>
      </c>
      <c r="G17" s="15" t="s">
        <v>861</v>
      </c>
      <c r="H17" s="15" t="s">
        <v>804</v>
      </c>
      <c r="I17" s="15" t="s">
        <v>873</v>
      </c>
      <c r="J17" s="15" t="s">
        <v>864</v>
      </c>
      <c r="K17" s="15" t="s">
        <v>1044</v>
      </c>
      <c r="L17" s="15" t="s">
        <v>809</v>
      </c>
      <c r="M17" s="15" t="s">
        <v>791</v>
      </c>
      <c r="N17" s="15" t="s">
        <v>945</v>
      </c>
      <c r="O17" s="15" t="s">
        <v>1045</v>
      </c>
      <c r="P17" s="15" t="s">
        <v>752</v>
      </c>
      <c r="Q17" s="15" t="s">
        <v>1046</v>
      </c>
      <c r="R17" s="15" t="s">
        <v>1047</v>
      </c>
      <c r="S17" s="15" t="s">
        <v>1048</v>
      </c>
      <c r="T17" s="15" t="s">
        <v>747</v>
      </c>
      <c r="U17" s="15" t="s">
        <v>761</v>
      </c>
      <c r="V17" s="15" t="s">
        <v>877</v>
      </c>
      <c r="W17" s="15" t="s">
        <v>763</v>
      </c>
      <c r="X17" s="15" t="s">
        <v>839</v>
      </c>
      <c r="Y17" s="15" t="s">
        <v>814</v>
      </c>
      <c r="Z17" s="15" t="s">
        <v>760</v>
      </c>
      <c r="AA17" s="15" t="s">
        <v>1049</v>
      </c>
      <c r="AB17" s="15" t="s">
        <v>768</v>
      </c>
      <c r="AC17" s="15" t="s">
        <v>1050</v>
      </c>
      <c r="AD17" s="15" t="s">
        <v>1051</v>
      </c>
      <c r="AE17" s="15" t="s">
        <v>1052</v>
      </c>
      <c r="AF17" s="15" t="s">
        <v>1006</v>
      </c>
      <c r="AG17" s="15" t="s">
        <v>1053</v>
      </c>
      <c r="AH17" s="15" t="s">
        <v>1054</v>
      </c>
      <c r="AI17" s="15" t="s">
        <v>1055</v>
      </c>
      <c r="AJ17" s="15" t="s">
        <v>854</v>
      </c>
      <c r="AK17" s="15" t="s">
        <v>1056</v>
      </c>
      <c r="AL17" s="15" t="s">
        <v>1057</v>
      </c>
      <c r="AM17" s="15" t="s">
        <v>1011</v>
      </c>
      <c r="AN17" s="15" t="s">
        <v>1058</v>
      </c>
      <c r="AO17" s="15" t="s">
        <v>864</v>
      </c>
      <c r="AT17" s="15" t="s">
        <v>1026</v>
      </c>
    </row>
    <row r="18" customHeight="1" spans="1:46">
      <c r="A18" s="15" t="s">
        <v>742</v>
      </c>
      <c r="B18" s="15" t="s">
        <v>196</v>
      </c>
      <c r="C18" s="15" t="s">
        <v>197</v>
      </c>
      <c r="D18" s="15" t="s">
        <v>744</v>
      </c>
      <c r="E18" s="15" t="s">
        <v>745</v>
      </c>
      <c r="F18" s="15" t="s">
        <v>803</v>
      </c>
      <c r="G18" s="15" t="s">
        <v>804</v>
      </c>
      <c r="H18" s="15" t="s">
        <v>861</v>
      </c>
      <c r="I18" s="15" t="s">
        <v>1059</v>
      </c>
      <c r="J18" s="15" t="s">
        <v>806</v>
      </c>
      <c r="K18" s="15" t="s">
        <v>1060</v>
      </c>
      <c r="L18" s="15" t="s">
        <v>838</v>
      </c>
      <c r="M18" s="15" t="s">
        <v>891</v>
      </c>
      <c r="N18" s="15" t="s">
        <v>1033</v>
      </c>
      <c r="O18" s="15" t="s">
        <v>754</v>
      </c>
      <c r="P18" s="15" t="s">
        <v>855</v>
      </c>
      <c r="Q18" s="15" t="s">
        <v>1061</v>
      </c>
      <c r="R18" s="15" t="s">
        <v>1062</v>
      </c>
      <c r="S18" s="15" t="s">
        <v>1063</v>
      </c>
      <c r="T18" s="15" t="s">
        <v>747</v>
      </c>
      <c r="U18" s="15" t="s">
        <v>793</v>
      </c>
      <c r="V18" s="15" t="s">
        <v>1064</v>
      </c>
      <c r="W18" s="15" t="s">
        <v>763</v>
      </c>
      <c r="X18" s="15" t="s">
        <v>1065</v>
      </c>
      <c r="Y18" s="15" t="s">
        <v>748</v>
      </c>
      <c r="Z18" s="15" t="s">
        <v>817</v>
      </c>
      <c r="AA18" s="15" t="s">
        <v>874</v>
      </c>
      <c r="AB18" s="15" t="s">
        <v>768</v>
      </c>
      <c r="AC18" s="15" t="s">
        <v>748</v>
      </c>
      <c r="AD18" s="15" t="s">
        <v>1066</v>
      </c>
      <c r="AE18" s="15" t="s">
        <v>822</v>
      </c>
      <c r="AF18" s="15" t="s">
        <v>1067</v>
      </c>
      <c r="AG18" s="15" t="s">
        <v>1068</v>
      </c>
      <c r="AH18" s="15" t="s">
        <v>1069</v>
      </c>
      <c r="AI18" s="15" t="s">
        <v>854</v>
      </c>
      <c r="AJ18" s="15" t="s">
        <v>1070</v>
      </c>
      <c r="AK18" s="15" t="s">
        <v>1071</v>
      </c>
      <c r="AL18" s="15" t="s">
        <v>778</v>
      </c>
      <c r="AM18" s="15" t="s">
        <v>1072</v>
      </c>
      <c r="AN18" s="15" t="s">
        <v>1024</v>
      </c>
      <c r="AO18" s="15" t="s">
        <v>806</v>
      </c>
      <c r="AP18" s="15" t="s">
        <v>782</v>
      </c>
      <c r="AQ18" s="15" t="s">
        <v>783</v>
      </c>
      <c r="AR18" s="15" t="s">
        <v>784</v>
      </c>
      <c r="AS18" s="15" t="s">
        <v>785</v>
      </c>
      <c r="AT18" s="15" t="s">
        <v>1073</v>
      </c>
    </row>
    <row r="19" customHeight="1" spans="1:45">
      <c r="A19" s="15" t="s">
        <v>742</v>
      </c>
      <c r="B19" s="15" t="s">
        <v>233</v>
      </c>
      <c r="C19" s="15" t="s">
        <v>234</v>
      </c>
      <c r="D19" s="15" t="s">
        <v>786</v>
      </c>
      <c r="E19" s="15" t="s">
        <v>745</v>
      </c>
      <c r="F19" s="15" t="s">
        <v>746</v>
      </c>
      <c r="G19" s="15" t="s">
        <v>748</v>
      </c>
      <c r="H19" s="15" t="s">
        <v>862</v>
      </c>
      <c r="I19" s="15" t="s">
        <v>1074</v>
      </c>
      <c r="J19" s="15" t="s">
        <v>1075</v>
      </c>
      <c r="K19" s="15" t="s">
        <v>793</v>
      </c>
      <c r="L19" s="15" t="s">
        <v>872</v>
      </c>
      <c r="M19" s="15" t="s">
        <v>1076</v>
      </c>
      <c r="N19" s="15" t="s">
        <v>1044</v>
      </c>
      <c r="O19" s="15" t="s">
        <v>1077</v>
      </c>
      <c r="P19" s="15" t="s">
        <v>1078</v>
      </c>
      <c r="Q19" s="15" t="s">
        <v>1079</v>
      </c>
      <c r="R19" s="15" t="s">
        <v>1080</v>
      </c>
      <c r="S19" s="15" t="s">
        <v>1081</v>
      </c>
      <c r="T19" s="15" t="s">
        <v>765</v>
      </c>
      <c r="U19" s="15" t="s">
        <v>837</v>
      </c>
      <c r="V19" s="15" t="s">
        <v>1082</v>
      </c>
      <c r="W19" s="15" t="s">
        <v>763</v>
      </c>
      <c r="X19" s="15" t="s">
        <v>793</v>
      </c>
      <c r="Y19" s="15" t="s">
        <v>877</v>
      </c>
      <c r="Z19" s="15" t="s">
        <v>1064</v>
      </c>
      <c r="AA19" s="15" t="s">
        <v>1083</v>
      </c>
      <c r="AB19" s="15" t="s">
        <v>929</v>
      </c>
      <c r="AC19" s="15" t="s">
        <v>991</v>
      </c>
      <c r="AD19" s="15" t="s">
        <v>1084</v>
      </c>
      <c r="AE19" s="15" t="s">
        <v>1085</v>
      </c>
      <c r="AF19" s="15" t="s">
        <v>1086</v>
      </c>
      <c r="AG19" s="15" t="s">
        <v>1087</v>
      </c>
      <c r="AH19" s="15" t="s">
        <v>1088</v>
      </c>
      <c r="AI19" s="15" t="s">
        <v>1089</v>
      </c>
      <c r="AJ19" s="15" t="s">
        <v>1090</v>
      </c>
      <c r="AK19" s="15" t="s">
        <v>874</v>
      </c>
      <c r="AL19" s="15" t="s">
        <v>903</v>
      </c>
      <c r="AM19" s="15" t="s">
        <v>1091</v>
      </c>
      <c r="AN19" s="15" t="s">
        <v>1092</v>
      </c>
      <c r="AO19" s="15" t="s">
        <v>1093</v>
      </c>
      <c r="AP19" s="15" t="s">
        <v>857</v>
      </c>
      <c r="AQ19" s="15" t="s">
        <v>858</v>
      </c>
      <c r="AR19" s="15" t="s">
        <v>859</v>
      </c>
      <c r="AS19" s="15" t="s">
        <v>785</v>
      </c>
    </row>
    <row r="20" customHeight="1" spans="1:46">
      <c r="A20" s="15" t="s">
        <v>742</v>
      </c>
      <c r="B20" s="15" t="s">
        <v>193</v>
      </c>
      <c r="C20" s="15" t="s">
        <v>194</v>
      </c>
      <c r="D20" s="15" t="s">
        <v>786</v>
      </c>
      <c r="E20" s="15" t="s">
        <v>787</v>
      </c>
      <c r="F20" s="15" t="s">
        <v>788</v>
      </c>
      <c r="G20" s="15" t="s">
        <v>789</v>
      </c>
      <c r="H20" s="15" t="s">
        <v>789</v>
      </c>
      <c r="J20" s="15" t="s">
        <v>789</v>
      </c>
      <c r="K20" s="15" t="s">
        <v>796</v>
      </c>
      <c r="L20" s="15" t="s">
        <v>796</v>
      </c>
      <c r="M20" s="15" t="s">
        <v>945</v>
      </c>
      <c r="N20" s="15" t="s">
        <v>866</v>
      </c>
      <c r="O20" s="15" t="s">
        <v>979</v>
      </c>
      <c r="P20" s="15" t="s">
        <v>838</v>
      </c>
      <c r="Q20" s="15" t="s">
        <v>1094</v>
      </c>
      <c r="R20" s="15" t="s">
        <v>1095</v>
      </c>
      <c r="T20" s="15" t="s">
        <v>789</v>
      </c>
      <c r="U20" s="15" t="s">
        <v>891</v>
      </c>
      <c r="V20" s="15" t="s">
        <v>789</v>
      </c>
      <c r="W20" s="15" t="s">
        <v>763</v>
      </c>
      <c r="X20" s="15" t="s">
        <v>753</v>
      </c>
      <c r="Y20" s="15" t="s">
        <v>789</v>
      </c>
      <c r="Z20" s="15" t="s">
        <v>861</v>
      </c>
      <c r="AA20" s="15" t="s">
        <v>789</v>
      </c>
      <c r="AB20" s="15" t="s">
        <v>768</v>
      </c>
      <c r="AC20" s="15" t="s">
        <v>789</v>
      </c>
      <c r="AE20" s="15" t="s">
        <v>1096</v>
      </c>
      <c r="AF20" s="15" t="s">
        <v>1097</v>
      </c>
      <c r="AG20" s="15" t="s">
        <v>1098</v>
      </c>
      <c r="AH20" s="15" t="s">
        <v>1099</v>
      </c>
      <c r="AM20" s="15" t="s">
        <v>867</v>
      </c>
      <c r="AN20" s="15" t="s">
        <v>789</v>
      </c>
      <c r="AO20" s="15" t="s">
        <v>789</v>
      </c>
      <c r="AP20" s="15" t="s">
        <v>920</v>
      </c>
      <c r="AQ20" s="15" t="s">
        <v>858</v>
      </c>
      <c r="AR20" s="15" t="s">
        <v>921</v>
      </c>
      <c r="AS20" s="15" t="s">
        <v>785</v>
      </c>
      <c r="AT20" s="15" t="s">
        <v>802</v>
      </c>
    </row>
    <row r="21" customHeight="1" spans="1:46">
      <c r="A21" s="15" t="s">
        <v>742</v>
      </c>
      <c r="B21" s="15" t="s">
        <v>160</v>
      </c>
      <c r="C21" s="15" t="s">
        <v>161</v>
      </c>
      <c r="D21" s="15" t="s">
        <v>786</v>
      </c>
      <c r="E21" s="15" t="s">
        <v>787</v>
      </c>
      <c r="F21" s="15" t="s">
        <v>996</v>
      </c>
      <c r="G21" s="15" t="s">
        <v>804</v>
      </c>
      <c r="H21" s="15" t="s">
        <v>789</v>
      </c>
      <c r="J21" s="15" t="s">
        <v>806</v>
      </c>
      <c r="K21" s="15" t="s">
        <v>791</v>
      </c>
      <c r="L21" s="15" t="s">
        <v>796</v>
      </c>
      <c r="M21" s="15" t="s">
        <v>839</v>
      </c>
      <c r="N21" s="15" t="s">
        <v>1044</v>
      </c>
      <c r="O21" s="15" t="s">
        <v>809</v>
      </c>
      <c r="P21" s="15" t="s">
        <v>756</v>
      </c>
      <c r="Q21" s="15" t="s">
        <v>1100</v>
      </c>
      <c r="R21" s="15" t="s">
        <v>1101</v>
      </c>
      <c r="S21" s="15" t="s">
        <v>1102</v>
      </c>
      <c r="T21" s="15" t="s">
        <v>861</v>
      </c>
      <c r="U21" s="15" t="s">
        <v>839</v>
      </c>
      <c r="V21" s="15" t="s">
        <v>1103</v>
      </c>
      <c r="W21" s="15" t="s">
        <v>763</v>
      </c>
      <c r="X21" s="15" t="s">
        <v>841</v>
      </c>
      <c r="Y21" s="15" t="s">
        <v>778</v>
      </c>
      <c r="Z21" s="15" t="s">
        <v>877</v>
      </c>
      <c r="AA21" s="15" t="s">
        <v>1104</v>
      </c>
      <c r="AB21" s="15" t="s">
        <v>768</v>
      </c>
      <c r="AC21" s="15" t="s">
        <v>1050</v>
      </c>
      <c r="AD21" s="15" t="s">
        <v>1105</v>
      </c>
      <c r="AE21" s="15" t="s">
        <v>771</v>
      </c>
      <c r="AF21" s="15" t="s">
        <v>1106</v>
      </c>
      <c r="AG21" s="15" t="s">
        <v>1107</v>
      </c>
      <c r="AH21" s="15" t="s">
        <v>1108</v>
      </c>
      <c r="AI21" s="15" t="s">
        <v>1109</v>
      </c>
      <c r="AJ21" s="15" t="s">
        <v>1110</v>
      </c>
      <c r="AK21" s="15" t="s">
        <v>844</v>
      </c>
      <c r="AL21" s="15" t="s">
        <v>903</v>
      </c>
      <c r="AM21" s="15" t="s">
        <v>1111</v>
      </c>
      <c r="AN21" s="15" t="s">
        <v>1112</v>
      </c>
      <c r="AO21" s="15" t="s">
        <v>1113</v>
      </c>
      <c r="AP21" s="15" t="s">
        <v>832</v>
      </c>
      <c r="AQ21" s="15" t="s">
        <v>833</v>
      </c>
      <c r="AR21" s="15" t="s">
        <v>834</v>
      </c>
      <c r="AS21" s="15" t="s">
        <v>785</v>
      </c>
      <c r="AT21" s="15" t="s">
        <v>1114</v>
      </c>
    </row>
    <row r="22" customHeight="1" spans="1:46">
      <c r="A22" s="15" t="s">
        <v>742</v>
      </c>
      <c r="B22" s="15" t="s">
        <v>227</v>
      </c>
      <c r="C22" s="15" t="s">
        <v>228</v>
      </c>
      <c r="D22" s="15" t="s">
        <v>786</v>
      </c>
      <c r="E22" s="15" t="s">
        <v>787</v>
      </c>
      <c r="F22" s="15" t="s">
        <v>996</v>
      </c>
      <c r="G22" s="15" t="s">
        <v>747</v>
      </c>
      <c r="H22" s="15" t="s">
        <v>804</v>
      </c>
      <c r="I22" s="15" t="s">
        <v>845</v>
      </c>
      <c r="J22" s="15" t="s">
        <v>750</v>
      </c>
      <c r="K22" s="15" t="s">
        <v>1065</v>
      </c>
      <c r="L22" s="15" t="s">
        <v>979</v>
      </c>
      <c r="M22" s="15" t="s">
        <v>841</v>
      </c>
      <c r="N22" s="15" t="s">
        <v>838</v>
      </c>
      <c r="O22" s="15" t="s">
        <v>816</v>
      </c>
      <c r="P22" s="15" t="s">
        <v>1115</v>
      </c>
      <c r="Q22" s="15" t="s">
        <v>1116</v>
      </c>
      <c r="R22" s="15" t="s">
        <v>1117</v>
      </c>
      <c r="S22" s="15" t="s">
        <v>1118</v>
      </c>
      <c r="T22" s="15" t="s">
        <v>748</v>
      </c>
      <c r="U22" s="15" t="s">
        <v>839</v>
      </c>
      <c r="V22" s="15" t="s">
        <v>819</v>
      </c>
      <c r="W22" s="15" t="s">
        <v>763</v>
      </c>
      <c r="X22" s="15" t="s">
        <v>872</v>
      </c>
      <c r="Y22" s="15" t="s">
        <v>862</v>
      </c>
      <c r="Z22" s="15" t="s">
        <v>814</v>
      </c>
      <c r="AA22" s="15" t="s">
        <v>1119</v>
      </c>
      <c r="AB22" s="15" t="s">
        <v>768</v>
      </c>
      <c r="AC22" s="15" t="s">
        <v>748</v>
      </c>
      <c r="AD22" s="15" t="s">
        <v>1120</v>
      </c>
      <c r="AE22" s="15" t="s">
        <v>1035</v>
      </c>
      <c r="AF22" s="15" t="s">
        <v>1121</v>
      </c>
      <c r="AG22" s="15" t="s">
        <v>1122</v>
      </c>
      <c r="AH22" s="15" t="s">
        <v>1123</v>
      </c>
      <c r="AI22" s="15" t="s">
        <v>854</v>
      </c>
      <c r="AJ22" s="15" t="s">
        <v>818</v>
      </c>
      <c r="AK22" s="15" t="s">
        <v>1124</v>
      </c>
      <c r="AL22" s="15" t="s">
        <v>778</v>
      </c>
      <c r="AM22" s="15" t="s">
        <v>1028</v>
      </c>
      <c r="AN22" s="15" t="s">
        <v>1125</v>
      </c>
      <c r="AO22" s="15" t="s">
        <v>806</v>
      </c>
      <c r="AT22" s="15" t="s">
        <v>1126</v>
      </c>
    </row>
    <row r="23" customHeight="1" spans="1:46">
      <c r="A23" s="15" t="s">
        <v>742</v>
      </c>
      <c r="B23" s="15" t="s">
        <v>127</v>
      </c>
      <c r="C23" s="15" t="s">
        <v>128</v>
      </c>
      <c r="D23" s="15" t="s">
        <v>786</v>
      </c>
      <c r="E23" s="15" t="s">
        <v>745</v>
      </c>
      <c r="F23" s="15" t="s">
        <v>803</v>
      </c>
      <c r="G23" s="15" t="s">
        <v>804</v>
      </c>
      <c r="H23" s="15" t="s">
        <v>748</v>
      </c>
      <c r="I23" s="15" t="s">
        <v>805</v>
      </c>
      <c r="J23" s="15" t="s">
        <v>806</v>
      </c>
      <c r="K23" s="15" t="s">
        <v>896</v>
      </c>
      <c r="L23" s="15" t="s">
        <v>790</v>
      </c>
      <c r="M23" s="15" t="s">
        <v>1065</v>
      </c>
      <c r="N23" s="15" t="s">
        <v>1002</v>
      </c>
      <c r="O23" s="15" t="s">
        <v>1127</v>
      </c>
      <c r="P23" s="15" t="s">
        <v>1128</v>
      </c>
      <c r="Q23" s="15" t="s">
        <v>1129</v>
      </c>
      <c r="R23" s="15" t="s">
        <v>1130</v>
      </c>
      <c r="S23" s="15" t="s">
        <v>1131</v>
      </c>
      <c r="T23" s="15" t="s">
        <v>862</v>
      </c>
      <c r="U23" s="15" t="s">
        <v>1132</v>
      </c>
      <c r="V23" s="15" t="s">
        <v>1133</v>
      </c>
      <c r="W23" s="15" t="s">
        <v>763</v>
      </c>
      <c r="X23" s="15" t="s">
        <v>839</v>
      </c>
      <c r="Y23" s="15" t="s">
        <v>760</v>
      </c>
      <c r="Z23" s="15" t="s">
        <v>1050</v>
      </c>
      <c r="AA23" s="15" t="s">
        <v>1134</v>
      </c>
      <c r="AB23" s="15" t="s">
        <v>768</v>
      </c>
      <c r="AC23" s="15" t="s">
        <v>778</v>
      </c>
      <c r="AD23" s="15" t="s">
        <v>1135</v>
      </c>
      <c r="AE23" s="15" t="s">
        <v>1136</v>
      </c>
      <c r="AF23" s="15" t="s">
        <v>1137</v>
      </c>
      <c r="AG23" s="15" t="s">
        <v>1138</v>
      </c>
      <c r="AH23" s="15" t="s">
        <v>1139</v>
      </c>
      <c r="AI23" s="15" t="s">
        <v>1140</v>
      </c>
      <c r="AJ23" s="15" t="s">
        <v>1141</v>
      </c>
      <c r="AK23" s="15" t="s">
        <v>1142</v>
      </c>
      <c r="AL23" s="15" t="s">
        <v>778</v>
      </c>
      <c r="AM23" s="15" t="s">
        <v>756</v>
      </c>
      <c r="AN23" s="15" t="s">
        <v>1143</v>
      </c>
      <c r="AO23" s="15" t="s">
        <v>1144</v>
      </c>
      <c r="AT23" s="15" t="s">
        <v>835</v>
      </c>
    </row>
    <row r="24" customHeight="1" spans="1:46">
      <c r="A24" s="15" t="s">
        <v>742</v>
      </c>
      <c r="B24" s="15" t="s">
        <v>205</v>
      </c>
      <c r="C24" s="15" t="s">
        <v>206</v>
      </c>
      <c r="D24" s="15" t="s">
        <v>786</v>
      </c>
      <c r="E24" s="15" t="s">
        <v>745</v>
      </c>
      <c r="F24" s="15" t="s">
        <v>996</v>
      </c>
      <c r="G24" s="15" t="s">
        <v>804</v>
      </c>
      <c r="H24" s="15" t="s">
        <v>789</v>
      </c>
      <c r="J24" s="15" t="s">
        <v>806</v>
      </c>
      <c r="K24" s="15" t="s">
        <v>1002</v>
      </c>
      <c r="L24" s="15" t="s">
        <v>838</v>
      </c>
      <c r="M24" s="15" t="s">
        <v>837</v>
      </c>
      <c r="N24" s="15" t="s">
        <v>790</v>
      </c>
      <c r="O24" s="15" t="s">
        <v>1145</v>
      </c>
      <c r="P24" s="15" t="s">
        <v>791</v>
      </c>
      <c r="Q24" s="15" t="s">
        <v>1146</v>
      </c>
      <c r="R24" s="15" t="s">
        <v>1147</v>
      </c>
      <c r="S24" s="15" t="s">
        <v>1148</v>
      </c>
      <c r="T24" s="15" t="s">
        <v>804</v>
      </c>
      <c r="U24" s="15" t="s">
        <v>894</v>
      </c>
      <c r="V24" s="15" t="s">
        <v>895</v>
      </c>
      <c r="W24" s="15" t="s">
        <v>763</v>
      </c>
      <c r="X24" s="15" t="s">
        <v>894</v>
      </c>
      <c r="Y24" s="15" t="s">
        <v>862</v>
      </c>
      <c r="Z24" s="15" t="s">
        <v>814</v>
      </c>
      <c r="AA24" s="15" t="s">
        <v>1083</v>
      </c>
      <c r="AB24" s="15" t="s">
        <v>929</v>
      </c>
      <c r="AC24" s="15" t="s">
        <v>862</v>
      </c>
      <c r="AD24" s="15" t="s">
        <v>1149</v>
      </c>
      <c r="AE24" s="15" t="s">
        <v>1150</v>
      </c>
      <c r="AF24" s="15" t="s">
        <v>1151</v>
      </c>
      <c r="AG24" s="15" t="s">
        <v>1152</v>
      </c>
      <c r="AH24" s="15" t="s">
        <v>1153</v>
      </c>
      <c r="AI24" s="15" t="s">
        <v>1154</v>
      </c>
      <c r="AJ24" s="15" t="s">
        <v>1155</v>
      </c>
      <c r="AK24" s="15" t="s">
        <v>1156</v>
      </c>
      <c r="AL24" s="15" t="s">
        <v>778</v>
      </c>
      <c r="AM24" s="15" t="s">
        <v>1157</v>
      </c>
      <c r="AN24" s="15" t="s">
        <v>1158</v>
      </c>
      <c r="AO24" s="15" t="s">
        <v>806</v>
      </c>
      <c r="AP24" s="15" t="s">
        <v>909</v>
      </c>
      <c r="AQ24" s="15" t="s">
        <v>783</v>
      </c>
      <c r="AR24" s="15" t="s">
        <v>910</v>
      </c>
      <c r="AS24" s="15" t="s">
        <v>785</v>
      </c>
      <c r="AT24" s="15" t="s">
        <v>1159</v>
      </c>
    </row>
    <row r="25" customHeight="1" spans="1:46">
      <c r="A25" s="15" t="s">
        <v>742</v>
      </c>
      <c r="B25" s="15" t="s">
        <v>118</v>
      </c>
      <c r="C25" s="15" t="s">
        <v>119</v>
      </c>
      <c r="D25" s="15" t="s">
        <v>786</v>
      </c>
      <c r="E25" s="15" t="s">
        <v>745</v>
      </c>
      <c r="F25" s="15" t="s">
        <v>788</v>
      </c>
      <c r="G25" s="15" t="s">
        <v>789</v>
      </c>
      <c r="H25" s="15" t="s">
        <v>789</v>
      </c>
      <c r="J25" s="15" t="s">
        <v>789</v>
      </c>
      <c r="K25" s="15" t="s">
        <v>839</v>
      </c>
      <c r="L25" s="15" t="s">
        <v>790</v>
      </c>
      <c r="M25" s="15" t="s">
        <v>1065</v>
      </c>
      <c r="N25" s="15" t="s">
        <v>979</v>
      </c>
      <c r="O25" s="15" t="s">
        <v>810</v>
      </c>
      <c r="P25" s="15" t="s">
        <v>796</v>
      </c>
      <c r="Q25" s="15" t="s">
        <v>1128</v>
      </c>
      <c r="R25" s="15" t="s">
        <v>1160</v>
      </c>
      <c r="T25" s="15" t="s">
        <v>804</v>
      </c>
      <c r="U25" s="15" t="s">
        <v>894</v>
      </c>
      <c r="V25" s="15" t="s">
        <v>895</v>
      </c>
      <c r="W25" s="15" t="s">
        <v>763</v>
      </c>
      <c r="X25" s="15" t="s">
        <v>840</v>
      </c>
      <c r="Y25" s="15" t="s">
        <v>804</v>
      </c>
      <c r="Z25" s="15" t="s">
        <v>861</v>
      </c>
      <c r="AA25" s="15" t="s">
        <v>1161</v>
      </c>
      <c r="AB25" s="15" t="s">
        <v>768</v>
      </c>
      <c r="AC25" s="15" t="s">
        <v>861</v>
      </c>
      <c r="AD25" s="15" t="s">
        <v>1162</v>
      </c>
      <c r="AE25" s="15" t="s">
        <v>771</v>
      </c>
      <c r="AF25" s="15" t="s">
        <v>1163</v>
      </c>
      <c r="AG25" s="15" t="s">
        <v>1164</v>
      </c>
      <c r="AH25" s="15" t="s">
        <v>1165</v>
      </c>
      <c r="AI25" s="15" t="s">
        <v>1166</v>
      </c>
      <c r="AJ25" s="15" t="s">
        <v>1167</v>
      </c>
      <c r="AK25" s="15" t="s">
        <v>1168</v>
      </c>
      <c r="AL25" s="15" t="s">
        <v>778</v>
      </c>
      <c r="AM25" s="15" t="s">
        <v>865</v>
      </c>
      <c r="AN25" s="15" t="s">
        <v>1169</v>
      </c>
      <c r="AO25" s="15" t="s">
        <v>1170</v>
      </c>
      <c r="AP25" s="15" t="s">
        <v>920</v>
      </c>
      <c r="AQ25" s="15" t="s">
        <v>858</v>
      </c>
      <c r="AR25" s="15" t="s">
        <v>921</v>
      </c>
      <c r="AS25" s="15" t="s">
        <v>785</v>
      </c>
      <c r="AT25" s="15" t="s">
        <v>1171</v>
      </c>
    </row>
    <row r="26" customHeight="1" spans="1:45">
      <c r="A26" s="15" t="s">
        <v>742</v>
      </c>
      <c r="B26" s="15" t="s">
        <v>199</v>
      </c>
      <c r="C26" s="15" t="s">
        <v>200</v>
      </c>
      <c r="D26" s="15" t="s">
        <v>786</v>
      </c>
      <c r="E26" s="15" t="s">
        <v>745</v>
      </c>
      <c r="F26" s="15" t="s">
        <v>746</v>
      </c>
      <c r="G26" s="15" t="s">
        <v>747</v>
      </c>
      <c r="H26" s="15" t="s">
        <v>748</v>
      </c>
      <c r="I26" s="15" t="s">
        <v>749</v>
      </c>
      <c r="J26" s="15" t="s">
        <v>750</v>
      </c>
      <c r="K26" s="15" t="s">
        <v>912</v>
      </c>
      <c r="L26" s="15" t="s">
        <v>838</v>
      </c>
      <c r="M26" s="15" t="s">
        <v>838</v>
      </c>
      <c r="N26" s="15" t="s">
        <v>867</v>
      </c>
      <c r="O26" s="15" t="s">
        <v>1065</v>
      </c>
      <c r="P26" s="15" t="s">
        <v>1172</v>
      </c>
      <c r="Q26" s="15" t="s">
        <v>1173</v>
      </c>
      <c r="R26" s="15" t="s">
        <v>1174</v>
      </c>
      <c r="S26" s="15" t="s">
        <v>1081</v>
      </c>
      <c r="T26" s="15" t="s">
        <v>778</v>
      </c>
      <c r="U26" s="15" t="s">
        <v>894</v>
      </c>
      <c r="V26" s="15" t="s">
        <v>1175</v>
      </c>
      <c r="W26" s="15" t="s">
        <v>763</v>
      </c>
      <c r="X26" s="15" t="s">
        <v>1033</v>
      </c>
      <c r="Y26" s="15" t="s">
        <v>1050</v>
      </c>
      <c r="Z26" s="15" t="s">
        <v>820</v>
      </c>
      <c r="AA26" s="15" t="s">
        <v>1176</v>
      </c>
      <c r="AB26" s="15" t="s">
        <v>768</v>
      </c>
      <c r="AC26" s="15" t="s">
        <v>778</v>
      </c>
      <c r="AD26" s="15" t="s">
        <v>1177</v>
      </c>
      <c r="AE26" s="15" t="s">
        <v>1178</v>
      </c>
      <c r="AF26" s="15" t="s">
        <v>1179</v>
      </c>
      <c r="AG26" s="15" t="s">
        <v>1180</v>
      </c>
      <c r="AH26" s="15" t="s">
        <v>1181</v>
      </c>
      <c r="AI26" s="15" t="s">
        <v>1182</v>
      </c>
      <c r="AJ26" s="15" t="s">
        <v>1183</v>
      </c>
      <c r="AK26" s="15" t="s">
        <v>1184</v>
      </c>
      <c r="AL26" s="15" t="s">
        <v>1185</v>
      </c>
      <c r="AM26" s="15" t="s">
        <v>855</v>
      </c>
      <c r="AN26" s="15" t="s">
        <v>1050</v>
      </c>
      <c r="AO26" s="15" t="s">
        <v>864</v>
      </c>
      <c r="AP26" s="15" t="s">
        <v>857</v>
      </c>
      <c r="AQ26" s="15" t="s">
        <v>858</v>
      </c>
      <c r="AR26" s="15" t="s">
        <v>859</v>
      </c>
      <c r="AS26" s="15" t="s">
        <v>785</v>
      </c>
    </row>
    <row r="27" customHeight="1" spans="1:45">
      <c r="A27" s="15" t="s">
        <v>742</v>
      </c>
      <c r="B27" s="15" t="s">
        <v>151</v>
      </c>
      <c r="C27" s="15" t="s">
        <v>152</v>
      </c>
      <c r="D27" s="15" t="s">
        <v>786</v>
      </c>
      <c r="E27" s="15" t="s">
        <v>787</v>
      </c>
      <c r="F27" s="15" t="s">
        <v>746</v>
      </c>
      <c r="G27" s="15" t="s">
        <v>861</v>
      </c>
      <c r="H27" s="15" t="s">
        <v>789</v>
      </c>
      <c r="J27" s="15" t="s">
        <v>864</v>
      </c>
      <c r="K27" s="15" t="s">
        <v>1132</v>
      </c>
      <c r="L27" s="15" t="s">
        <v>838</v>
      </c>
      <c r="M27" s="15" t="s">
        <v>979</v>
      </c>
      <c r="N27" s="15" t="s">
        <v>809</v>
      </c>
      <c r="O27" s="15" t="s">
        <v>1065</v>
      </c>
      <c r="P27" s="15" t="s">
        <v>841</v>
      </c>
      <c r="Q27" s="15" t="s">
        <v>1186</v>
      </c>
      <c r="R27" s="15" t="s">
        <v>1187</v>
      </c>
      <c r="S27" s="15" t="s">
        <v>1081</v>
      </c>
      <c r="T27" s="15" t="s">
        <v>861</v>
      </c>
      <c r="U27" s="15" t="s">
        <v>837</v>
      </c>
      <c r="V27" s="15" t="s">
        <v>927</v>
      </c>
      <c r="W27" s="15" t="s">
        <v>763</v>
      </c>
      <c r="X27" s="15" t="s">
        <v>1132</v>
      </c>
      <c r="Y27" s="15" t="s">
        <v>778</v>
      </c>
      <c r="Z27" s="15" t="s">
        <v>769</v>
      </c>
      <c r="AA27" s="15" t="s">
        <v>1188</v>
      </c>
      <c r="AB27" s="15" t="s">
        <v>929</v>
      </c>
      <c r="AC27" s="15" t="s">
        <v>814</v>
      </c>
      <c r="AD27" s="15" t="s">
        <v>1189</v>
      </c>
      <c r="AE27" s="15" t="s">
        <v>1190</v>
      </c>
      <c r="AF27" s="15" t="s">
        <v>1191</v>
      </c>
      <c r="AG27" s="15" t="s">
        <v>1192</v>
      </c>
      <c r="AH27" s="15" t="s">
        <v>1193</v>
      </c>
      <c r="AI27" s="15" t="s">
        <v>1194</v>
      </c>
      <c r="AJ27" s="15" t="s">
        <v>1195</v>
      </c>
      <c r="AK27" s="15" t="s">
        <v>1196</v>
      </c>
      <c r="AL27" s="15" t="s">
        <v>769</v>
      </c>
      <c r="AM27" s="15" t="s">
        <v>752</v>
      </c>
      <c r="AN27" s="15" t="s">
        <v>1197</v>
      </c>
      <c r="AO27" s="15" t="s">
        <v>856</v>
      </c>
      <c r="AP27" s="15" t="s">
        <v>857</v>
      </c>
      <c r="AQ27" s="15" t="s">
        <v>858</v>
      </c>
      <c r="AR27" s="15" t="s">
        <v>859</v>
      </c>
      <c r="AS27" s="15" t="s">
        <v>785</v>
      </c>
    </row>
    <row r="28" customHeight="1" spans="1:46">
      <c r="A28" s="15" t="s">
        <v>742</v>
      </c>
      <c r="B28" s="15" t="s">
        <v>163</v>
      </c>
      <c r="C28" s="15" t="s">
        <v>164</v>
      </c>
      <c r="D28" s="15" t="s">
        <v>786</v>
      </c>
      <c r="E28" s="15" t="s">
        <v>745</v>
      </c>
      <c r="F28" s="15" t="s">
        <v>788</v>
      </c>
      <c r="G28" s="15" t="s">
        <v>789</v>
      </c>
      <c r="H28" s="15" t="s">
        <v>804</v>
      </c>
      <c r="I28" s="15" t="s">
        <v>890</v>
      </c>
      <c r="J28" s="15" t="s">
        <v>789</v>
      </c>
      <c r="K28" s="15" t="s">
        <v>1060</v>
      </c>
      <c r="L28" s="15" t="s">
        <v>1145</v>
      </c>
      <c r="M28" s="15" t="s">
        <v>761</v>
      </c>
      <c r="N28" s="15" t="s">
        <v>1033</v>
      </c>
      <c r="O28" s="15" t="s">
        <v>791</v>
      </c>
      <c r="P28" s="15" t="s">
        <v>838</v>
      </c>
      <c r="Q28" s="15" t="s">
        <v>1198</v>
      </c>
      <c r="R28" s="15" t="s">
        <v>1199</v>
      </c>
      <c r="T28" s="15" t="s">
        <v>804</v>
      </c>
      <c r="U28" s="15" t="s">
        <v>790</v>
      </c>
      <c r="V28" s="15" t="s">
        <v>927</v>
      </c>
      <c r="W28" s="15" t="s">
        <v>763</v>
      </c>
      <c r="X28" s="15" t="s">
        <v>891</v>
      </c>
      <c r="Y28" s="15" t="s">
        <v>804</v>
      </c>
      <c r="Z28" s="15" t="s">
        <v>862</v>
      </c>
      <c r="AA28" s="15" t="s">
        <v>877</v>
      </c>
      <c r="AB28" s="15" t="s">
        <v>768</v>
      </c>
      <c r="AC28" s="15" t="s">
        <v>804</v>
      </c>
      <c r="AD28" s="15" t="s">
        <v>1200</v>
      </c>
      <c r="AE28" s="15" t="s">
        <v>1035</v>
      </c>
      <c r="AF28" s="15" t="s">
        <v>1201</v>
      </c>
      <c r="AG28" s="15" t="s">
        <v>1202</v>
      </c>
      <c r="AH28" s="15" t="s">
        <v>1203</v>
      </c>
      <c r="AI28" s="15" t="s">
        <v>1204</v>
      </c>
      <c r="AJ28" s="15" t="s">
        <v>1205</v>
      </c>
      <c r="AK28" s="15" t="s">
        <v>1206</v>
      </c>
      <c r="AL28" s="15" t="s">
        <v>778</v>
      </c>
      <c r="AM28" s="15" t="s">
        <v>751</v>
      </c>
      <c r="AN28" s="15" t="s">
        <v>1207</v>
      </c>
      <c r="AO28" s="15" t="s">
        <v>1170</v>
      </c>
      <c r="AP28" s="15" t="s">
        <v>920</v>
      </c>
      <c r="AQ28" s="15" t="s">
        <v>858</v>
      </c>
      <c r="AR28" s="15" t="s">
        <v>921</v>
      </c>
      <c r="AS28" s="15" t="s">
        <v>785</v>
      </c>
      <c r="AT28" s="15" t="s">
        <v>1208</v>
      </c>
    </row>
    <row r="29" customHeight="1" spans="1:46">
      <c r="A29" s="15" t="s">
        <v>742</v>
      </c>
      <c r="B29" s="15" t="s">
        <v>261</v>
      </c>
      <c r="C29" s="15" t="s">
        <v>262</v>
      </c>
      <c r="D29" s="15" t="s">
        <v>786</v>
      </c>
      <c r="E29" s="15" t="s">
        <v>787</v>
      </c>
      <c r="F29" s="15" t="s">
        <v>788</v>
      </c>
      <c r="G29" s="15" t="s">
        <v>789</v>
      </c>
      <c r="H29" s="15" t="s">
        <v>789</v>
      </c>
      <c r="J29" s="15" t="s">
        <v>789</v>
      </c>
      <c r="K29" s="15" t="s">
        <v>838</v>
      </c>
      <c r="L29" s="15" t="s">
        <v>838</v>
      </c>
      <c r="M29" s="15" t="s">
        <v>839</v>
      </c>
      <c r="N29" s="15" t="s">
        <v>790</v>
      </c>
      <c r="O29" s="15" t="s">
        <v>979</v>
      </c>
      <c r="P29" s="15" t="s">
        <v>755</v>
      </c>
      <c r="Q29" s="15" t="s">
        <v>1209</v>
      </c>
      <c r="R29" s="15" t="s">
        <v>885</v>
      </c>
      <c r="T29" s="15" t="s">
        <v>789</v>
      </c>
      <c r="U29" s="15" t="s">
        <v>979</v>
      </c>
      <c r="V29" s="15" t="s">
        <v>789</v>
      </c>
      <c r="W29" s="15" t="s">
        <v>763</v>
      </c>
      <c r="X29" s="15" t="s">
        <v>790</v>
      </c>
      <c r="Y29" s="15" t="s">
        <v>789</v>
      </c>
      <c r="Z29" s="15" t="s">
        <v>862</v>
      </c>
      <c r="AA29" s="15" t="s">
        <v>789</v>
      </c>
      <c r="AB29" s="15" t="s">
        <v>768</v>
      </c>
      <c r="AC29" s="15" t="s">
        <v>789</v>
      </c>
      <c r="AE29" s="15" t="s">
        <v>1210</v>
      </c>
      <c r="AF29" s="15" t="s">
        <v>1211</v>
      </c>
      <c r="AM29" s="15" t="s">
        <v>755</v>
      </c>
      <c r="AN29" s="15" t="s">
        <v>789</v>
      </c>
      <c r="AO29" s="15" t="s">
        <v>789</v>
      </c>
      <c r="AT29" s="15" t="s">
        <v>802</v>
      </c>
    </row>
    <row r="30" customHeight="1" spans="1:46">
      <c r="A30" s="15" t="s">
        <v>742</v>
      </c>
      <c r="B30" s="15" t="s">
        <v>236</v>
      </c>
      <c r="C30" s="15" t="s">
        <v>237</v>
      </c>
      <c r="D30" s="15" t="s">
        <v>786</v>
      </c>
      <c r="E30" s="15" t="s">
        <v>787</v>
      </c>
      <c r="F30" s="15" t="s">
        <v>788</v>
      </c>
      <c r="G30" s="15" t="s">
        <v>789</v>
      </c>
      <c r="H30" s="15" t="s">
        <v>789</v>
      </c>
      <c r="J30" s="15" t="s">
        <v>789</v>
      </c>
      <c r="K30" s="15" t="s">
        <v>979</v>
      </c>
      <c r="L30" s="15" t="s">
        <v>979</v>
      </c>
      <c r="M30" s="15" t="s">
        <v>945</v>
      </c>
      <c r="N30" s="15" t="s">
        <v>1002</v>
      </c>
      <c r="O30" s="15" t="s">
        <v>1060</v>
      </c>
      <c r="P30" s="15" t="s">
        <v>796</v>
      </c>
      <c r="Q30" s="15" t="s">
        <v>1212</v>
      </c>
      <c r="R30" s="15" t="s">
        <v>1213</v>
      </c>
      <c r="T30" s="15" t="s">
        <v>789</v>
      </c>
      <c r="U30" s="15" t="s">
        <v>790</v>
      </c>
      <c r="V30" s="15" t="s">
        <v>789</v>
      </c>
      <c r="W30" s="15" t="s">
        <v>763</v>
      </c>
      <c r="X30" s="15" t="s">
        <v>912</v>
      </c>
      <c r="Y30" s="15" t="s">
        <v>789</v>
      </c>
      <c r="Z30" s="15" t="s">
        <v>804</v>
      </c>
      <c r="AA30" s="15" t="s">
        <v>789</v>
      </c>
      <c r="AB30" s="15" t="s">
        <v>768</v>
      </c>
      <c r="AC30" s="15" t="s">
        <v>789</v>
      </c>
      <c r="AE30" s="15" t="s">
        <v>1200</v>
      </c>
      <c r="AF30" s="15" t="s">
        <v>1214</v>
      </c>
      <c r="AG30" s="15" t="s">
        <v>1215</v>
      </c>
      <c r="AH30" s="15" t="s">
        <v>1199</v>
      </c>
      <c r="AM30" s="15" t="s">
        <v>1033</v>
      </c>
      <c r="AN30" s="15" t="s">
        <v>789</v>
      </c>
      <c r="AO30" s="15" t="s">
        <v>789</v>
      </c>
      <c r="AP30" s="15" t="s">
        <v>920</v>
      </c>
      <c r="AQ30" s="15" t="s">
        <v>858</v>
      </c>
      <c r="AR30" s="15" t="s">
        <v>921</v>
      </c>
      <c r="AS30" s="15" t="s">
        <v>785</v>
      </c>
      <c r="AT30" s="15" t="s">
        <v>802</v>
      </c>
    </row>
    <row r="31" customHeight="1" spans="1:46">
      <c r="A31" s="15" t="s">
        <v>742</v>
      </c>
      <c r="B31" s="15" t="s">
        <v>121</v>
      </c>
      <c r="C31" s="15" t="s">
        <v>122</v>
      </c>
      <c r="D31" s="15" t="s">
        <v>786</v>
      </c>
      <c r="E31" s="15" t="s">
        <v>745</v>
      </c>
      <c r="F31" s="15" t="s">
        <v>788</v>
      </c>
      <c r="G31" s="15" t="s">
        <v>789</v>
      </c>
      <c r="H31" s="15" t="s">
        <v>789</v>
      </c>
      <c r="J31" s="15" t="s">
        <v>789</v>
      </c>
      <c r="K31" s="15" t="s">
        <v>761</v>
      </c>
      <c r="L31" s="15" t="s">
        <v>838</v>
      </c>
      <c r="M31" s="15" t="s">
        <v>896</v>
      </c>
      <c r="N31" s="15" t="s">
        <v>793</v>
      </c>
      <c r="O31" s="15" t="s">
        <v>1011</v>
      </c>
      <c r="P31" s="15" t="s">
        <v>796</v>
      </c>
      <c r="Q31" s="15" t="s">
        <v>1216</v>
      </c>
      <c r="R31" s="15" t="s">
        <v>774</v>
      </c>
      <c r="T31" s="15" t="s">
        <v>804</v>
      </c>
      <c r="U31" s="15" t="s">
        <v>894</v>
      </c>
      <c r="V31" s="15" t="s">
        <v>895</v>
      </c>
      <c r="W31" s="15" t="s">
        <v>763</v>
      </c>
      <c r="X31" s="15" t="s">
        <v>945</v>
      </c>
      <c r="Y31" s="15" t="s">
        <v>804</v>
      </c>
      <c r="Z31" s="15" t="s">
        <v>814</v>
      </c>
      <c r="AA31" s="15" t="s">
        <v>1217</v>
      </c>
      <c r="AB31" s="15" t="s">
        <v>768</v>
      </c>
      <c r="AC31" s="15" t="s">
        <v>747</v>
      </c>
      <c r="AD31" s="15" t="s">
        <v>1218</v>
      </c>
      <c r="AE31" s="15" t="s">
        <v>915</v>
      </c>
      <c r="AF31" s="15" t="s">
        <v>1199</v>
      </c>
      <c r="AG31" s="15" t="s">
        <v>1219</v>
      </c>
      <c r="AH31" s="15" t="s">
        <v>1220</v>
      </c>
      <c r="AI31" s="15" t="s">
        <v>1221</v>
      </c>
      <c r="AJ31" s="15" t="s">
        <v>1222</v>
      </c>
      <c r="AK31" s="15" t="s">
        <v>1223</v>
      </c>
      <c r="AL31" s="15" t="s">
        <v>778</v>
      </c>
      <c r="AM31" s="15" t="s">
        <v>1224</v>
      </c>
      <c r="AN31" s="15" t="s">
        <v>1225</v>
      </c>
      <c r="AO31" s="15" t="s">
        <v>1170</v>
      </c>
      <c r="AP31" s="15" t="s">
        <v>920</v>
      </c>
      <c r="AQ31" s="15" t="s">
        <v>858</v>
      </c>
      <c r="AR31" s="15" t="s">
        <v>921</v>
      </c>
      <c r="AS31" s="15" t="s">
        <v>785</v>
      </c>
      <c r="AT31" s="15" t="s">
        <v>1171</v>
      </c>
    </row>
    <row r="32" customHeight="1" spans="1:46">
      <c r="A32" s="15" t="s">
        <v>742</v>
      </c>
      <c r="B32" s="15" t="s">
        <v>215</v>
      </c>
      <c r="C32" s="15" t="s">
        <v>216</v>
      </c>
      <c r="D32" s="15" t="s">
        <v>786</v>
      </c>
      <c r="E32" s="15" t="s">
        <v>787</v>
      </c>
      <c r="F32" s="15" t="s">
        <v>788</v>
      </c>
      <c r="G32" s="15" t="s">
        <v>789</v>
      </c>
      <c r="H32" s="15" t="s">
        <v>789</v>
      </c>
      <c r="J32" s="15" t="s">
        <v>789</v>
      </c>
      <c r="K32" s="15" t="s">
        <v>981</v>
      </c>
      <c r="L32" s="15" t="s">
        <v>841</v>
      </c>
      <c r="M32" s="15" t="s">
        <v>980</v>
      </c>
      <c r="N32" s="15" t="s">
        <v>872</v>
      </c>
      <c r="O32" s="15" t="s">
        <v>752</v>
      </c>
      <c r="P32" s="15" t="s">
        <v>752</v>
      </c>
      <c r="Q32" s="15" t="s">
        <v>1226</v>
      </c>
      <c r="R32" s="15" t="s">
        <v>1227</v>
      </c>
      <c r="T32" s="15" t="s">
        <v>789</v>
      </c>
      <c r="U32" s="15" t="s">
        <v>1002</v>
      </c>
      <c r="V32" s="15" t="s">
        <v>789</v>
      </c>
      <c r="W32" s="15" t="s">
        <v>763</v>
      </c>
      <c r="X32" s="15" t="s">
        <v>1033</v>
      </c>
      <c r="Y32" s="15" t="s">
        <v>747</v>
      </c>
      <c r="Z32" s="15" t="s">
        <v>769</v>
      </c>
      <c r="AA32" s="15" t="s">
        <v>1228</v>
      </c>
      <c r="AB32" s="15" t="s">
        <v>768</v>
      </c>
      <c r="AC32" s="15" t="s">
        <v>991</v>
      </c>
      <c r="AD32" s="15" t="s">
        <v>1229</v>
      </c>
      <c r="AE32" s="15" t="s">
        <v>1230</v>
      </c>
      <c r="AF32" s="15" t="s">
        <v>1231</v>
      </c>
      <c r="AG32" s="15" t="s">
        <v>937</v>
      </c>
      <c r="AH32" s="15" t="s">
        <v>1232</v>
      </c>
      <c r="AI32" s="15" t="s">
        <v>903</v>
      </c>
      <c r="AJ32" s="15" t="s">
        <v>1233</v>
      </c>
      <c r="AK32" s="15" t="s">
        <v>1234</v>
      </c>
      <c r="AL32" s="15" t="s">
        <v>903</v>
      </c>
      <c r="AM32" s="15" t="s">
        <v>1235</v>
      </c>
      <c r="AN32" s="15" t="s">
        <v>1236</v>
      </c>
      <c r="AO32" s="15" t="s">
        <v>806</v>
      </c>
      <c r="AP32" s="15" t="s">
        <v>782</v>
      </c>
      <c r="AQ32" s="15" t="s">
        <v>783</v>
      </c>
      <c r="AR32" s="15" t="s">
        <v>784</v>
      </c>
      <c r="AS32" s="15" t="s">
        <v>785</v>
      </c>
      <c r="AT32" s="15" t="s">
        <v>802</v>
      </c>
    </row>
    <row r="34" customHeight="1" spans="1:16">
      <c r="A34" s="15" t="s">
        <v>1237</v>
      </c>
      <c r="B34" s="15" t="s">
        <v>1238</v>
      </c>
      <c r="C34" s="15" t="s">
        <v>1239</v>
      </c>
      <c r="D34" s="15" t="s">
        <v>1240</v>
      </c>
      <c r="E34" s="15" t="s">
        <v>1241</v>
      </c>
      <c r="F34" s="15" t="s">
        <v>1242</v>
      </c>
      <c r="G34" s="15" t="s">
        <v>1243</v>
      </c>
      <c r="H34" s="15" t="s">
        <v>1244</v>
      </c>
      <c r="I34" s="15" t="s">
        <v>1245</v>
      </c>
      <c r="J34" s="15" t="s">
        <v>1246</v>
      </c>
      <c r="K34" s="15" t="s">
        <v>1247</v>
      </c>
      <c r="L34" s="15" t="s">
        <v>1248</v>
      </c>
      <c r="M34" s="15" t="s">
        <v>1249</v>
      </c>
      <c r="N34" s="15" t="s">
        <v>1250</v>
      </c>
      <c r="O34" s="15" t="s">
        <v>742</v>
      </c>
      <c r="P34" s="15" t="s">
        <v>1251</v>
      </c>
    </row>
    <row r="35" customHeight="1" spans="1:17">
      <c r="A35" s="15" t="s">
        <v>184</v>
      </c>
      <c r="B35" s="15" t="s">
        <v>185</v>
      </c>
      <c r="C35" s="15" t="s">
        <v>804</v>
      </c>
      <c r="D35" s="15" t="s">
        <v>789</v>
      </c>
      <c r="E35" s="15" t="s">
        <v>804</v>
      </c>
      <c r="F35" s="15" t="s">
        <v>789</v>
      </c>
      <c r="G35" s="15" t="s">
        <v>804</v>
      </c>
      <c r="H35" s="15" t="s">
        <v>804</v>
      </c>
      <c r="I35" s="15" t="s">
        <v>789</v>
      </c>
      <c r="J35" s="15" t="s">
        <v>804</v>
      </c>
      <c r="K35" s="15" t="s">
        <v>789</v>
      </c>
      <c r="L35" s="15" t="s">
        <v>861</v>
      </c>
      <c r="M35" s="15" t="s">
        <v>789</v>
      </c>
      <c r="N35" s="15" t="s">
        <v>789</v>
      </c>
      <c r="O35" s="15" t="s">
        <v>789</v>
      </c>
      <c r="P35" s="15" t="s">
        <v>789</v>
      </c>
      <c r="Q35" s="15" t="s">
        <v>760</v>
      </c>
    </row>
    <row r="36" customHeight="1" spans="1:17">
      <c r="A36" s="15" t="s">
        <v>212</v>
      </c>
      <c r="B36" s="15" t="s">
        <v>213</v>
      </c>
      <c r="C36" s="15" t="s">
        <v>789</v>
      </c>
      <c r="D36" s="15" t="s">
        <v>789</v>
      </c>
      <c r="E36" s="15" t="s">
        <v>789</v>
      </c>
      <c r="F36" s="15" t="s">
        <v>789</v>
      </c>
      <c r="G36" s="15" t="s">
        <v>789</v>
      </c>
      <c r="H36" s="15" t="s">
        <v>789</v>
      </c>
      <c r="I36" s="15" t="s">
        <v>789</v>
      </c>
      <c r="J36" s="15" t="s">
        <v>789</v>
      </c>
      <c r="K36" s="15" t="s">
        <v>789</v>
      </c>
      <c r="L36" s="15" t="s">
        <v>789</v>
      </c>
      <c r="M36" s="15" t="s">
        <v>789</v>
      </c>
      <c r="N36" s="15" t="s">
        <v>789</v>
      </c>
      <c r="O36" s="15" t="s">
        <v>789</v>
      </c>
      <c r="P36" s="15" t="s">
        <v>789</v>
      </c>
      <c r="Q36" s="15" t="s">
        <v>789</v>
      </c>
    </row>
    <row r="37" customHeight="1" spans="1:17">
      <c r="A37" s="15" t="s">
        <v>178</v>
      </c>
      <c r="B37" s="15" t="s">
        <v>179</v>
      </c>
      <c r="C37" s="15" t="s">
        <v>804</v>
      </c>
      <c r="D37" s="15" t="s">
        <v>789</v>
      </c>
      <c r="E37" s="15" t="s">
        <v>789</v>
      </c>
      <c r="F37" s="15" t="s">
        <v>861</v>
      </c>
      <c r="G37" s="15" t="s">
        <v>804</v>
      </c>
      <c r="H37" s="15" t="s">
        <v>789</v>
      </c>
      <c r="I37" s="15" t="s">
        <v>789</v>
      </c>
      <c r="J37" s="15" t="s">
        <v>789</v>
      </c>
      <c r="K37" s="15" t="s">
        <v>789</v>
      </c>
      <c r="L37" s="15" t="s">
        <v>804</v>
      </c>
      <c r="M37" s="15" t="s">
        <v>789</v>
      </c>
      <c r="N37" s="15" t="s">
        <v>789</v>
      </c>
      <c r="O37" s="15" t="s">
        <v>789</v>
      </c>
      <c r="P37" s="15" t="s">
        <v>789</v>
      </c>
      <c r="Q37" s="15" t="s">
        <v>862</v>
      </c>
    </row>
    <row r="38" customHeight="1" spans="1:17">
      <c r="A38" s="15" t="s">
        <v>157</v>
      </c>
      <c r="B38" s="15" t="s">
        <v>158</v>
      </c>
      <c r="C38" s="15" t="s">
        <v>789</v>
      </c>
      <c r="D38" s="15" t="s">
        <v>804</v>
      </c>
      <c r="E38" s="15" t="s">
        <v>804</v>
      </c>
      <c r="F38" s="15" t="s">
        <v>789</v>
      </c>
      <c r="G38" s="15" t="s">
        <v>804</v>
      </c>
      <c r="H38" s="15" t="s">
        <v>789</v>
      </c>
      <c r="I38" s="15" t="s">
        <v>789</v>
      </c>
      <c r="J38" s="15" t="s">
        <v>789</v>
      </c>
      <c r="K38" s="15" t="s">
        <v>789</v>
      </c>
      <c r="L38" s="15" t="s">
        <v>789</v>
      </c>
      <c r="M38" s="15" t="s">
        <v>789</v>
      </c>
      <c r="N38" s="15" t="s">
        <v>804</v>
      </c>
      <c r="O38" s="15" t="s">
        <v>789</v>
      </c>
      <c r="P38" s="15" t="s">
        <v>789</v>
      </c>
      <c r="Q38" s="15" t="s">
        <v>748</v>
      </c>
    </row>
    <row r="39" customHeight="1" spans="1:17">
      <c r="A39" s="15" t="s">
        <v>230</v>
      </c>
      <c r="B39" s="15" t="s">
        <v>231</v>
      </c>
      <c r="C39" s="15" t="s">
        <v>789</v>
      </c>
      <c r="D39" s="15" t="s">
        <v>789</v>
      </c>
      <c r="E39" s="15" t="s">
        <v>789</v>
      </c>
      <c r="F39" s="15" t="s">
        <v>861</v>
      </c>
      <c r="G39" s="15" t="s">
        <v>861</v>
      </c>
      <c r="H39" s="15" t="s">
        <v>804</v>
      </c>
      <c r="I39" s="15" t="s">
        <v>789</v>
      </c>
      <c r="J39" s="15" t="s">
        <v>789</v>
      </c>
      <c r="K39" s="15" t="s">
        <v>789</v>
      </c>
      <c r="L39" s="15" t="s">
        <v>789</v>
      </c>
      <c r="M39" s="15" t="s">
        <v>804</v>
      </c>
      <c r="N39" s="15" t="s">
        <v>804</v>
      </c>
      <c r="O39" s="15" t="s">
        <v>789</v>
      </c>
      <c r="P39" s="15" t="s">
        <v>789</v>
      </c>
      <c r="Q39" s="15" t="s">
        <v>760</v>
      </c>
    </row>
    <row r="40" customHeight="1" spans="1:17">
      <c r="A40" s="15" t="s">
        <v>133</v>
      </c>
      <c r="B40" s="15" t="s">
        <v>134</v>
      </c>
      <c r="C40" s="15" t="s">
        <v>789</v>
      </c>
      <c r="D40" s="15" t="s">
        <v>789</v>
      </c>
      <c r="E40" s="15" t="s">
        <v>789</v>
      </c>
      <c r="F40" s="15" t="s">
        <v>789</v>
      </c>
      <c r="G40" s="15" t="s">
        <v>804</v>
      </c>
      <c r="H40" s="15" t="s">
        <v>789</v>
      </c>
      <c r="I40" s="15" t="s">
        <v>789</v>
      </c>
      <c r="J40" s="15" t="s">
        <v>789</v>
      </c>
      <c r="K40" s="15" t="s">
        <v>789</v>
      </c>
      <c r="L40" s="15" t="s">
        <v>789</v>
      </c>
      <c r="M40" s="15" t="s">
        <v>789</v>
      </c>
      <c r="N40" s="15" t="s">
        <v>789</v>
      </c>
      <c r="O40" s="15" t="s">
        <v>789</v>
      </c>
      <c r="P40" s="15" t="s">
        <v>789</v>
      </c>
      <c r="Q40" s="15" t="s">
        <v>804</v>
      </c>
    </row>
    <row r="41" customHeight="1" spans="1:17">
      <c r="A41" s="15" t="s">
        <v>115</v>
      </c>
      <c r="B41" s="15" t="s">
        <v>116</v>
      </c>
      <c r="C41" s="15" t="s">
        <v>789</v>
      </c>
      <c r="D41" s="15" t="s">
        <v>789</v>
      </c>
      <c r="E41" s="15" t="s">
        <v>789</v>
      </c>
      <c r="F41" s="15" t="s">
        <v>789</v>
      </c>
      <c r="G41" s="15" t="s">
        <v>789</v>
      </c>
      <c r="H41" s="15" t="s">
        <v>789</v>
      </c>
      <c r="I41" s="15" t="s">
        <v>789</v>
      </c>
      <c r="J41" s="15" t="s">
        <v>789</v>
      </c>
      <c r="K41" s="15" t="s">
        <v>789</v>
      </c>
      <c r="L41" s="15" t="s">
        <v>789</v>
      </c>
      <c r="M41" s="15" t="s">
        <v>789</v>
      </c>
      <c r="N41" s="15" t="s">
        <v>789</v>
      </c>
      <c r="O41" s="15" t="s">
        <v>789</v>
      </c>
      <c r="P41" s="15" t="s">
        <v>789</v>
      </c>
      <c r="Q41" s="15" t="s">
        <v>789</v>
      </c>
    </row>
    <row r="42" customHeight="1" spans="1:17">
      <c r="A42" s="15" t="s">
        <v>249</v>
      </c>
      <c r="B42" s="15" t="s">
        <v>250</v>
      </c>
      <c r="C42" s="15" t="s">
        <v>789</v>
      </c>
      <c r="D42" s="15" t="s">
        <v>789</v>
      </c>
      <c r="E42" s="15" t="s">
        <v>789</v>
      </c>
      <c r="F42" s="15" t="s">
        <v>789</v>
      </c>
      <c r="G42" s="15" t="s">
        <v>789</v>
      </c>
      <c r="H42" s="15" t="s">
        <v>789</v>
      </c>
      <c r="I42" s="15" t="s">
        <v>804</v>
      </c>
      <c r="J42" s="15" t="s">
        <v>789</v>
      </c>
      <c r="K42" s="15" t="s">
        <v>789</v>
      </c>
      <c r="L42" s="15" t="s">
        <v>789</v>
      </c>
      <c r="M42" s="15" t="s">
        <v>789</v>
      </c>
      <c r="N42" s="15" t="s">
        <v>789</v>
      </c>
      <c r="O42" s="15" t="s">
        <v>789</v>
      </c>
      <c r="P42" s="15" t="s">
        <v>789</v>
      </c>
      <c r="Q42" s="15" t="s">
        <v>804</v>
      </c>
    </row>
    <row r="43" customHeight="1" spans="1:17">
      <c r="A43" s="15" t="s">
        <v>139</v>
      </c>
      <c r="B43" s="15" t="s">
        <v>140</v>
      </c>
      <c r="C43" s="15" t="s">
        <v>789</v>
      </c>
      <c r="D43" s="15" t="s">
        <v>789</v>
      </c>
      <c r="E43" s="15" t="s">
        <v>804</v>
      </c>
      <c r="F43" s="15" t="s">
        <v>789</v>
      </c>
      <c r="G43" s="15" t="s">
        <v>789</v>
      </c>
      <c r="H43" s="15" t="s">
        <v>789</v>
      </c>
      <c r="I43" s="15" t="s">
        <v>804</v>
      </c>
      <c r="J43" s="15" t="s">
        <v>789</v>
      </c>
      <c r="K43" s="15" t="s">
        <v>804</v>
      </c>
      <c r="L43" s="15" t="s">
        <v>804</v>
      </c>
      <c r="M43" s="15" t="s">
        <v>861</v>
      </c>
      <c r="N43" s="15" t="s">
        <v>804</v>
      </c>
      <c r="O43" s="15" t="s">
        <v>789</v>
      </c>
      <c r="P43" s="15" t="s">
        <v>789</v>
      </c>
      <c r="Q43" s="15" t="s">
        <v>760</v>
      </c>
    </row>
    <row r="44" customHeight="1" spans="1:17">
      <c r="A44" s="15" t="s">
        <v>273</v>
      </c>
      <c r="B44" s="15" t="s">
        <v>274</v>
      </c>
      <c r="C44" s="15" t="s">
        <v>789</v>
      </c>
      <c r="D44" s="15" t="s">
        <v>804</v>
      </c>
      <c r="E44" s="15" t="s">
        <v>789</v>
      </c>
      <c r="F44" s="15" t="s">
        <v>789</v>
      </c>
      <c r="G44" s="15" t="s">
        <v>789</v>
      </c>
      <c r="H44" s="15" t="s">
        <v>789</v>
      </c>
      <c r="I44" s="15" t="s">
        <v>789</v>
      </c>
      <c r="J44" s="15" t="s">
        <v>789</v>
      </c>
      <c r="K44" s="15" t="s">
        <v>804</v>
      </c>
      <c r="L44" s="15" t="s">
        <v>804</v>
      </c>
      <c r="M44" s="15" t="s">
        <v>789</v>
      </c>
      <c r="N44" s="15" t="s">
        <v>789</v>
      </c>
      <c r="O44" s="15" t="s">
        <v>789</v>
      </c>
      <c r="P44" s="15" t="s">
        <v>789</v>
      </c>
      <c r="Q44" s="15" t="s">
        <v>747</v>
      </c>
    </row>
    <row r="45" customHeight="1" spans="1:17">
      <c r="A45" s="15" t="s">
        <v>169</v>
      </c>
      <c r="B45" s="15" t="s">
        <v>170</v>
      </c>
      <c r="C45" s="15" t="s">
        <v>789</v>
      </c>
      <c r="D45" s="15" t="s">
        <v>789</v>
      </c>
      <c r="E45" s="15" t="s">
        <v>789</v>
      </c>
      <c r="F45" s="15" t="s">
        <v>789</v>
      </c>
      <c r="G45" s="15" t="s">
        <v>789</v>
      </c>
      <c r="H45" s="15" t="s">
        <v>789</v>
      </c>
      <c r="I45" s="15" t="s">
        <v>789</v>
      </c>
      <c r="J45" s="15" t="s">
        <v>789</v>
      </c>
      <c r="K45" s="15" t="s">
        <v>789</v>
      </c>
      <c r="L45" s="15" t="s">
        <v>789</v>
      </c>
      <c r="M45" s="15" t="s">
        <v>789</v>
      </c>
      <c r="N45" s="15" t="s">
        <v>789</v>
      </c>
      <c r="O45" s="15" t="s">
        <v>789</v>
      </c>
      <c r="P45" s="15" t="s">
        <v>789</v>
      </c>
      <c r="Q45" s="15" t="s">
        <v>789</v>
      </c>
    </row>
    <row r="46" customHeight="1" spans="1:17">
      <c r="A46" s="15" t="s">
        <v>202</v>
      </c>
      <c r="B46" s="15" t="s">
        <v>203</v>
      </c>
      <c r="C46" s="15" t="s">
        <v>789</v>
      </c>
      <c r="D46" s="15" t="s">
        <v>789</v>
      </c>
      <c r="E46" s="15" t="s">
        <v>789</v>
      </c>
      <c r="F46" s="15" t="s">
        <v>789</v>
      </c>
      <c r="G46" s="15" t="s">
        <v>789</v>
      </c>
      <c r="H46" s="15" t="s">
        <v>789</v>
      </c>
      <c r="I46" s="15" t="s">
        <v>789</v>
      </c>
      <c r="J46" s="15" t="s">
        <v>804</v>
      </c>
      <c r="K46" s="15" t="s">
        <v>804</v>
      </c>
      <c r="L46" s="15" t="s">
        <v>789</v>
      </c>
      <c r="M46" s="15" t="s">
        <v>789</v>
      </c>
      <c r="N46" s="15" t="s">
        <v>789</v>
      </c>
      <c r="O46" s="15" t="s">
        <v>789</v>
      </c>
      <c r="P46" s="15" t="s">
        <v>789</v>
      </c>
      <c r="Q46" s="15" t="s">
        <v>861</v>
      </c>
    </row>
    <row r="47" customHeight="1" spans="1:17">
      <c r="A47" s="15" t="s">
        <v>252</v>
      </c>
      <c r="B47" s="15" t="s">
        <v>253</v>
      </c>
      <c r="C47" s="15" t="s">
        <v>789</v>
      </c>
      <c r="D47" s="15" t="s">
        <v>789</v>
      </c>
      <c r="E47" s="15" t="s">
        <v>789</v>
      </c>
      <c r="F47" s="15" t="s">
        <v>789</v>
      </c>
      <c r="G47" s="15" t="s">
        <v>789</v>
      </c>
      <c r="H47" s="15" t="s">
        <v>789</v>
      </c>
      <c r="I47" s="15" t="s">
        <v>789</v>
      </c>
      <c r="J47" s="15" t="s">
        <v>789</v>
      </c>
      <c r="K47" s="15" t="s">
        <v>789</v>
      </c>
      <c r="L47" s="15" t="s">
        <v>789</v>
      </c>
      <c r="M47" s="15" t="s">
        <v>789</v>
      </c>
      <c r="N47" s="15" t="s">
        <v>804</v>
      </c>
      <c r="O47" s="15" t="s">
        <v>789</v>
      </c>
      <c r="P47" s="15" t="s">
        <v>789</v>
      </c>
      <c r="Q47" s="15" t="s">
        <v>804</v>
      </c>
    </row>
    <row r="48" customHeight="1" spans="1:17">
      <c r="A48" s="15" t="s">
        <v>172</v>
      </c>
      <c r="B48" s="15" t="s">
        <v>173</v>
      </c>
      <c r="C48" s="15" t="s">
        <v>789</v>
      </c>
      <c r="D48" s="15" t="s">
        <v>789</v>
      </c>
      <c r="E48" s="15" t="s">
        <v>789</v>
      </c>
      <c r="F48" s="15" t="s">
        <v>789</v>
      </c>
      <c r="G48" s="15" t="s">
        <v>789</v>
      </c>
      <c r="H48" s="15" t="s">
        <v>789</v>
      </c>
      <c r="I48" s="15" t="s">
        <v>789</v>
      </c>
      <c r="J48" s="15" t="s">
        <v>789</v>
      </c>
      <c r="K48" s="15" t="s">
        <v>789</v>
      </c>
      <c r="L48" s="15" t="s">
        <v>789</v>
      </c>
      <c r="M48" s="15" t="s">
        <v>789</v>
      </c>
      <c r="N48" s="15" t="s">
        <v>861</v>
      </c>
      <c r="O48" s="15" t="s">
        <v>789</v>
      </c>
      <c r="P48" s="15" t="s">
        <v>789</v>
      </c>
      <c r="Q48" s="15" t="s">
        <v>861</v>
      </c>
    </row>
    <row r="49" customHeight="1" spans="1:17">
      <c r="A49" s="15" t="s">
        <v>187</v>
      </c>
      <c r="B49" s="15" t="s">
        <v>188</v>
      </c>
      <c r="C49" s="15" t="s">
        <v>789</v>
      </c>
      <c r="D49" s="15" t="s">
        <v>804</v>
      </c>
      <c r="E49" s="15" t="s">
        <v>789</v>
      </c>
      <c r="F49" s="15" t="s">
        <v>789</v>
      </c>
      <c r="G49" s="15" t="s">
        <v>789</v>
      </c>
      <c r="H49" s="15" t="s">
        <v>789</v>
      </c>
      <c r="I49" s="15" t="s">
        <v>789</v>
      </c>
      <c r="J49" s="15" t="s">
        <v>789</v>
      </c>
      <c r="K49" s="15" t="s">
        <v>804</v>
      </c>
      <c r="L49" s="15" t="s">
        <v>789</v>
      </c>
      <c r="M49" s="15" t="s">
        <v>789</v>
      </c>
      <c r="N49" s="15" t="s">
        <v>804</v>
      </c>
      <c r="O49" s="15" t="s">
        <v>789</v>
      </c>
      <c r="P49" s="15" t="s">
        <v>789</v>
      </c>
      <c r="Q49" s="15" t="s">
        <v>747</v>
      </c>
    </row>
    <row r="50" customHeight="1" spans="1:17">
      <c r="A50" s="15" t="s">
        <v>196</v>
      </c>
      <c r="B50" s="15" t="s">
        <v>197</v>
      </c>
      <c r="C50" s="15" t="s">
        <v>804</v>
      </c>
      <c r="D50" s="15" t="s">
        <v>804</v>
      </c>
      <c r="E50" s="15" t="s">
        <v>789</v>
      </c>
      <c r="F50" s="15" t="s">
        <v>789</v>
      </c>
      <c r="G50" s="15" t="s">
        <v>789</v>
      </c>
      <c r="H50" s="15" t="s">
        <v>789</v>
      </c>
      <c r="I50" s="15" t="s">
        <v>789</v>
      </c>
      <c r="J50" s="15" t="s">
        <v>789</v>
      </c>
      <c r="K50" s="15" t="s">
        <v>804</v>
      </c>
      <c r="L50" s="15" t="s">
        <v>789</v>
      </c>
      <c r="M50" s="15" t="s">
        <v>789</v>
      </c>
      <c r="N50" s="15" t="s">
        <v>789</v>
      </c>
      <c r="O50" s="15" t="s">
        <v>789</v>
      </c>
      <c r="P50" s="15" t="s">
        <v>789</v>
      </c>
      <c r="Q50" s="15" t="s">
        <v>747</v>
      </c>
    </row>
    <row r="51" customHeight="1" spans="1:17">
      <c r="A51" s="15" t="s">
        <v>233</v>
      </c>
      <c r="B51" s="15" t="s">
        <v>234</v>
      </c>
      <c r="C51" s="15" t="s">
        <v>804</v>
      </c>
      <c r="D51" s="15" t="s">
        <v>747</v>
      </c>
      <c r="E51" s="15" t="s">
        <v>789</v>
      </c>
      <c r="F51" s="15" t="s">
        <v>804</v>
      </c>
      <c r="G51" s="15" t="s">
        <v>789</v>
      </c>
      <c r="H51" s="15" t="s">
        <v>789</v>
      </c>
      <c r="I51" s="15" t="s">
        <v>789</v>
      </c>
      <c r="J51" s="15" t="s">
        <v>789</v>
      </c>
      <c r="K51" s="15" t="s">
        <v>804</v>
      </c>
      <c r="L51" s="15" t="s">
        <v>804</v>
      </c>
      <c r="M51" s="15" t="s">
        <v>861</v>
      </c>
      <c r="N51" s="15" t="s">
        <v>789</v>
      </c>
      <c r="O51" s="15" t="s">
        <v>789</v>
      </c>
      <c r="P51" s="15" t="s">
        <v>789</v>
      </c>
      <c r="Q51" s="15" t="s">
        <v>769</v>
      </c>
    </row>
    <row r="52" customHeight="1" spans="1:17">
      <c r="A52" s="15" t="s">
        <v>193</v>
      </c>
      <c r="B52" s="15" t="s">
        <v>194</v>
      </c>
      <c r="C52" s="15" t="s">
        <v>789</v>
      </c>
      <c r="D52" s="15" t="s">
        <v>789</v>
      </c>
      <c r="E52" s="15" t="s">
        <v>789</v>
      </c>
      <c r="F52" s="15" t="s">
        <v>789</v>
      </c>
      <c r="G52" s="15" t="s">
        <v>789</v>
      </c>
      <c r="H52" s="15" t="s">
        <v>789</v>
      </c>
      <c r="I52" s="15" t="s">
        <v>789</v>
      </c>
      <c r="J52" s="15" t="s">
        <v>789</v>
      </c>
      <c r="K52" s="15" t="s">
        <v>789</v>
      </c>
      <c r="L52" s="15" t="s">
        <v>789</v>
      </c>
      <c r="M52" s="15" t="s">
        <v>789</v>
      </c>
      <c r="N52" s="15" t="s">
        <v>789</v>
      </c>
      <c r="O52" s="15" t="s">
        <v>789</v>
      </c>
      <c r="P52" s="15" t="s">
        <v>789</v>
      </c>
      <c r="Q52" s="15" t="s">
        <v>789</v>
      </c>
    </row>
    <row r="53" customHeight="1" spans="1:17">
      <c r="A53" s="15" t="s">
        <v>160</v>
      </c>
      <c r="B53" s="15" t="s">
        <v>161</v>
      </c>
      <c r="C53" s="15" t="s">
        <v>789</v>
      </c>
      <c r="D53" s="15" t="s">
        <v>789</v>
      </c>
      <c r="E53" s="15" t="s">
        <v>789</v>
      </c>
      <c r="F53" s="15" t="s">
        <v>789</v>
      </c>
      <c r="G53" s="15" t="s">
        <v>789</v>
      </c>
      <c r="H53" s="15" t="s">
        <v>789</v>
      </c>
      <c r="I53" s="15" t="s">
        <v>804</v>
      </c>
      <c r="J53" s="15" t="s">
        <v>789</v>
      </c>
      <c r="K53" s="15" t="s">
        <v>789</v>
      </c>
      <c r="L53" s="15" t="s">
        <v>789</v>
      </c>
      <c r="M53" s="15" t="s">
        <v>789</v>
      </c>
      <c r="N53" s="15" t="s">
        <v>789</v>
      </c>
      <c r="O53" s="15" t="s">
        <v>789</v>
      </c>
      <c r="P53" s="15" t="s">
        <v>789</v>
      </c>
      <c r="Q53" s="15" t="s">
        <v>804</v>
      </c>
    </row>
    <row r="54" customHeight="1" spans="1:17">
      <c r="A54" s="15" t="s">
        <v>227</v>
      </c>
      <c r="B54" s="15" t="s">
        <v>228</v>
      </c>
      <c r="C54" s="15" t="s">
        <v>789</v>
      </c>
      <c r="D54" s="15" t="s">
        <v>789</v>
      </c>
      <c r="E54" s="15" t="s">
        <v>789</v>
      </c>
      <c r="F54" s="15" t="s">
        <v>789</v>
      </c>
      <c r="G54" s="15" t="s">
        <v>789</v>
      </c>
      <c r="H54" s="15" t="s">
        <v>804</v>
      </c>
      <c r="I54" s="15" t="s">
        <v>804</v>
      </c>
      <c r="J54" s="15" t="s">
        <v>804</v>
      </c>
      <c r="K54" s="15" t="s">
        <v>789</v>
      </c>
      <c r="L54" s="15" t="s">
        <v>804</v>
      </c>
      <c r="M54" s="15" t="s">
        <v>789</v>
      </c>
      <c r="N54" s="15" t="s">
        <v>789</v>
      </c>
      <c r="O54" s="15" t="s">
        <v>789</v>
      </c>
      <c r="P54" s="15" t="s">
        <v>789</v>
      </c>
      <c r="Q54" s="15" t="s">
        <v>748</v>
      </c>
    </row>
    <row r="55" customHeight="1" spans="1:17">
      <c r="A55" s="15" t="s">
        <v>127</v>
      </c>
      <c r="B55" s="15" t="s">
        <v>128</v>
      </c>
      <c r="C55" s="15" t="s">
        <v>804</v>
      </c>
      <c r="D55" s="15" t="s">
        <v>789</v>
      </c>
      <c r="E55" s="15" t="s">
        <v>789</v>
      </c>
      <c r="F55" s="15" t="s">
        <v>861</v>
      </c>
      <c r="G55" s="15" t="s">
        <v>789</v>
      </c>
      <c r="H55" s="15" t="s">
        <v>804</v>
      </c>
      <c r="I55" s="15" t="s">
        <v>789</v>
      </c>
      <c r="J55" s="15" t="s">
        <v>804</v>
      </c>
      <c r="K55" s="15" t="s">
        <v>789</v>
      </c>
      <c r="L55" s="15" t="s">
        <v>789</v>
      </c>
      <c r="M55" s="15" t="s">
        <v>789</v>
      </c>
      <c r="N55" s="15" t="s">
        <v>789</v>
      </c>
      <c r="O55" s="15" t="s">
        <v>789</v>
      </c>
      <c r="P55" s="15" t="s">
        <v>789</v>
      </c>
      <c r="Q55" s="15" t="s">
        <v>862</v>
      </c>
    </row>
    <row r="56" customHeight="1" spans="1:17">
      <c r="A56" s="15" t="s">
        <v>205</v>
      </c>
      <c r="B56" s="15" t="s">
        <v>206</v>
      </c>
      <c r="C56" s="15" t="s">
        <v>789</v>
      </c>
      <c r="D56" s="15" t="s">
        <v>789</v>
      </c>
      <c r="E56" s="15" t="s">
        <v>789</v>
      </c>
      <c r="F56" s="15" t="s">
        <v>789</v>
      </c>
      <c r="G56" s="15" t="s">
        <v>789</v>
      </c>
      <c r="H56" s="15" t="s">
        <v>789</v>
      </c>
      <c r="I56" s="15" t="s">
        <v>789</v>
      </c>
      <c r="J56" s="15" t="s">
        <v>789</v>
      </c>
      <c r="K56" s="15" t="s">
        <v>789</v>
      </c>
      <c r="L56" s="15" t="s">
        <v>804</v>
      </c>
      <c r="M56" s="15" t="s">
        <v>789</v>
      </c>
      <c r="N56" s="15" t="s">
        <v>789</v>
      </c>
      <c r="O56" s="15" t="s">
        <v>789</v>
      </c>
      <c r="P56" s="15" t="s">
        <v>789</v>
      </c>
      <c r="Q56" s="15" t="s">
        <v>804</v>
      </c>
    </row>
    <row r="57" customHeight="1" spans="1:17">
      <c r="A57" s="15" t="s">
        <v>118</v>
      </c>
      <c r="B57" s="15" t="s">
        <v>119</v>
      </c>
      <c r="C57" s="15" t="s">
        <v>789</v>
      </c>
      <c r="D57" s="15" t="s">
        <v>789</v>
      </c>
      <c r="E57" s="15" t="s">
        <v>789</v>
      </c>
      <c r="F57" s="15" t="s">
        <v>789</v>
      </c>
      <c r="G57" s="15" t="s">
        <v>789</v>
      </c>
      <c r="H57" s="15" t="s">
        <v>789</v>
      </c>
      <c r="I57" s="15" t="s">
        <v>789</v>
      </c>
      <c r="J57" s="15" t="s">
        <v>789</v>
      </c>
      <c r="K57" s="15" t="s">
        <v>789</v>
      </c>
      <c r="L57" s="15" t="s">
        <v>789</v>
      </c>
      <c r="M57" s="15" t="s">
        <v>789</v>
      </c>
      <c r="N57" s="15" t="s">
        <v>789</v>
      </c>
      <c r="O57" s="15" t="s">
        <v>789</v>
      </c>
      <c r="P57" s="15" t="s">
        <v>789</v>
      </c>
      <c r="Q57" s="15" t="s">
        <v>789</v>
      </c>
    </row>
    <row r="58" customHeight="1" spans="1:17">
      <c r="A58" s="15" t="s">
        <v>199</v>
      </c>
      <c r="B58" s="15" t="s">
        <v>200</v>
      </c>
      <c r="C58" s="15" t="s">
        <v>789</v>
      </c>
      <c r="D58" s="15" t="s">
        <v>747</v>
      </c>
      <c r="E58" s="15" t="s">
        <v>789</v>
      </c>
      <c r="F58" s="15" t="s">
        <v>804</v>
      </c>
      <c r="G58" s="15" t="s">
        <v>789</v>
      </c>
      <c r="H58" s="15" t="s">
        <v>789</v>
      </c>
      <c r="I58" s="15" t="s">
        <v>789</v>
      </c>
      <c r="J58" s="15" t="s">
        <v>804</v>
      </c>
      <c r="K58" s="15" t="s">
        <v>789</v>
      </c>
      <c r="L58" s="15" t="s">
        <v>804</v>
      </c>
      <c r="M58" s="15" t="s">
        <v>804</v>
      </c>
      <c r="N58" s="15" t="s">
        <v>789</v>
      </c>
      <c r="O58" s="15" t="s">
        <v>789</v>
      </c>
      <c r="P58" s="15" t="s">
        <v>789</v>
      </c>
      <c r="Q58" s="15" t="s">
        <v>760</v>
      </c>
    </row>
    <row r="59" customHeight="1" spans="1:17">
      <c r="A59" s="15" t="s">
        <v>151</v>
      </c>
      <c r="B59" s="15" t="s">
        <v>152</v>
      </c>
      <c r="C59" s="15" t="s">
        <v>789</v>
      </c>
      <c r="D59" s="15" t="s">
        <v>789</v>
      </c>
      <c r="E59" s="15" t="s">
        <v>789</v>
      </c>
      <c r="F59" s="15" t="s">
        <v>789</v>
      </c>
      <c r="G59" s="15" t="s">
        <v>789</v>
      </c>
      <c r="H59" s="15" t="s">
        <v>789</v>
      </c>
      <c r="I59" s="15" t="s">
        <v>789</v>
      </c>
      <c r="J59" s="15" t="s">
        <v>789</v>
      </c>
      <c r="K59" s="15" t="s">
        <v>789</v>
      </c>
      <c r="L59" s="15" t="s">
        <v>789</v>
      </c>
      <c r="M59" s="15" t="s">
        <v>789</v>
      </c>
      <c r="N59" s="15" t="s">
        <v>861</v>
      </c>
      <c r="O59" s="15" t="s">
        <v>789</v>
      </c>
      <c r="P59" s="15" t="s">
        <v>789</v>
      </c>
      <c r="Q59" s="15" t="s">
        <v>861</v>
      </c>
    </row>
    <row r="60" customHeight="1" spans="1:17">
      <c r="A60" s="15" t="s">
        <v>163</v>
      </c>
      <c r="B60" s="15" t="s">
        <v>164</v>
      </c>
      <c r="C60" s="15" t="s">
        <v>789</v>
      </c>
      <c r="D60" s="15" t="s">
        <v>789</v>
      </c>
      <c r="E60" s="15" t="s">
        <v>789</v>
      </c>
      <c r="F60" s="15" t="s">
        <v>789</v>
      </c>
      <c r="G60" s="15" t="s">
        <v>789</v>
      </c>
      <c r="H60" s="15" t="s">
        <v>804</v>
      </c>
      <c r="I60" s="15" t="s">
        <v>789</v>
      </c>
      <c r="J60" s="15" t="s">
        <v>789</v>
      </c>
      <c r="K60" s="15" t="s">
        <v>789</v>
      </c>
      <c r="L60" s="15" t="s">
        <v>789</v>
      </c>
      <c r="M60" s="15" t="s">
        <v>789</v>
      </c>
      <c r="N60" s="15" t="s">
        <v>789</v>
      </c>
      <c r="O60" s="15" t="s">
        <v>789</v>
      </c>
      <c r="P60" s="15" t="s">
        <v>789</v>
      </c>
      <c r="Q60" s="15" t="s">
        <v>804</v>
      </c>
    </row>
    <row r="61" customHeight="1" spans="1:17">
      <c r="A61" s="15" t="s">
        <v>261</v>
      </c>
      <c r="B61" s="15" t="s">
        <v>262</v>
      </c>
      <c r="C61" s="15" t="s">
        <v>789</v>
      </c>
      <c r="D61" s="15" t="s">
        <v>789</v>
      </c>
      <c r="E61" s="15" t="s">
        <v>789</v>
      </c>
      <c r="F61" s="15" t="s">
        <v>789</v>
      </c>
      <c r="G61" s="15" t="s">
        <v>789</v>
      </c>
      <c r="H61" s="15" t="s">
        <v>789</v>
      </c>
      <c r="I61" s="15" t="s">
        <v>789</v>
      </c>
      <c r="J61" s="15" t="s">
        <v>789</v>
      </c>
      <c r="K61" s="15" t="s">
        <v>789</v>
      </c>
      <c r="L61" s="15" t="s">
        <v>789</v>
      </c>
      <c r="M61" s="15" t="s">
        <v>789</v>
      </c>
      <c r="N61" s="15" t="s">
        <v>789</v>
      </c>
      <c r="O61" s="15" t="s">
        <v>789</v>
      </c>
      <c r="P61" s="15" t="s">
        <v>789</v>
      </c>
      <c r="Q61" s="15" t="s">
        <v>789</v>
      </c>
    </row>
    <row r="62" customHeight="1" spans="1:17">
      <c r="A62" s="15" t="s">
        <v>236</v>
      </c>
      <c r="B62" s="15" t="s">
        <v>237</v>
      </c>
      <c r="C62" s="15" t="s">
        <v>789</v>
      </c>
      <c r="D62" s="15" t="s">
        <v>789</v>
      </c>
      <c r="E62" s="15" t="s">
        <v>789</v>
      </c>
      <c r="F62" s="15" t="s">
        <v>789</v>
      </c>
      <c r="G62" s="15" t="s">
        <v>789</v>
      </c>
      <c r="H62" s="15" t="s">
        <v>789</v>
      </c>
      <c r="I62" s="15" t="s">
        <v>789</v>
      </c>
      <c r="J62" s="15" t="s">
        <v>789</v>
      </c>
      <c r="K62" s="15" t="s">
        <v>789</v>
      </c>
      <c r="L62" s="15" t="s">
        <v>789</v>
      </c>
      <c r="M62" s="15" t="s">
        <v>789</v>
      </c>
      <c r="N62" s="15" t="s">
        <v>789</v>
      </c>
      <c r="O62" s="15" t="s">
        <v>789</v>
      </c>
      <c r="P62" s="15" t="s">
        <v>789</v>
      </c>
      <c r="Q62" s="15" t="s">
        <v>789</v>
      </c>
    </row>
    <row r="63" customHeight="1" spans="1:17">
      <c r="A63" s="15" t="s">
        <v>121</v>
      </c>
      <c r="B63" s="15" t="s">
        <v>122</v>
      </c>
      <c r="C63" s="15" t="s">
        <v>789</v>
      </c>
      <c r="D63" s="15" t="s">
        <v>789</v>
      </c>
      <c r="E63" s="15" t="s">
        <v>789</v>
      </c>
      <c r="F63" s="15" t="s">
        <v>789</v>
      </c>
      <c r="G63" s="15" t="s">
        <v>789</v>
      </c>
      <c r="H63" s="15" t="s">
        <v>789</v>
      </c>
      <c r="I63" s="15" t="s">
        <v>789</v>
      </c>
      <c r="J63" s="15" t="s">
        <v>789</v>
      </c>
      <c r="K63" s="15" t="s">
        <v>789</v>
      </c>
      <c r="L63" s="15" t="s">
        <v>789</v>
      </c>
      <c r="M63" s="15" t="s">
        <v>789</v>
      </c>
      <c r="N63" s="15" t="s">
        <v>789</v>
      </c>
      <c r="O63" s="15" t="s">
        <v>789</v>
      </c>
      <c r="P63" s="15" t="s">
        <v>789</v>
      </c>
      <c r="Q63" s="15" t="s">
        <v>789</v>
      </c>
    </row>
    <row r="64" customHeight="1" spans="1:17">
      <c r="A64" s="15" t="s">
        <v>215</v>
      </c>
      <c r="B64" s="15" t="s">
        <v>216</v>
      </c>
      <c r="C64" s="15" t="s">
        <v>789</v>
      </c>
      <c r="D64" s="15" t="s">
        <v>789</v>
      </c>
      <c r="E64" s="15" t="s">
        <v>789</v>
      </c>
      <c r="F64" s="15" t="s">
        <v>789</v>
      </c>
      <c r="G64" s="15" t="s">
        <v>789</v>
      </c>
      <c r="H64" s="15" t="s">
        <v>789</v>
      </c>
      <c r="I64" s="15" t="s">
        <v>789</v>
      </c>
      <c r="J64" s="15" t="s">
        <v>789</v>
      </c>
      <c r="K64" s="15" t="s">
        <v>789</v>
      </c>
      <c r="L64" s="15" t="s">
        <v>789</v>
      </c>
      <c r="M64" s="15" t="s">
        <v>789</v>
      </c>
      <c r="N64" s="15" t="s">
        <v>789</v>
      </c>
      <c r="O64" s="15" t="s">
        <v>789</v>
      </c>
      <c r="P64" s="15" t="s">
        <v>789</v>
      </c>
      <c r="Q64" s="15" t="s">
        <v>789</v>
      </c>
    </row>
    <row r="66" customHeight="1" spans="1:1">
      <c r="A66" s="15" t="s">
        <v>1252</v>
      </c>
    </row>
    <row r="67" customHeight="1" spans="1:17">
      <c r="A67" s="15" t="s">
        <v>1253</v>
      </c>
      <c r="B67" s="15" t="s">
        <v>738</v>
      </c>
      <c r="C67" s="15" t="s">
        <v>700</v>
      </c>
      <c r="D67" s="15" t="s">
        <v>699</v>
      </c>
      <c r="E67" s="15" t="s">
        <v>701</v>
      </c>
      <c r="F67" s="15" t="s">
        <v>1254</v>
      </c>
      <c r="G67" s="15" t="s">
        <v>1255</v>
      </c>
      <c r="H67" s="15" t="s">
        <v>1256</v>
      </c>
      <c r="I67" s="15" t="s">
        <v>1257</v>
      </c>
      <c r="J67" s="15" t="s">
        <v>1258</v>
      </c>
      <c r="K67" s="15" t="s">
        <v>1259</v>
      </c>
      <c r="L67" s="15" t="s">
        <v>1260</v>
      </c>
      <c r="M67" s="15" t="s">
        <v>740</v>
      </c>
      <c r="N67" s="15" t="s">
        <v>739</v>
      </c>
      <c r="O67" s="15" t="s">
        <v>1261</v>
      </c>
      <c r="P67" s="15" t="s">
        <v>1262</v>
      </c>
      <c r="Q67" s="15" t="s">
        <v>1263</v>
      </c>
    </row>
    <row r="68" customHeight="1" spans="1:17">
      <c r="A68" s="15" t="s">
        <v>1264</v>
      </c>
      <c r="B68" s="15" t="s">
        <v>941</v>
      </c>
      <c r="C68" s="15" t="s">
        <v>140</v>
      </c>
      <c r="D68" s="15" t="s">
        <v>139</v>
      </c>
      <c r="E68" s="15" t="s">
        <v>786</v>
      </c>
      <c r="F68" s="15" t="s">
        <v>940</v>
      </c>
      <c r="G68" s="15" t="s">
        <v>1265</v>
      </c>
      <c r="H68" s="15" t="s">
        <v>1266</v>
      </c>
      <c r="I68" s="15" t="s">
        <v>1267</v>
      </c>
      <c r="J68" s="15" t="s">
        <v>1268</v>
      </c>
      <c r="K68" s="15" t="s">
        <v>1269</v>
      </c>
      <c r="L68" s="15" t="s">
        <v>1270</v>
      </c>
      <c r="M68" s="15" t="s">
        <v>785</v>
      </c>
      <c r="N68" s="15" t="s">
        <v>963</v>
      </c>
      <c r="O68" s="15" t="s">
        <v>1271</v>
      </c>
      <c r="P68" s="15" t="s">
        <v>1272</v>
      </c>
      <c r="Q68" s="15" t="s">
        <v>1273</v>
      </c>
    </row>
    <row r="69" customHeight="1" spans="1:17">
      <c r="A69" s="15" t="s">
        <v>1274</v>
      </c>
      <c r="B69" s="15" t="s">
        <v>941</v>
      </c>
      <c r="C69" s="15" t="s">
        <v>250</v>
      </c>
      <c r="D69" s="15" t="s">
        <v>249</v>
      </c>
      <c r="E69" s="15" t="s">
        <v>786</v>
      </c>
      <c r="F69" s="15" t="s">
        <v>940</v>
      </c>
      <c r="G69" s="15" t="s">
        <v>1275</v>
      </c>
      <c r="H69" s="15" t="s">
        <v>1276</v>
      </c>
      <c r="I69" s="15" t="s">
        <v>1277</v>
      </c>
      <c r="J69" s="15" t="s">
        <v>1278</v>
      </c>
      <c r="K69" s="15" t="s">
        <v>1279</v>
      </c>
      <c r="L69" s="15" t="s">
        <v>1270</v>
      </c>
      <c r="M69" s="15" t="s">
        <v>785</v>
      </c>
      <c r="N69" s="15" t="s">
        <v>942</v>
      </c>
      <c r="O69" s="15" t="s">
        <v>1271</v>
      </c>
      <c r="P69" s="15" t="s">
        <v>1272</v>
      </c>
      <c r="Q69" s="15" t="s">
        <v>1273</v>
      </c>
    </row>
    <row r="70" customHeight="1" spans="1:17">
      <c r="A70" s="15" t="s">
        <v>1280</v>
      </c>
      <c r="B70" s="15" t="s">
        <v>858</v>
      </c>
      <c r="C70" s="15" t="s">
        <v>234</v>
      </c>
      <c r="D70" s="15" t="s">
        <v>233</v>
      </c>
      <c r="E70" s="15" t="s">
        <v>786</v>
      </c>
      <c r="F70" s="15" t="s">
        <v>857</v>
      </c>
      <c r="G70" s="15" t="s">
        <v>1281</v>
      </c>
      <c r="H70" s="15" t="s">
        <v>1282</v>
      </c>
      <c r="I70" s="15" t="s">
        <v>1283</v>
      </c>
      <c r="J70" s="15" t="s">
        <v>1284</v>
      </c>
      <c r="K70" s="15" t="s">
        <v>1285</v>
      </c>
      <c r="L70" s="15" t="s">
        <v>1270</v>
      </c>
      <c r="M70" s="15" t="s">
        <v>785</v>
      </c>
      <c r="N70" s="15" t="s">
        <v>859</v>
      </c>
      <c r="O70" s="15" t="s">
        <v>1286</v>
      </c>
      <c r="P70" s="15" t="s">
        <v>1272</v>
      </c>
      <c r="Q70" s="15" t="s">
        <v>1273</v>
      </c>
    </row>
    <row r="71" customHeight="1" spans="1:17">
      <c r="A71" s="15" t="s">
        <v>1287</v>
      </c>
      <c r="B71" s="15" t="s">
        <v>858</v>
      </c>
      <c r="C71" s="15" t="s">
        <v>200</v>
      </c>
      <c r="D71" s="15" t="s">
        <v>199</v>
      </c>
      <c r="E71" s="15" t="s">
        <v>786</v>
      </c>
      <c r="F71" s="15" t="s">
        <v>857</v>
      </c>
      <c r="G71" s="15" t="s">
        <v>1288</v>
      </c>
      <c r="H71" s="15" t="s">
        <v>1289</v>
      </c>
      <c r="I71" s="15" t="s">
        <v>1290</v>
      </c>
      <c r="J71" s="15" t="s">
        <v>1284</v>
      </c>
      <c r="K71" s="15" t="s">
        <v>1285</v>
      </c>
      <c r="L71" s="15" t="s">
        <v>1270</v>
      </c>
      <c r="M71" s="15" t="s">
        <v>785</v>
      </c>
      <c r="N71" s="15" t="s">
        <v>859</v>
      </c>
      <c r="O71" s="15" t="s">
        <v>1286</v>
      </c>
      <c r="P71" s="15" t="s">
        <v>1272</v>
      </c>
      <c r="Q71" s="15" t="s">
        <v>1273</v>
      </c>
    </row>
    <row r="72" customHeight="1" spans="1:17">
      <c r="A72" s="15" t="s">
        <v>1291</v>
      </c>
      <c r="B72" s="15" t="s">
        <v>858</v>
      </c>
      <c r="C72" s="15" t="s">
        <v>152</v>
      </c>
      <c r="D72" s="15" t="s">
        <v>151</v>
      </c>
      <c r="E72" s="15" t="s">
        <v>786</v>
      </c>
      <c r="F72" s="15" t="s">
        <v>857</v>
      </c>
      <c r="G72" s="15" t="s">
        <v>1292</v>
      </c>
      <c r="H72" s="15" t="s">
        <v>1293</v>
      </c>
      <c r="I72" s="15" t="s">
        <v>1294</v>
      </c>
      <c r="J72" s="15" t="s">
        <v>1284</v>
      </c>
      <c r="K72" s="15" t="s">
        <v>1285</v>
      </c>
      <c r="L72" s="15" t="s">
        <v>1270</v>
      </c>
      <c r="M72" s="15" t="s">
        <v>785</v>
      </c>
      <c r="N72" s="15" t="s">
        <v>859</v>
      </c>
      <c r="O72" s="15" t="s">
        <v>1286</v>
      </c>
      <c r="P72" s="15" t="s">
        <v>1272</v>
      </c>
      <c r="Q72" s="15" t="s">
        <v>1273</v>
      </c>
    </row>
    <row r="73" customHeight="1" spans="1:17">
      <c r="A73" s="15" t="s">
        <v>1295</v>
      </c>
      <c r="B73" s="15" t="s">
        <v>858</v>
      </c>
      <c r="C73" s="15" t="s">
        <v>158</v>
      </c>
      <c r="D73" s="15" t="s">
        <v>157</v>
      </c>
      <c r="E73" s="15" t="s">
        <v>744</v>
      </c>
      <c r="F73" s="15" t="s">
        <v>857</v>
      </c>
      <c r="G73" s="15" t="s">
        <v>1296</v>
      </c>
      <c r="H73" s="15" t="s">
        <v>1297</v>
      </c>
      <c r="I73" s="15" t="s">
        <v>1298</v>
      </c>
      <c r="J73" s="15" t="s">
        <v>1284</v>
      </c>
      <c r="K73" s="15" t="s">
        <v>1285</v>
      </c>
      <c r="L73" s="15" t="s">
        <v>1270</v>
      </c>
      <c r="M73" s="15" t="s">
        <v>785</v>
      </c>
      <c r="N73" s="15" t="s">
        <v>859</v>
      </c>
      <c r="O73" s="15" t="s">
        <v>1286</v>
      </c>
      <c r="P73" s="15" t="s">
        <v>1272</v>
      </c>
      <c r="Q73" s="15" t="s">
        <v>1273</v>
      </c>
    </row>
    <row r="74" customHeight="1" spans="1:17">
      <c r="A74" s="15" t="s">
        <v>1299</v>
      </c>
      <c r="B74" s="15" t="s">
        <v>858</v>
      </c>
      <c r="C74" s="15" t="s">
        <v>253</v>
      </c>
      <c r="D74" s="15" t="s">
        <v>252</v>
      </c>
      <c r="E74" s="15" t="s">
        <v>786</v>
      </c>
      <c r="F74" s="15" t="s">
        <v>857</v>
      </c>
      <c r="G74" s="15" t="s">
        <v>1300</v>
      </c>
      <c r="H74" s="15" t="s">
        <v>1301</v>
      </c>
      <c r="I74" s="15" t="s">
        <v>1298</v>
      </c>
      <c r="J74" s="15" t="s">
        <v>1284</v>
      </c>
      <c r="K74" s="15" t="s">
        <v>1285</v>
      </c>
      <c r="L74" s="15" t="s">
        <v>1270</v>
      </c>
      <c r="M74" s="15" t="s">
        <v>785</v>
      </c>
      <c r="N74" s="15" t="s">
        <v>859</v>
      </c>
      <c r="O74" s="15" t="s">
        <v>1286</v>
      </c>
      <c r="P74" s="15" t="s">
        <v>1272</v>
      </c>
      <c r="Q74" s="15" t="s">
        <v>1273</v>
      </c>
    </row>
    <row r="75" customHeight="1" spans="1:17">
      <c r="A75" s="15" t="s">
        <v>1302</v>
      </c>
      <c r="B75" s="15" t="s">
        <v>858</v>
      </c>
      <c r="C75" s="15" t="s">
        <v>170</v>
      </c>
      <c r="D75" s="15" t="s">
        <v>169</v>
      </c>
      <c r="E75" s="15" t="s">
        <v>786</v>
      </c>
      <c r="F75" s="15" t="s">
        <v>920</v>
      </c>
      <c r="G75" s="15" t="s">
        <v>1303</v>
      </c>
      <c r="H75" s="15" t="s">
        <v>1304</v>
      </c>
      <c r="I75" s="15" t="s">
        <v>1305</v>
      </c>
      <c r="J75" s="15" t="s">
        <v>1306</v>
      </c>
      <c r="K75" s="15" t="s">
        <v>1307</v>
      </c>
      <c r="L75" s="15" t="s">
        <v>1270</v>
      </c>
      <c r="M75" s="15" t="s">
        <v>785</v>
      </c>
      <c r="N75" s="15" t="s">
        <v>921</v>
      </c>
      <c r="O75" s="15" t="s">
        <v>1286</v>
      </c>
      <c r="P75" s="15" t="s">
        <v>1304</v>
      </c>
      <c r="Q75" s="15" t="s">
        <v>1273</v>
      </c>
    </row>
    <row r="76" customHeight="1" spans="1:17">
      <c r="A76" s="15" t="s">
        <v>1308</v>
      </c>
      <c r="B76" s="15" t="s">
        <v>858</v>
      </c>
      <c r="C76" s="15" t="s">
        <v>122</v>
      </c>
      <c r="D76" s="15" t="s">
        <v>121</v>
      </c>
      <c r="E76" s="15" t="s">
        <v>786</v>
      </c>
      <c r="F76" s="15" t="s">
        <v>920</v>
      </c>
      <c r="G76" s="15" t="s">
        <v>1309</v>
      </c>
      <c r="H76" s="15" t="s">
        <v>1304</v>
      </c>
      <c r="I76" s="15" t="s">
        <v>1305</v>
      </c>
      <c r="J76" s="15" t="s">
        <v>1306</v>
      </c>
      <c r="K76" s="15" t="s">
        <v>1307</v>
      </c>
      <c r="L76" s="15" t="s">
        <v>1270</v>
      </c>
      <c r="M76" s="15" t="s">
        <v>785</v>
      </c>
      <c r="N76" s="15" t="s">
        <v>921</v>
      </c>
      <c r="O76" s="15" t="s">
        <v>1286</v>
      </c>
      <c r="P76" s="15" t="s">
        <v>1304</v>
      </c>
      <c r="Q76" s="15" t="s">
        <v>1273</v>
      </c>
    </row>
    <row r="77" customHeight="1" spans="1:17">
      <c r="A77" s="15" t="s">
        <v>1310</v>
      </c>
      <c r="B77" s="15" t="s">
        <v>858</v>
      </c>
      <c r="C77" s="15" t="s">
        <v>119</v>
      </c>
      <c r="D77" s="15" t="s">
        <v>118</v>
      </c>
      <c r="E77" s="15" t="s">
        <v>786</v>
      </c>
      <c r="F77" s="15" t="s">
        <v>920</v>
      </c>
      <c r="G77" s="15" t="s">
        <v>1311</v>
      </c>
      <c r="H77" s="15" t="s">
        <v>1304</v>
      </c>
      <c r="I77" s="15" t="s">
        <v>1305</v>
      </c>
      <c r="J77" s="15" t="s">
        <v>1306</v>
      </c>
      <c r="K77" s="15" t="s">
        <v>1307</v>
      </c>
      <c r="L77" s="15" t="s">
        <v>1270</v>
      </c>
      <c r="M77" s="15" t="s">
        <v>785</v>
      </c>
      <c r="N77" s="15" t="s">
        <v>921</v>
      </c>
      <c r="O77" s="15" t="s">
        <v>1286</v>
      </c>
      <c r="P77" s="15" t="s">
        <v>1304</v>
      </c>
      <c r="Q77" s="15" t="s">
        <v>1273</v>
      </c>
    </row>
    <row r="78" customHeight="1" spans="1:17">
      <c r="A78" s="15" t="s">
        <v>1312</v>
      </c>
      <c r="B78" s="15" t="s">
        <v>858</v>
      </c>
      <c r="C78" s="15" t="s">
        <v>164</v>
      </c>
      <c r="D78" s="15" t="s">
        <v>163</v>
      </c>
      <c r="E78" s="15" t="s">
        <v>786</v>
      </c>
      <c r="F78" s="15" t="s">
        <v>920</v>
      </c>
      <c r="G78" s="15" t="s">
        <v>1313</v>
      </c>
      <c r="H78" s="15" t="s">
        <v>1304</v>
      </c>
      <c r="I78" s="15" t="s">
        <v>1305</v>
      </c>
      <c r="J78" s="15" t="s">
        <v>1306</v>
      </c>
      <c r="K78" s="15" t="s">
        <v>1307</v>
      </c>
      <c r="L78" s="15" t="s">
        <v>1270</v>
      </c>
      <c r="M78" s="15" t="s">
        <v>785</v>
      </c>
      <c r="N78" s="15" t="s">
        <v>921</v>
      </c>
      <c r="O78" s="15" t="s">
        <v>1286</v>
      </c>
      <c r="P78" s="15" t="s">
        <v>1304</v>
      </c>
      <c r="Q78" s="15" t="s">
        <v>1273</v>
      </c>
    </row>
    <row r="79" customHeight="1" spans="1:17">
      <c r="A79" s="15" t="s">
        <v>1314</v>
      </c>
      <c r="B79" s="15" t="s">
        <v>858</v>
      </c>
      <c r="C79" s="15" t="s">
        <v>116</v>
      </c>
      <c r="D79" s="15" t="s">
        <v>115</v>
      </c>
      <c r="E79" s="15" t="s">
        <v>786</v>
      </c>
      <c r="F79" s="15" t="s">
        <v>920</v>
      </c>
      <c r="G79" s="15" t="s">
        <v>1315</v>
      </c>
      <c r="H79" s="15" t="s">
        <v>1304</v>
      </c>
      <c r="I79" s="15" t="s">
        <v>1305</v>
      </c>
      <c r="J79" s="15" t="s">
        <v>1306</v>
      </c>
      <c r="K79" s="15" t="s">
        <v>1307</v>
      </c>
      <c r="L79" s="15" t="s">
        <v>1270</v>
      </c>
      <c r="M79" s="15" t="s">
        <v>785</v>
      </c>
      <c r="N79" s="15" t="s">
        <v>921</v>
      </c>
      <c r="O79" s="15" t="s">
        <v>1286</v>
      </c>
      <c r="P79" s="15" t="s">
        <v>1304</v>
      </c>
      <c r="Q79" s="15" t="s">
        <v>1273</v>
      </c>
    </row>
    <row r="80" customHeight="1" spans="1:17">
      <c r="A80" s="15" t="s">
        <v>1316</v>
      </c>
      <c r="B80" s="15" t="s">
        <v>858</v>
      </c>
      <c r="C80" s="15" t="s">
        <v>194</v>
      </c>
      <c r="D80" s="15" t="s">
        <v>193</v>
      </c>
      <c r="E80" s="15" t="s">
        <v>786</v>
      </c>
      <c r="F80" s="15" t="s">
        <v>920</v>
      </c>
      <c r="G80" s="15" t="s">
        <v>1317</v>
      </c>
      <c r="H80" s="15" t="s">
        <v>1304</v>
      </c>
      <c r="I80" s="15" t="s">
        <v>1305</v>
      </c>
      <c r="J80" s="15" t="s">
        <v>1306</v>
      </c>
      <c r="K80" s="15" t="s">
        <v>1307</v>
      </c>
      <c r="L80" s="15" t="s">
        <v>1270</v>
      </c>
      <c r="M80" s="15" t="s">
        <v>785</v>
      </c>
      <c r="N80" s="15" t="s">
        <v>921</v>
      </c>
      <c r="O80" s="15" t="s">
        <v>1286</v>
      </c>
      <c r="P80" s="15" t="s">
        <v>1304</v>
      </c>
      <c r="Q80" s="15" t="s">
        <v>1273</v>
      </c>
    </row>
    <row r="81" customHeight="1" spans="1:17">
      <c r="A81" s="15" t="s">
        <v>1318</v>
      </c>
      <c r="B81" s="15" t="s">
        <v>858</v>
      </c>
      <c r="C81" s="15" t="s">
        <v>237</v>
      </c>
      <c r="D81" s="15" t="s">
        <v>236</v>
      </c>
      <c r="E81" s="15" t="s">
        <v>786</v>
      </c>
      <c r="F81" s="15" t="s">
        <v>920</v>
      </c>
      <c r="G81" s="15" t="s">
        <v>1319</v>
      </c>
      <c r="H81" s="15" t="s">
        <v>1304</v>
      </c>
      <c r="I81" s="15" t="s">
        <v>1305</v>
      </c>
      <c r="J81" s="15" t="s">
        <v>1306</v>
      </c>
      <c r="K81" s="15" t="s">
        <v>1307</v>
      </c>
      <c r="L81" s="15" t="s">
        <v>1270</v>
      </c>
      <c r="M81" s="15" t="s">
        <v>785</v>
      </c>
      <c r="N81" s="15" t="s">
        <v>921</v>
      </c>
      <c r="O81" s="15" t="s">
        <v>1286</v>
      </c>
      <c r="P81" s="15" t="s">
        <v>1304</v>
      </c>
      <c r="Q81" s="15" t="s">
        <v>1273</v>
      </c>
    </row>
    <row r="82" customHeight="1" spans="1:17">
      <c r="A82" s="15" t="s">
        <v>1320</v>
      </c>
      <c r="B82" s="15" t="s">
        <v>833</v>
      </c>
      <c r="C82" s="15" t="s">
        <v>231</v>
      </c>
      <c r="D82" s="15" t="s">
        <v>230</v>
      </c>
      <c r="E82" s="15" t="s">
        <v>744</v>
      </c>
      <c r="F82" s="15" t="s">
        <v>832</v>
      </c>
      <c r="G82" s="15" t="s">
        <v>1321</v>
      </c>
      <c r="H82" s="15" t="s">
        <v>1322</v>
      </c>
      <c r="I82" s="15" t="s">
        <v>1323</v>
      </c>
      <c r="J82" s="15" t="s">
        <v>1324</v>
      </c>
      <c r="K82" s="15" t="s">
        <v>1325</v>
      </c>
      <c r="L82" s="15" t="s">
        <v>1326</v>
      </c>
      <c r="M82" s="15" t="s">
        <v>785</v>
      </c>
      <c r="N82" s="15" t="s">
        <v>834</v>
      </c>
      <c r="O82" s="15" t="s">
        <v>1286</v>
      </c>
      <c r="P82" s="15" t="s">
        <v>1327</v>
      </c>
      <c r="Q82" s="15" t="s">
        <v>1273</v>
      </c>
    </row>
    <row r="83" customHeight="1" spans="1:17">
      <c r="A83" s="15" t="s">
        <v>1328</v>
      </c>
      <c r="B83" s="15" t="s">
        <v>833</v>
      </c>
      <c r="C83" s="15" t="s">
        <v>179</v>
      </c>
      <c r="D83" s="15" t="s">
        <v>178</v>
      </c>
      <c r="E83" s="15" t="s">
        <v>744</v>
      </c>
      <c r="F83" s="15" t="s">
        <v>832</v>
      </c>
      <c r="G83" s="15" t="s">
        <v>1329</v>
      </c>
      <c r="H83" s="15" t="s">
        <v>1330</v>
      </c>
      <c r="I83" s="15" t="s">
        <v>1331</v>
      </c>
      <c r="J83" s="15" t="s">
        <v>1324</v>
      </c>
      <c r="K83" s="15" t="s">
        <v>1325</v>
      </c>
      <c r="L83" s="15" t="s">
        <v>1326</v>
      </c>
      <c r="M83" s="15" t="s">
        <v>785</v>
      </c>
      <c r="N83" s="15" t="s">
        <v>834</v>
      </c>
      <c r="O83" s="15" t="s">
        <v>1286</v>
      </c>
      <c r="P83" s="15" t="s">
        <v>1327</v>
      </c>
      <c r="Q83" s="15" t="s">
        <v>1273</v>
      </c>
    </row>
    <row r="84" customHeight="1" spans="1:17">
      <c r="A84" s="15" t="s">
        <v>1332</v>
      </c>
      <c r="B84" s="15" t="s">
        <v>833</v>
      </c>
      <c r="C84" s="15" t="s">
        <v>161</v>
      </c>
      <c r="D84" s="15" t="s">
        <v>160</v>
      </c>
      <c r="E84" s="15" t="s">
        <v>786</v>
      </c>
      <c r="F84" s="15" t="s">
        <v>832</v>
      </c>
      <c r="G84" s="15" t="s">
        <v>1333</v>
      </c>
      <c r="H84" s="15" t="s">
        <v>1334</v>
      </c>
      <c r="I84" s="15" t="s">
        <v>1331</v>
      </c>
      <c r="J84" s="15" t="s">
        <v>1324</v>
      </c>
      <c r="K84" s="15" t="s">
        <v>1325</v>
      </c>
      <c r="L84" s="15" t="s">
        <v>1326</v>
      </c>
      <c r="M84" s="15" t="s">
        <v>785</v>
      </c>
      <c r="N84" s="15" t="s">
        <v>834</v>
      </c>
      <c r="O84" s="15" t="s">
        <v>1286</v>
      </c>
      <c r="P84" s="15" t="s">
        <v>1327</v>
      </c>
      <c r="Q84" s="15" t="s">
        <v>1273</v>
      </c>
    </row>
    <row r="85" customHeight="1" spans="1:17">
      <c r="A85" s="15" t="s">
        <v>1335</v>
      </c>
      <c r="B85" s="15" t="s">
        <v>783</v>
      </c>
      <c r="C85" s="15" t="s">
        <v>185</v>
      </c>
      <c r="D85" s="15" t="s">
        <v>184</v>
      </c>
      <c r="E85" s="15" t="s">
        <v>744</v>
      </c>
      <c r="F85" s="15" t="s">
        <v>782</v>
      </c>
      <c r="G85" s="15" t="s">
        <v>1336</v>
      </c>
      <c r="H85" s="15" t="s">
        <v>1337</v>
      </c>
      <c r="I85" s="15" t="s">
        <v>1338</v>
      </c>
      <c r="J85" s="15" t="s">
        <v>1339</v>
      </c>
      <c r="K85" s="15" t="s">
        <v>1340</v>
      </c>
      <c r="L85" s="15" t="s">
        <v>1326</v>
      </c>
      <c r="M85" s="15" t="s">
        <v>785</v>
      </c>
      <c r="N85" s="15" t="s">
        <v>784</v>
      </c>
      <c r="O85" s="15" t="s">
        <v>1341</v>
      </c>
      <c r="P85" s="15" t="s">
        <v>1342</v>
      </c>
      <c r="Q85" s="15" t="s">
        <v>1273</v>
      </c>
    </row>
    <row r="86" customHeight="1" spans="1:17">
      <c r="A86" s="15" t="s">
        <v>1343</v>
      </c>
      <c r="B86" s="15" t="s">
        <v>783</v>
      </c>
      <c r="C86" s="15" t="s">
        <v>206</v>
      </c>
      <c r="D86" s="15" t="s">
        <v>205</v>
      </c>
      <c r="E86" s="15" t="s">
        <v>786</v>
      </c>
      <c r="F86" s="15" t="s">
        <v>909</v>
      </c>
      <c r="G86" s="15" t="s">
        <v>1344</v>
      </c>
      <c r="H86" s="15" t="s">
        <v>1345</v>
      </c>
      <c r="I86" s="15" t="s">
        <v>1346</v>
      </c>
      <c r="J86" s="15" t="s">
        <v>1347</v>
      </c>
      <c r="K86" s="15" t="s">
        <v>1348</v>
      </c>
      <c r="L86" s="15" t="s">
        <v>1326</v>
      </c>
      <c r="M86" s="15" t="s">
        <v>785</v>
      </c>
      <c r="N86" s="15" t="s">
        <v>910</v>
      </c>
      <c r="O86" s="15" t="s">
        <v>1341</v>
      </c>
      <c r="P86" s="15" t="s">
        <v>1349</v>
      </c>
      <c r="Q86" s="15" t="s">
        <v>1273</v>
      </c>
    </row>
    <row r="87" customHeight="1" spans="1:17">
      <c r="A87" s="15" t="s">
        <v>1350</v>
      </c>
      <c r="B87" s="15" t="s">
        <v>783</v>
      </c>
      <c r="C87" s="15" t="s">
        <v>197</v>
      </c>
      <c r="D87" s="15" t="s">
        <v>196</v>
      </c>
      <c r="E87" s="15" t="s">
        <v>744</v>
      </c>
      <c r="F87" s="15" t="s">
        <v>782</v>
      </c>
      <c r="G87" s="15" t="s">
        <v>1351</v>
      </c>
      <c r="H87" s="15" t="s">
        <v>1337</v>
      </c>
      <c r="I87" s="15" t="s">
        <v>1352</v>
      </c>
      <c r="J87" s="15" t="s">
        <v>1339</v>
      </c>
      <c r="K87" s="15" t="s">
        <v>1340</v>
      </c>
      <c r="L87" s="15" t="s">
        <v>1326</v>
      </c>
      <c r="M87" s="15" t="s">
        <v>785</v>
      </c>
      <c r="N87" s="15" t="s">
        <v>784</v>
      </c>
      <c r="O87" s="15" t="s">
        <v>1341</v>
      </c>
      <c r="P87" s="15" t="s">
        <v>1342</v>
      </c>
      <c r="Q87" s="15" t="s">
        <v>1273</v>
      </c>
    </row>
    <row r="88" customHeight="1" spans="1:17">
      <c r="A88" s="15" t="s">
        <v>1353</v>
      </c>
      <c r="B88" s="15" t="s">
        <v>783</v>
      </c>
      <c r="C88" s="15" t="s">
        <v>134</v>
      </c>
      <c r="D88" s="15" t="s">
        <v>133</v>
      </c>
      <c r="E88" s="15" t="s">
        <v>786</v>
      </c>
      <c r="F88" s="15" t="s">
        <v>909</v>
      </c>
      <c r="G88" s="15" t="s">
        <v>1354</v>
      </c>
      <c r="H88" s="15" t="s">
        <v>1345</v>
      </c>
      <c r="I88" s="15" t="s">
        <v>1355</v>
      </c>
      <c r="J88" s="15" t="s">
        <v>1347</v>
      </c>
      <c r="K88" s="15" t="s">
        <v>1348</v>
      </c>
      <c r="L88" s="15" t="s">
        <v>1326</v>
      </c>
      <c r="M88" s="15" t="s">
        <v>785</v>
      </c>
      <c r="N88" s="15" t="s">
        <v>910</v>
      </c>
      <c r="O88" s="15" t="s">
        <v>1341</v>
      </c>
      <c r="P88" s="15" t="s">
        <v>1349</v>
      </c>
      <c r="Q88" s="15" t="s">
        <v>1273</v>
      </c>
    </row>
    <row r="89" customHeight="1" spans="1:17">
      <c r="A89" s="15" t="s">
        <v>1356</v>
      </c>
      <c r="B89" s="15" t="s">
        <v>783</v>
      </c>
      <c r="C89" s="15" t="s">
        <v>216</v>
      </c>
      <c r="D89" s="15" t="s">
        <v>215</v>
      </c>
      <c r="E89" s="15" t="s">
        <v>786</v>
      </c>
      <c r="F89" s="15" t="s">
        <v>782</v>
      </c>
      <c r="G89" s="15" t="s">
        <v>1357</v>
      </c>
      <c r="H89" s="15" t="s">
        <v>1337</v>
      </c>
      <c r="I89" s="15" t="s">
        <v>1358</v>
      </c>
      <c r="J89" s="15" t="s">
        <v>1339</v>
      </c>
      <c r="K89" s="15" t="s">
        <v>1340</v>
      </c>
      <c r="L89" s="15" t="s">
        <v>1326</v>
      </c>
      <c r="M89" s="15" t="s">
        <v>785</v>
      </c>
      <c r="N89" s="15" t="s">
        <v>784</v>
      </c>
      <c r="O89" s="15" t="s">
        <v>1341</v>
      </c>
      <c r="P89" s="15" t="s">
        <v>1342</v>
      </c>
      <c r="Q89" s="15" t="s">
        <v>1273</v>
      </c>
    </row>
    <row r="91" customHeight="1" spans="1:1">
      <c r="A91" s="15" t="s">
        <v>1359</v>
      </c>
    </row>
    <row r="92" customHeight="1" spans="1:13">
      <c r="A92" s="15" t="s">
        <v>699</v>
      </c>
      <c r="B92" s="15" t="s">
        <v>700</v>
      </c>
      <c r="C92" s="15" t="s">
        <v>1360</v>
      </c>
      <c r="D92" s="15" t="s">
        <v>1361</v>
      </c>
      <c r="E92" s="15" t="s">
        <v>1362</v>
      </c>
      <c r="F92" s="15" t="s">
        <v>1363</v>
      </c>
      <c r="G92" s="15" t="s">
        <v>1364</v>
      </c>
      <c r="H92" s="15" t="s">
        <v>1365</v>
      </c>
      <c r="I92" s="15" t="s">
        <v>728</v>
      </c>
      <c r="J92" s="15" t="s">
        <v>726</v>
      </c>
      <c r="K92" s="15" t="s">
        <v>704</v>
      </c>
      <c r="L92" s="15" t="s">
        <v>1366</v>
      </c>
      <c r="M92" s="15" t="s">
        <v>719</v>
      </c>
    </row>
    <row r="93" customHeight="1" spans="1:13">
      <c r="A93" s="15" t="s">
        <v>169</v>
      </c>
      <c r="B93" s="15" t="s">
        <v>170</v>
      </c>
      <c r="C93" s="15" t="s">
        <v>985</v>
      </c>
      <c r="D93" s="15" t="s">
        <v>1367</v>
      </c>
      <c r="E93" s="15" t="s">
        <v>1368</v>
      </c>
      <c r="F93" s="15" t="s">
        <v>992</v>
      </c>
      <c r="G93" s="15" t="s">
        <v>1369</v>
      </c>
      <c r="H93" s="15" t="s">
        <v>1370</v>
      </c>
      <c r="I93" s="15" t="s">
        <v>988</v>
      </c>
      <c r="J93" s="15" t="s">
        <v>986</v>
      </c>
      <c r="K93" s="15" t="s">
        <v>838</v>
      </c>
      <c r="L93" s="15" t="s">
        <v>979</v>
      </c>
      <c r="M93" s="15" t="s">
        <v>753</v>
      </c>
    </row>
    <row r="94" customHeight="1" spans="1:13">
      <c r="A94" s="15" t="s">
        <v>160</v>
      </c>
      <c r="B94" s="15" t="s">
        <v>161</v>
      </c>
      <c r="C94" s="15" t="s">
        <v>1105</v>
      </c>
      <c r="D94" s="15" t="s">
        <v>1371</v>
      </c>
      <c r="E94" s="15" t="s">
        <v>1372</v>
      </c>
      <c r="F94" s="15" t="s">
        <v>844</v>
      </c>
      <c r="G94" s="15" t="s">
        <v>1369</v>
      </c>
      <c r="H94" s="15" t="s">
        <v>1370</v>
      </c>
      <c r="I94" s="15" t="s">
        <v>1107</v>
      </c>
      <c r="J94" s="15" t="s">
        <v>771</v>
      </c>
      <c r="K94" s="15" t="s">
        <v>979</v>
      </c>
      <c r="L94" s="15" t="s">
        <v>753</v>
      </c>
      <c r="M94" s="15" t="s">
        <v>841</v>
      </c>
    </row>
    <row r="95" customHeight="1" spans="1:13">
      <c r="A95" s="15" t="s">
        <v>227</v>
      </c>
      <c r="B95" s="15" t="s">
        <v>228</v>
      </c>
      <c r="C95" s="15" t="s">
        <v>1120</v>
      </c>
      <c r="D95" s="15" t="s">
        <v>1373</v>
      </c>
      <c r="E95" s="15" t="s">
        <v>1154</v>
      </c>
      <c r="F95" s="15" t="s">
        <v>1124</v>
      </c>
      <c r="G95" s="15" t="s">
        <v>1369</v>
      </c>
      <c r="H95" s="15" t="s">
        <v>1370</v>
      </c>
      <c r="I95" s="15" t="s">
        <v>1122</v>
      </c>
      <c r="J95" s="15" t="s">
        <v>1035</v>
      </c>
      <c r="K95" s="15" t="s">
        <v>894</v>
      </c>
      <c r="L95" s="15" t="s">
        <v>891</v>
      </c>
      <c r="M95" s="15" t="s">
        <v>872</v>
      </c>
    </row>
    <row r="96" customHeight="1" spans="1:13">
      <c r="A96" s="15" t="s">
        <v>178</v>
      </c>
      <c r="B96" s="15" t="s">
        <v>179</v>
      </c>
      <c r="C96" s="15" t="s">
        <v>821</v>
      </c>
      <c r="D96" s="15" t="s">
        <v>1374</v>
      </c>
      <c r="E96" s="15" t="s">
        <v>1375</v>
      </c>
      <c r="F96" s="15" t="s">
        <v>828</v>
      </c>
      <c r="G96" s="15" t="s">
        <v>1369</v>
      </c>
      <c r="H96" s="15" t="s">
        <v>1370</v>
      </c>
      <c r="I96" s="15" t="s">
        <v>824</v>
      </c>
      <c r="J96" s="15" t="s">
        <v>822</v>
      </c>
      <c r="K96" s="15" t="s">
        <v>979</v>
      </c>
      <c r="L96" s="15" t="s">
        <v>793</v>
      </c>
      <c r="M96" s="15" t="s">
        <v>816</v>
      </c>
    </row>
    <row r="97" customHeight="1" spans="1:13">
      <c r="A97" s="15" t="s">
        <v>121</v>
      </c>
      <c r="B97" s="15" t="s">
        <v>122</v>
      </c>
      <c r="C97" s="15" t="s">
        <v>1218</v>
      </c>
      <c r="D97" s="15" t="s">
        <v>1219</v>
      </c>
      <c r="E97" s="15" t="s">
        <v>1221</v>
      </c>
      <c r="F97" s="15" t="s">
        <v>1223</v>
      </c>
      <c r="G97" s="15" t="s">
        <v>1222</v>
      </c>
      <c r="H97" s="15" t="s">
        <v>1376</v>
      </c>
      <c r="I97" s="15" t="s">
        <v>1219</v>
      </c>
      <c r="J97" s="15" t="s">
        <v>915</v>
      </c>
      <c r="K97" s="15" t="s">
        <v>838</v>
      </c>
      <c r="L97" s="15" t="s">
        <v>979</v>
      </c>
      <c r="M97" s="15" t="s">
        <v>945</v>
      </c>
    </row>
    <row r="98" customHeight="1" spans="1:13">
      <c r="A98" s="15" t="s">
        <v>172</v>
      </c>
      <c r="B98" s="15" t="s">
        <v>173</v>
      </c>
      <c r="C98" s="15" t="s">
        <v>1034</v>
      </c>
      <c r="D98" s="15" t="s">
        <v>1368</v>
      </c>
      <c r="E98" s="15" t="s">
        <v>1377</v>
      </c>
      <c r="F98" s="15" t="s">
        <v>1040</v>
      </c>
      <c r="G98" s="15" t="s">
        <v>1369</v>
      </c>
      <c r="H98" s="15" t="s">
        <v>1370</v>
      </c>
      <c r="I98" s="15" t="s">
        <v>1037</v>
      </c>
      <c r="J98" s="15" t="s">
        <v>1035</v>
      </c>
      <c r="K98" s="15" t="s">
        <v>790</v>
      </c>
      <c r="L98" s="15" t="s">
        <v>891</v>
      </c>
      <c r="M98" s="15" t="s">
        <v>1033</v>
      </c>
    </row>
    <row r="99" customHeight="1" spans="1:13">
      <c r="A99" s="15" t="s">
        <v>127</v>
      </c>
      <c r="B99" s="15" t="s">
        <v>128</v>
      </c>
      <c r="C99" s="15" t="s">
        <v>1135</v>
      </c>
      <c r="D99" s="15" t="s">
        <v>1378</v>
      </c>
      <c r="E99" s="15" t="s">
        <v>1379</v>
      </c>
      <c r="F99" s="15" t="s">
        <v>1142</v>
      </c>
      <c r="G99" s="15" t="s">
        <v>1369</v>
      </c>
      <c r="H99" s="15" t="s">
        <v>1370</v>
      </c>
      <c r="I99" s="15" t="s">
        <v>1138</v>
      </c>
      <c r="J99" s="15" t="s">
        <v>1136</v>
      </c>
      <c r="K99" s="15" t="s">
        <v>979</v>
      </c>
      <c r="L99" s="15" t="s">
        <v>872</v>
      </c>
      <c r="M99" s="15" t="s">
        <v>839</v>
      </c>
    </row>
    <row r="100" customHeight="1" spans="1:13">
      <c r="A100" s="15" t="s">
        <v>133</v>
      </c>
      <c r="B100" s="15" t="s">
        <v>134</v>
      </c>
      <c r="C100" s="15" t="s">
        <v>898</v>
      </c>
      <c r="D100" s="15" t="s">
        <v>901</v>
      </c>
      <c r="E100" s="15" t="s">
        <v>903</v>
      </c>
      <c r="F100" s="15" t="s">
        <v>905</v>
      </c>
      <c r="G100" s="15" t="s">
        <v>904</v>
      </c>
      <c r="H100" s="15" t="s">
        <v>1376</v>
      </c>
      <c r="I100" s="15" t="s">
        <v>901</v>
      </c>
      <c r="J100" s="15" t="s">
        <v>899</v>
      </c>
      <c r="K100" s="15" t="s">
        <v>838</v>
      </c>
      <c r="L100" s="15" t="s">
        <v>894</v>
      </c>
      <c r="M100" s="15" t="s">
        <v>896</v>
      </c>
    </row>
    <row r="101" customHeight="1" spans="1:13">
      <c r="A101" s="15" t="s">
        <v>196</v>
      </c>
      <c r="B101" s="15" t="s">
        <v>197</v>
      </c>
      <c r="C101" s="15" t="s">
        <v>1066</v>
      </c>
      <c r="D101" s="15" t="s">
        <v>1380</v>
      </c>
      <c r="E101" s="15" t="s">
        <v>1381</v>
      </c>
      <c r="F101" s="15" t="s">
        <v>1071</v>
      </c>
      <c r="G101" s="15" t="s">
        <v>1369</v>
      </c>
      <c r="H101" s="15" t="s">
        <v>1370</v>
      </c>
      <c r="I101" s="15" t="s">
        <v>1068</v>
      </c>
      <c r="J101" s="15" t="s">
        <v>822</v>
      </c>
      <c r="K101" s="15" t="s">
        <v>979</v>
      </c>
      <c r="L101" s="15" t="s">
        <v>837</v>
      </c>
      <c r="M101" s="15" t="s">
        <v>1065</v>
      </c>
    </row>
  </sheetData>
  <autoFilter xmlns:etc="http://www.wps.cn/officeDocument/2017/etCustomData" ref="A1:XFD1048576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G31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" max="1" width="12.875" customWidth="1"/>
    <col min="2" max="2" width="12.25" customWidth="1"/>
    <col min="3" max="3" width="15.25" customWidth="1"/>
    <col min="4" max="4" width="7.25" style="9" customWidth="1"/>
    <col min="5" max="6" width="7.625" style="9" hidden="1" customWidth="1"/>
    <col min="7" max="8" width="8.375" customWidth="1"/>
    <col min="9" max="9" width="9.375" style="9" hidden="1" customWidth="1"/>
    <col min="10" max="10" width="9.25" style="18" customWidth="1"/>
    <col min="11" max="11" width="7.125" style="9" customWidth="1"/>
    <col min="12" max="12" width="7" style="9" customWidth="1"/>
    <col min="13" max="13" width="7.875" customWidth="1"/>
    <col min="14" max="14" width="7.625" customWidth="1"/>
    <col min="15" max="15" width="5.875" customWidth="1"/>
    <col min="16" max="16" width="6.125" customWidth="1"/>
    <col min="17" max="17" width="6.25" customWidth="1"/>
    <col min="18" max="18" width="6.375" customWidth="1"/>
    <col min="19" max="19" width="5.875" customWidth="1"/>
    <col min="20" max="20" width="6.375" customWidth="1"/>
    <col min="21" max="21" width="7.125" customWidth="1"/>
    <col min="22" max="23" width="6.5" style="19" customWidth="1"/>
    <col min="24" max="25" width="7.625" customWidth="1"/>
    <col min="26" max="26" width="7.5" customWidth="1"/>
    <col min="27" max="27" width="6.625" hidden="1" customWidth="1"/>
    <col min="28" max="28" width="6.875" hidden="1" customWidth="1"/>
    <col min="29" max="29" width="6.625" hidden="1" customWidth="1"/>
    <col min="30" max="30" width="6.875" hidden="1" customWidth="1"/>
    <col min="31" max="31" width="7" hidden="1" customWidth="1"/>
    <col min="32" max="33" width="6.125" customWidth="1"/>
    <col min="34" max="36" width="6" customWidth="1"/>
    <col min="37" max="38" width="8.625" customWidth="1"/>
    <col min="39" max="39" width="8.125" style="20" customWidth="1"/>
    <col min="40" max="40" width="8.125" customWidth="1"/>
    <col min="41" max="42" width="9" customWidth="1"/>
    <col min="43" max="43" width="7.625" customWidth="1"/>
    <col min="44" max="44" width="6.75" customWidth="1"/>
    <col min="45" max="45" width="7.125" customWidth="1"/>
    <col min="46" max="46" width="6.75" customWidth="1"/>
    <col min="47" max="47" width="6.625" customWidth="1"/>
    <col min="48" max="52" width="6.875" customWidth="1"/>
    <col min="53" max="53" width="14.9583333333333" style="8" customWidth="1"/>
  </cols>
  <sheetData>
    <row r="1" s="17" customFormat="1" ht="54.75" customHeight="1" spans="1:59">
      <c r="A1" s="5" t="s">
        <v>0</v>
      </c>
      <c r="B1" s="21" t="s">
        <v>1</v>
      </c>
      <c r="C1" s="21" t="s">
        <v>2</v>
      </c>
      <c r="D1" s="22" t="s">
        <v>3</v>
      </c>
      <c r="E1" s="22" t="s">
        <v>4</v>
      </c>
      <c r="F1" s="22" t="s">
        <v>5</v>
      </c>
      <c r="G1" s="22" t="s">
        <v>1382</v>
      </c>
      <c r="H1" s="22" t="s">
        <v>1383</v>
      </c>
      <c r="I1" s="24" t="s">
        <v>1384</v>
      </c>
      <c r="J1" s="25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1385</v>
      </c>
      <c r="V1" s="29" t="s">
        <v>1386</v>
      </c>
      <c r="W1" s="29" t="s">
        <v>1387</v>
      </c>
      <c r="X1" s="24" t="s">
        <v>21</v>
      </c>
      <c r="Y1" s="24" t="s">
        <v>22</v>
      </c>
      <c r="Z1" s="24" t="s">
        <v>23</v>
      </c>
      <c r="AA1" s="24" t="s">
        <v>24</v>
      </c>
      <c r="AB1" s="5" t="s">
        <v>25</v>
      </c>
      <c r="AC1" s="5" t="s">
        <v>26</v>
      </c>
      <c r="AD1" s="24" t="s">
        <v>27</v>
      </c>
      <c r="AE1" s="5" t="s">
        <v>28</v>
      </c>
      <c r="AF1" s="33" t="s">
        <v>29</v>
      </c>
      <c r="AG1" s="33" t="s">
        <v>30</v>
      </c>
      <c r="AH1" s="33" t="s">
        <v>31</v>
      </c>
      <c r="AI1" s="33" t="s">
        <v>32</v>
      </c>
      <c r="AJ1" s="33" t="s">
        <v>33</v>
      </c>
      <c r="AK1" s="35" t="s">
        <v>34</v>
      </c>
      <c r="AL1" s="35" t="s">
        <v>35</v>
      </c>
      <c r="AM1" s="25" t="s">
        <v>36</v>
      </c>
      <c r="AN1" s="24" t="s">
        <v>37</v>
      </c>
      <c r="AO1" s="24" t="s">
        <v>38</v>
      </c>
      <c r="AP1" s="24" t="s">
        <v>39</v>
      </c>
      <c r="AQ1" s="36" t="s">
        <v>1388</v>
      </c>
      <c r="AR1" s="5" t="s">
        <v>1389</v>
      </c>
      <c r="AS1" s="5" t="s">
        <v>1390</v>
      </c>
      <c r="AT1" s="5" t="s">
        <v>1391</v>
      </c>
      <c r="AU1" s="5" t="s">
        <v>1392</v>
      </c>
      <c r="AV1" s="5" t="s">
        <v>1393</v>
      </c>
      <c r="AW1" s="5" t="s">
        <v>1394</v>
      </c>
      <c r="AX1" s="5" t="s">
        <v>1395</v>
      </c>
      <c r="AY1" s="5" t="s">
        <v>702</v>
      </c>
      <c r="AZ1" s="5" t="s">
        <v>1396</v>
      </c>
      <c r="BA1" s="40" t="s">
        <v>1397</v>
      </c>
      <c r="BB1" s="5"/>
      <c r="BC1" s="5"/>
      <c r="BD1" s="5"/>
      <c r="BE1" s="5"/>
      <c r="BF1" s="5"/>
      <c r="BG1" s="5"/>
    </row>
    <row r="2" s="8" customFormat="1" customHeight="1" spans="1:59">
      <c r="A2" s="13" t="s">
        <v>273</v>
      </c>
      <c r="B2" s="13" t="s">
        <v>274</v>
      </c>
      <c r="C2" s="13" t="s">
        <v>275</v>
      </c>
      <c r="D2" s="23" t="s">
        <v>43</v>
      </c>
      <c r="E2" s="23" t="s">
        <v>44</v>
      </c>
      <c r="F2" s="23" t="s">
        <v>45</v>
      </c>
      <c r="G2" s="23" t="s">
        <v>48</v>
      </c>
      <c r="H2" s="23" t="s">
        <v>47</v>
      </c>
      <c r="I2" s="23" t="s">
        <v>47</v>
      </c>
      <c r="J2" s="26">
        <f>49.99*0.92</f>
        <v>45.9908</v>
      </c>
      <c r="K2" s="23">
        <v>43.65</v>
      </c>
      <c r="L2" s="23">
        <v>51.08</v>
      </c>
      <c r="M2" s="23">
        <v>45.97</v>
      </c>
      <c r="N2" s="23">
        <v>56.19</v>
      </c>
      <c r="O2" s="23">
        <v>0</v>
      </c>
      <c r="P2" s="23">
        <v>3</v>
      </c>
      <c r="Q2" s="23">
        <v>12</v>
      </c>
      <c r="R2" s="23">
        <v>15</v>
      </c>
      <c r="S2" s="23">
        <v>3</v>
      </c>
      <c r="T2" s="23">
        <v>10</v>
      </c>
      <c r="U2" s="23">
        <v>4</v>
      </c>
      <c r="V2" s="30">
        <v>11</v>
      </c>
      <c r="W2" s="31">
        <f t="shared" ref="W2:W9" si="0">T2/V2</f>
        <v>0.909090909090909</v>
      </c>
      <c r="X2" s="32">
        <v>0.243</v>
      </c>
      <c r="Y2" s="32">
        <v>0.206994823</v>
      </c>
      <c r="Z2" s="32">
        <v>0.392438541</v>
      </c>
      <c r="AA2" s="32">
        <v>0.107318435</v>
      </c>
      <c r="AB2" s="32">
        <v>0.021167429</v>
      </c>
      <c r="AC2" s="32">
        <v>0.040896758</v>
      </c>
      <c r="AD2" s="31">
        <v>0.144927536</v>
      </c>
      <c r="AE2" s="31">
        <v>0.117414385</v>
      </c>
      <c r="AF2" s="34">
        <f>_xlfn.XLOOKUP(B2,库存明细报表10.16!L:L,库存明细报表10.16!P:P)</f>
        <v>46</v>
      </c>
      <c r="AG2" s="34">
        <f>_xlfn.XLOOKUP(B2,库存明细报表10.16!L:L,库存明细报表10.16!Q:Q)</f>
        <v>38</v>
      </c>
      <c r="AH2" s="34">
        <f>_xlfn.XLOOKUP(B2,库存明细报表10.16!L:L,库存明细报表10.16!T:T)</f>
        <v>4</v>
      </c>
      <c r="AI2" s="34">
        <f>VLOOKUP(A:A,进销存报表10.16!A:J,10,0)</f>
        <v>44</v>
      </c>
      <c r="AJ2" s="34">
        <f>VLOOKUP(A:A,进销存报表10.16!A:K,11,0)</f>
        <v>24</v>
      </c>
      <c r="AK2" s="23">
        <v>68.51</v>
      </c>
      <c r="AL2" s="23">
        <v>42.92</v>
      </c>
      <c r="AM2" s="26">
        <v>5.33</v>
      </c>
      <c r="AN2" s="26">
        <v>9</v>
      </c>
      <c r="AO2" s="32">
        <f t="shared" ref="AO2:AO31" si="1">AM2/AK2</f>
        <v>0.0777988614800759</v>
      </c>
      <c r="AP2" s="32">
        <f t="shared" ref="AP2:AP31" si="2">AN2/AL2</f>
        <v>0.209692451071761</v>
      </c>
      <c r="AQ2" s="37">
        <f t="shared" ref="AQ2:AQ31" si="3">ROUNDUP(AK2*10%,0)</f>
        <v>7</v>
      </c>
      <c r="AR2" s="38">
        <v>4</v>
      </c>
      <c r="AS2" s="38">
        <v>6</v>
      </c>
      <c r="AT2" s="38">
        <f>AS2*1.5</f>
        <v>9</v>
      </c>
      <c r="AU2" s="38">
        <v>11</v>
      </c>
      <c r="AV2" s="38">
        <v>12</v>
      </c>
      <c r="AW2" s="38">
        <v>15</v>
      </c>
      <c r="AX2" s="23" t="s">
        <v>786</v>
      </c>
      <c r="AY2" s="23" t="s">
        <v>745</v>
      </c>
      <c r="AZ2" s="23">
        <f>VLOOKUP(B:B,链接质量检测!A:V,22,0)</f>
        <v>97</v>
      </c>
      <c r="BA2" s="8" t="s">
        <v>1398</v>
      </c>
      <c r="BB2" s="8"/>
      <c r="BC2" s="13"/>
      <c r="BD2" s="13"/>
      <c r="BE2" s="13"/>
      <c r="BF2" s="13"/>
      <c r="BG2" s="13"/>
    </row>
    <row r="3" s="8" customFormat="1" customHeight="1" spans="1:59">
      <c r="A3" s="13" t="s">
        <v>196</v>
      </c>
      <c r="B3" s="13" t="s">
        <v>197</v>
      </c>
      <c r="C3" s="13" t="s">
        <v>198</v>
      </c>
      <c r="D3" s="23" t="s">
        <v>43</v>
      </c>
      <c r="E3" s="23" t="s">
        <v>44</v>
      </c>
      <c r="F3" s="23" t="s">
        <v>45</v>
      </c>
      <c r="G3" s="23" t="s">
        <v>48</v>
      </c>
      <c r="H3" s="23" t="s">
        <v>46</v>
      </c>
      <c r="I3" s="23" t="s">
        <v>48</v>
      </c>
      <c r="J3" s="26">
        <f>23.99*0.92</f>
        <v>22.0708</v>
      </c>
      <c r="K3" s="23">
        <v>18.44</v>
      </c>
      <c r="L3" s="23">
        <v>22.79</v>
      </c>
      <c r="M3" s="23">
        <v>20.51</v>
      </c>
      <c r="N3" s="23">
        <v>25.07</v>
      </c>
      <c r="O3" s="23">
        <v>0</v>
      </c>
      <c r="P3" s="23">
        <v>4</v>
      </c>
      <c r="Q3" s="23">
        <v>4</v>
      </c>
      <c r="R3" s="23">
        <v>18</v>
      </c>
      <c r="S3" s="23">
        <v>10</v>
      </c>
      <c r="T3" s="23">
        <v>2</v>
      </c>
      <c r="U3" s="23">
        <v>3</v>
      </c>
      <c r="V3" s="30">
        <v>16</v>
      </c>
      <c r="W3" s="31">
        <f t="shared" si="0"/>
        <v>0.125</v>
      </c>
      <c r="X3" s="32">
        <v>0.216</v>
      </c>
      <c r="Y3" s="32">
        <v>0.141712059</v>
      </c>
      <c r="Z3" s="32">
        <v>-0.181931689</v>
      </c>
      <c r="AA3" s="32">
        <v>0.321994588</v>
      </c>
      <c r="AB3" s="32">
        <v>0.175750548</v>
      </c>
      <c r="AC3" s="32">
        <v>0.056392115</v>
      </c>
      <c r="AD3" s="31">
        <v>0.035714286</v>
      </c>
      <c r="AE3" s="31">
        <v>0.102344943</v>
      </c>
      <c r="AF3" s="34">
        <f>_xlfn.XLOOKUP(B3,库存明细报表10.16!L:L,库存明细报表10.16!P:P)</f>
        <v>31</v>
      </c>
      <c r="AG3" s="34">
        <f>_xlfn.XLOOKUP(B3,库存明细报表10.16!L:L,库存明细报表10.16!Q:Q)</f>
        <v>14</v>
      </c>
      <c r="AH3" s="34">
        <f>_xlfn.XLOOKUP(B3,库存明细报表10.16!L:L,库存明细报表10.16!T:T)</f>
        <v>0</v>
      </c>
      <c r="AI3" s="34">
        <f>VLOOKUP(A:A,进销存报表10.16!A:J,10,0)</f>
        <v>5</v>
      </c>
      <c r="AJ3" s="34">
        <f>VLOOKUP(A:A,进销存报表10.16!A:K,11,0)</f>
        <v>13</v>
      </c>
      <c r="AK3" s="23">
        <v>201.99</v>
      </c>
      <c r="AL3" s="23">
        <v>119.35</v>
      </c>
      <c r="AM3" s="26">
        <v>2.67</v>
      </c>
      <c r="AN3" s="26">
        <v>11</v>
      </c>
      <c r="AO3" s="32">
        <f t="shared" si="1"/>
        <v>0.0132184761621862</v>
      </c>
      <c r="AP3" s="32">
        <f t="shared" si="2"/>
        <v>0.0921658986175115</v>
      </c>
      <c r="AQ3" s="37">
        <f t="shared" si="3"/>
        <v>21</v>
      </c>
      <c r="AR3" s="38">
        <v>12</v>
      </c>
      <c r="AS3" s="38">
        <v>12</v>
      </c>
      <c r="AT3" s="38">
        <v>15</v>
      </c>
      <c r="AU3" s="38">
        <v>16</v>
      </c>
      <c r="AV3" s="38">
        <v>17</v>
      </c>
      <c r="AW3" s="38">
        <v>21</v>
      </c>
      <c r="AX3" s="23" t="s">
        <v>744</v>
      </c>
      <c r="AY3" s="23" t="s">
        <v>745</v>
      </c>
      <c r="AZ3" s="23">
        <f>VLOOKUP(B:B,链接质量检测!A:V,22,0)</f>
        <v>97</v>
      </c>
      <c r="BA3" s="8" t="s">
        <v>1399</v>
      </c>
      <c r="BB3" s="8"/>
      <c r="BC3" s="13"/>
      <c r="BD3" s="13"/>
      <c r="BE3" s="13"/>
      <c r="BF3" s="13"/>
      <c r="BG3" s="13"/>
    </row>
    <row r="4" s="8" customFormat="1" customHeight="1" spans="1:59">
      <c r="A4" s="13" t="s">
        <v>230</v>
      </c>
      <c r="B4" s="13" t="s">
        <v>231</v>
      </c>
      <c r="C4" s="13" t="s">
        <v>232</v>
      </c>
      <c r="D4" s="23" t="s">
        <v>43</v>
      </c>
      <c r="E4" s="23" t="s">
        <v>44</v>
      </c>
      <c r="F4" s="23" t="s">
        <v>45</v>
      </c>
      <c r="G4" s="23" t="s">
        <v>48</v>
      </c>
      <c r="H4" s="23" t="s">
        <v>46</v>
      </c>
      <c r="I4" s="23" t="s">
        <v>48</v>
      </c>
      <c r="J4" s="27">
        <f>23.99*0.92</f>
        <v>22.0708</v>
      </c>
      <c r="K4" s="23">
        <v>18.42</v>
      </c>
      <c r="L4" s="23">
        <v>22.83</v>
      </c>
      <c r="M4" s="23">
        <v>20.54</v>
      </c>
      <c r="N4" s="23">
        <v>25.11</v>
      </c>
      <c r="O4" s="23">
        <v>10</v>
      </c>
      <c r="P4" s="23">
        <v>6</v>
      </c>
      <c r="Q4" s="23">
        <v>21</v>
      </c>
      <c r="R4" s="23">
        <v>19</v>
      </c>
      <c r="S4" s="23">
        <v>7</v>
      </c>
      <c r="T4" s="23">
        <v>19</v>
      </c>
      <c r="U4" s="23">
        <v>8</v>
      </c>
      <c r="V4" s="30">
        <v>28</v>
      </c>
      <c r="W4" s="31">
        <f t="shared" si="0"/>
        <v>0.678571428571429</v>
      </c>
      <c r="X4" s="32">
        <v>0.255</v>
      </c>
      <c r="Y4" s="32">
        <v>0.057603836</v>
      </c>
      <c r="Z4" s="32">
        <v>-0.03076376</v>
      </c>
      <c r="AA4" s="32">
        <v>0.156263854</v>
      </c>
      <c r="AB4" s="32">
        <v>0.071610239</v>
      </c>
      <c r="AC4" s="32">
        <v>0.071021779</v>
      </c>
      <c r="AD4" s="31">
        <v>0.048969072</v>
      </c>
      <c r="AE4" s="31">
        <v>0.085500004</v>
      </c>
      <c r="AF4" s="34">
        <f>_xlfn.XLOOKUP(B4,库存明细报表10.16!L:L,库存明细报表10.16!P:P)</f>
        <v>26</v>
      </c>
      <c r="AG4" s="34">
        <f>_xlfn.XLOOKUP(B4,库存明细报表10.16!L:L,库存明细报表10.16!Q:Q)</f>
        <v>22</v>
      </c>
      <c r="AH4" s="34">
        <f>_xlfn.XLOOKUP(B4,库存明细报表10.16!L:L,库存明细报表10.16!T:T)</f>
        <v>20</v>
      </c>
      <c r="AI4" s="34">
        <f>VLOOKUP(A:A,进销存报表10.16!A:J,10,0)</f>
        <v>83</v>
      </c>
      <c r="AJ4" s="34">
        <f>VLOOKUP(A:A,进销存报表10.16!A:K,11,0)</f>
        <v>59</v>
      </c>
      <c r="AK4" s="23">
        <v>452.27</v>
      </c>
      <c r="AL4" s="23">
        <v>324.08</v>
      </c>
      <c r="AM4" s="26">
        <v>9.67</v>
      </c>
      <c r="AN4" s="26">
        <v>18</v>
      </c>
      <c r="AO4" s="32">
        <f t="shared" si="1"/>
        <v>0.0213810334534681</v>
      </c>
      <c r="AP4" s="32">
        <f t="shared" si="2"/>
        <v>0.0555418415206122</v>
      </c>
      <c r="AQ4" s="37">
        <f t="shared" si="3"/>
        <v>46</v>
      </c>
      <c r="AR4" s="38">
        <v>7</v>
      </c>
      <c r="AS4" s="38">
        <v>14</v>
      </c>
      <c r="AT4" s="38">
        <v>21</v>
      </c>
      <c r="AU4" s="38">
        <v>28</v>
      </c>
      <c r="AV4" s="38">
        <v>37</v>
      </c>
      <c r="AW4" s="38">
        <v>46</v>
      </c>
      <c r="AX4" s="23" t="s">
        <v>744</v>
      </c>
      <c r="AY4" s="23" t="s">
        <v>745</v>
      </c>
      <c r="AZ4" s="23">
        <f>VLOOKUP(B:B,链接质量检测!A:V,22,0)</f>
        <v>97</v>
      </c>
      <c r="BA4" s="8" t="s">
        <v>1400</v>
      </c>
      <c r="BB4" s="8"/>
      <c r="BC4" s="13"/>
      <c r="BD4" s="13"/>
      <c r="BE4" s="13"/>
      <c r="BF4" s="13"/>
      <c r="BG4" s="13"/>
    </row>
    <row r="5" s="8" customFormat="1" customHeight="1" spans="1:59">
      <c r="A5" s="13" t="s">
        <v>184</v>
      </c>
      <c r="B5" s="13" t="s">
        <v>185</v>
      </c>
      <c r="C5" s="13" t="s">
        <v>186</v>
      </c>
      <c r="D5" s="23" t="s">
        <v>43</v>
      </c>
      <c r="E5" s="23" t="s">
        <v>44</v>
      </c>
      <c r="F5" s="23" t="s">
        <v>45</v>
      </c>
      <c r="G5" s="23" t="s">
        <v>48</v>
      </c>
      <c r="H5" s="23" t="s">
        <v>46</v>
      </c>
      <c r="I5" s="23" t="s">
        <v>48</v>
      </c>
      <c r="J5" s="28">
        <f>24.99*0.92</f>
        <v>22.9908</v>
      </c>
      <c r="K5" s="23">
        <v>21.21</v>
      </c>
      <c r="L5" s="23">
        <v>20.15</v>
      </c>
      <c r="M5" s="23">
        <v>18.14</v>
      </c>
      <c r="N5" s="23">
        <v>22.17</v>
      </c>
      <c r="O5" s="23">
        <v>16</v>
      </c>
      <c r="P5" s="23">
        <v>10</v>
      </c>
      <c r="Q5" s="23">
        <v>10</v>
      </c>
      <c r="R5" s="23">
        <v>21</v>
      </c>
      <c r="S5" s="23">
        <v>7</v>
      </c>
      <c r="T5" s="23">
        <v>10</v>
      </c>
      <c r="U5" s="23">
        <v>7</v>
      </c>
      <c r="V5" s="30">
        <v>35</v>
      </c>
      <c r="W5" s="31">
        <f t="shared" si="0"/>
        <v>0.285714285714286</v>
      </c>
      <c r="X5" s="32">
        <v>0.235</v>
      </c>
      <c r="Y5" s="32">
        <v>0.189178405</v>
      </c>
      <c r="Z5" s="32">
        <v>0.074141481</v>
      </c>
      <c r="AA5" s="32">
        <v>0.10980346</v>
      </c>
      <c r="AB5" s="32">
        <v>0.118787023</v>
      </c>
      <c r="AC5" s="32">
        <v>0.068156981</v>
      </c>
      <c r="AD5" s="31">
        <v>0.029761905</v>
      </c>
      <c r="AE5" s="31">
        <v>0.065627557</v>
      </c>
      <c r="AF5" s="34">
        <f>_xlfn.XLOOKUP(B5,库存明细报表10.16!L:L,库存明细报表10.16!P:P)</f>
        <v>47</v>
      </c>
      <c r="AG5" s="34">
        <f>_xlfn.XLOOKUP(B5,库存明细报表10.16!L:L,库存明细报表10.16!Q:Q)</f>
        <v>46</v>
      </c>
      <c r="AH5" s="34">
        <f>_xlfn.XLOOKUP(B5,库存明细报表10.16!L:L,库存明细报表10.16!T:T)</f>
        <v>60</v>
      </c>
      <c r="AI5" s="34">
        <f>VLOOKUP(A:A,进销存报表10.16!A:J,10,0)</f>
        <v>8</v>
      </c>
      <c r="AJ5" s="34">
        <f>VLOOKUP(A:A,进销存报表10.16!A:K,11,0)</f>
        <v>27</v>
      </c>
      <c r="AK5" s="23">
        <v>947.59</v>
      </c>
      <c r="AL5" s="23">
        <v>838.05</v>
      </c>
      <c r="AM5" s="26">
        <v>11.67</v>
      </c>
      <c r="AN5" s="26">
        <v>13.33333333</v>
      </c>
      <c r="AO5" s="32">
        <f t="shared" si="1"/>
        <v>0.0123154528857417</v>
      </c>
      <c r="AP5" s="32">
        <f t="shared" si="2"/>
        <v>0.0159099496808066</v>
      </c>
      <c r="AQ5" s="39">
        <f t="shared" si="3"/>
        <v>95</v>
      </c>
      <c r="AR5" s="38">
        <v>15</v>
      </c>
      <c r="AS5" s="38">
        <v>23</v>
      </c>
      <c r="AT5" s="38">
        <v>30</v>
      </c>
      <c r="AU5" s="38">
        <v>35</v>
      </c>
      <c r="AV5" s="38">
        <v>46</v>
      </c>
      <c r="AW5" s="38">
        <v>60</v>
      </c>
      <c r="AX5" s="23" t="s">
        <v>744</v>
      </c>
      <c r="AY5" s="23" t="s">
        <v>745</v>
      </c>
      <c r="AZ5" s="23">
        <f>VLOOKUP(B:B,链接质量检测!A:V,22,0)</f>
        <v>97</v>
      </c>
      <c r="BA5" s="8" t="s">
        <v>1401</v>
      </c>
      <c r="BB5" s="8"/>
      <c r="BC5" s="13"/>
      <c r="BD5" s="13"/>
      <c r="BE5" s="13"/>
      <c r="BF5" s="13"/>
      <c r="BG5" s="13"/>
    </row>
    <row r="6" s="8" customFormat="1" customHeight="1" spans="1:59">
      <c r="A6" s="13" t="s">
        <v>178</v>
      </c>
      <c r="B6" s="13" t="s">
        <v>179</v>
      </c>
      <c r="C6" s="13" t="s">
        <v>180</v>
      </c>
      <c r="D6" s="23" t="s">
        <v>43</v>
      </c>
      <c r="E6" s="23" t="s">
        <v>44</v>
      </c>
      <c r="F6" s="23" t="s">
        <v>45</v>
      </c>
      <c r="G6" s="23" t="s">
        <v>48</v>
      </c>
      <c r="H6" s="23" t="s">
        <v>48</v>
      </c>
      <c r="I6" s="23" t="s">
        <v>48</v>
      </c>
      <c r="J6" s="26">
        <f>23.99*0.92</f>
        <v>22.0708</v>
      </c>
      <c r="K6" s="23">
        <v>19.39</v>
      </c>
      <c r="L6" s="23">
        <v>21.84</v>
      </c>
      <c r="M6" s="23">
        <v>19.66</v>
      </c>
      <c r="N6" s="23">
        <v>24.03</v>
      </c>
      <c r="O6" s="23">
        <v>3</v>
      </c>
      <c r="P6" s="23">
        <v>4</v>
      </c>
      <c r="Q6" s="23">
        <v>3</v>
      </c>
      <c r="R6" s="23">
        <v>22</v>
      </c>
      <c r="S6" s="23">
        <v>20</v>
      </c>
      <c r="T6" s="23">
        <v>16</v>
      </c>
      <c r="U6" s="23">
        <v>5</v>
      </c>
      <c r="V6" s="30">
        <v>20</v>
      </c>
      <c r="W6" s="31">
        <f t="shared" si="0"/>
        <v>0.8</v>
      </c>
      <c r="X6" s="32">
        <v>0.297</v>
      </c>
      <c r="Y6" s="32">
        <v>0.219732098</v>
      </c>
      <c r="Z6" s="32">
        <v>0.232014749</v>
      </c>
      <c r="AA6" s="32">
        <v>0</v>
      </c>
      <c r="AB6" s="32">
        <v>0.046243748</v>
      </c>
      <c r="AC6" s="32">
        <v>0.083852331</v>
      </c>
      <c r="AD6" s="31">
        <v>0.121212121</v>
      </c>
      <c r="AE6" s="31">
        <v>0.102311119</v>
      </c>
      <c r="AF6" s="34">
        <f>_xlfn.XLOOKUP(B6,库存明细报表10.16!L:L,库存明细报表10.16!P:P)</f>
        <v>44</v>
      </c>
      <c r="AG6" s="34">
        <f>_xlfn.XLOOKUP(B6,库存明细报表10.16!L:L,库存明细报表10.16!Q:Q)</f>
        <v>17</v>
      </c>
      <c r="AH6" s="34">
        <f>_xlfn.XLOOKUP(B6,库存明细报表10.16!L:L,库存明细报表10.16!T:T)</f>
        <v>20</v>
      </c>
      <c r="AI6" s="34">
        <f>VLOOKUP(A:A,进销存报表10.16!A:J,10,0)</f>
        <v>52</v>
      </c>
      <c r="AJ6" s="34">
        <f>VLOOKUP(A:A,进销存报表10.16!A:K,11,0)</f>
        <v>23</v>
      </c>
      <c r="AK6" s="23">
        <v>320.08</v>
      </c>
      <c r="AL6" s="23">
        <v>239.53</v>
      </c>
      <c r="AM6" s="26">
        <v>3.67</v>
      </c>
      <c r="AN6" s="26">
        <v>19.66666667</v>
      </c>
      <c r="AO6" s="32">
        <f t="shared" si="1"/>
        <v>0.0114658835291177</v>
      </c>
      <c r="AP6" s="32">
        <f t="shared" si="2"/>
        <v>0.0821052338746712</v>
      </c>
      <c r="AQ6" s="37">
        <f t="shared" si="3"/>
        <v>33</v>
      </c>
      <c r="AR6" s="38">
        <v>15</v>
      </c>
      <c r="AS6" s="38">
        <v>15</v>
      </c>
      <c r="AT6" s="38">
        <v>15</v>
      </c>
      <c r="AU6" s="38">
        <v>20</v>
      </c>
      <c r="AV6" s="38">
        <v>27</v>
      </c>
      <c r="AW6" s="38">
        <v>33</v>
      </c>
      <c r="AX6" s="23" t="s">
        <v>744</v>
      </c>
      <c r="AY6" s="23"/>
      <c r="AZ6" s="23">
        <f>VLOOKUP(B:B,链接质量检测!A:V,22,0)</f>
        <v>97</v>
      </c>
      <c r="BC6" s="13"/>
      <c r="BD6" s="13"/>
      <c r="BE6" s="13"/>
      <c r="BF6" s="13"/>
      <c r="BG6" s="13"/>
    </row>
    <row r="7" s="8" customFormat="1" customHeight="1" spans="1:59">
      <c r="A7" s="13" t="s">
        <v>233</v>
      </c>
      <c r="B7" s="13" t="s">
        <v>234</v>
      </c>
      <c r="C7" s="13" t="s">
        <v>235</v>
      </c>
      <c r="D7" s="23" t="s">
        <v>43</v>
      </c>
      <c r="E7" s="23" t="s">
        <v>44</v>
      </c>
      <c r="F7" s="23" t="s">
        <v>45</v>
      </c>
      <c r="G7" s="23" t="s">
        <v>48</v>
      </c>
      <c r="H7" s="23" t="s">
        <v>47</v>
      </c>
      <c r="I7" s="23" t="s">
        <v>48</v>
      </c>
      <c r="J7" s="28">
        <f>31.99*0.92</f>
        <v>29.4308</v>
      </c>
      <c r="K7" s="23">
        <v>23.39</v>
      </c>
      <c r="L7" s="23">
        <v>25.64</v>
      </c>
      <c r="M7" s="23">
        <v>23.08</v>
      </c>
      <c r="N7" s="23">
        <v>28.2</v>
      </c>
      <c r="O7" s="23">
        <v>0</v>
      </c>
      <c r="P7" s="23">
        <v>1</v>
      </c>
      <c r="Q7" s="23">
        <v>7</v>
      </c>
      <c r="R7" s="23">
        <v>7</v>
      </c>
      <c r="S7" s="23">
        <v>9</v>
      </c>
      <c r="T7" s="23">
        <v>17</v>
      </c>
      <c r="U7" s="23">
        <v>8</v>
      </c>
      <c r="V7" s="30">
        <v>10</v>
      </c>
      <c r="W7" s="31">
        <f t="shared" si="0"/>
        <v>1.7</v>
      </c>
      <c r="X7" s="32">
        <v>0.321</v>
      </c>
      <c r="Y7" s="32">
        <v>0.215640949</v>
      </c>
      <c r="Z7" s="32">
        <v>0.206141585</v>
      </c>
      <c r="AA7" s="32">
        <v>0</v>
      </c>
      <c r="AB7" s="32">
        <v>0.078417363</v>
      </c>
      <c r="AC7" s="32">
        <v>0.083846562</v>
      </c>
      <c r="AD7" s="31">
        <v>0.140495868</v>
      </c>
      <c r="AE7" s="31">
        <v>0.118775698</v>
      </c>
      <c r="AF7" s="34">
        <f>_xlfn.XLOOKUP(B7,库存明细报表10.16!L:L,库存明细报表10.16!P:P)</f>
        <v>10</v>
      </c>
      <c r="AG7" s="34">
        <f>_xlfn.XLOOKUP(B7,库存明细报表10.16!L:L,库存明细报表10.16!Q:Q)</f>
        <v>9</v>
      </c>
      <c r="AH7" s="34">
        <f>_xlfn.XLOOKUP(B7,库存明细报表10.16!L:L,库存明细报表10.16!T:T)</f>
        <v>7</v>
      </c>
      <c r="AI7" s="34">
        <f>VLOOKUP(A:A,进销存报表10.16!A:J,10,0)</f>
        <v>53</v>
      </c>
      <c r="AJ7" s="34">
        <f>VLOOKUP(A:A,进销存报表10.16!A:K,11,0)</f>
        <v>28</v>
      </c>
      <c r="AK7" s="23">
        <v>110.96</v>
      </c>
      <c r="AL7" s="23">
        <v>52.31</v>
      </c>
      <c r="AM7" s="26">
        <v>2.67</v>
      </c>
      <c r="AN7" s="26">
        <v>10.33333333</v>
      </c>
      <c r="AO7" s="32">
        <f t="shared" si="1"/>
        <v>0.0240627253064167</v>
      </c>
      <c r="AP7" s="32">
        <f t="shared" si="2"/>
        <v>0.197540304530682</v>
      </c>
      <c r="AQ7" s="37">
        <f t="shared" si="3"/>
        <v>12</v>
      </c>
      <c r="AR7" s="38">
        <v>4</v>
      </c>
      <c r="AS7" s="38">
        <v>5</v>
      </c>
      <c r="AT7" s="38">
        <v>6</v>
      </c>
      <c r="AU7" s="38">
        <v>8</v>
      </c>
      <c r="AV7" s="38">
        <v>10</v>
      </c>
      <c r="AW7" s="38">
        <v>12</v>
      </c>
      <c r="AX7" s="23" t="s">
        <v>786</v>
      </c>
      <c r="AY7" s="23" t="s">
        <v>745</v>
      </c>
      <c r="AZ7" s="23">
        <f>VLOOKUP(B:B,链接质量检测!A:V,22,0)</f>
        <v>89</v>
      </c>
      <c r="BC7" s="13"/>
      <c r="BD7" s="13"/>
      <c r="BE7" s="13"/>
      <c r="BF7" s="13"/>
      <c r="BG7" s="13"/>
    </row>
    <row r="8" s="8" customFormat="1" customHeight="1" spans="1:59">
      <c r="A8" s="13" t="s">
        <v>227</v>
      </c>
      <c r="B8" s="13" t="s">
        <v>228</v>
      </c>
      <c r="C8" s="13" t="s">
        <v>229</v>
      </c>
      <c r="D8" s="23" t="s">
        <v>43</v>
      </c>
      <c r="E8" s="23" t="s">
        <v>44</v>
      </c>
      <c r="F8" s="23" t="s">
        <v>45</v>
      </c>
      <c r="G8" s="23" t="s">
        <v>48</v>
      </c>
      <c r="H8" s="23" t="s">
        <v>47</v>
      </c>
      <c r="I8" s="23" t="s">
        <v>48</v>
      </c>
      <c r="J8" s="27">
        <f>28.99*0.92</f>
        <v>26.6708</v>
      </c>
      <c r="K8" s="23">
        <v>21.48</v>
      </c>
      <c r="L8" s="23">
        <v>28.14</v>
      </c>
      <c r="M8" s="23">
        <v>25.32</v>
      </c>
      <c r="N8" s="23">
        <v>30.95</v>
      </c>
      <c r="O8" s="23">
        <v>0</v>
      </c>
      <c r="P8" s="23">
        <v>2</v>
      </c>
      <c r="Q8" s="23">
        <v>2</v>
      </c>
      <c r="R8" s="23">
        <v>10</v>
      </c>
      <c r="S8" s="23">
        <v>8</v>
      </c>
      <c r="T8" s="23">
        <v>4</v>
      </c>
      <c r="U8" s="23">
        <v>4</v>
      </c>
      <c r="V8" s="30">
        <v>13</v>
      </c>
      <c r="W8" s="31">
        <f t="shared" si="0"/>
        <v>0.307692307692308</v>
      </c>
      <c r="X8" s="32">
        <v>0.358</v>
      </c>
      <c r="Y8" s="32">
        <v>0.270174274</v>
      </c>
      <c r="Z8" s="32">
        <v>0.329041902</v>
      </c>
      <c r="AA8" s="32">
        <v>0</v>
      </c>
      <c r="AB8" s="32">
        <v>0.053588441</v>
      </c>
      <c r="AC8" s="32">
        <v>0.083846994</v>
      </c>
      <c r="AD8" s="31">
        <v>0.111111111</v>
      </c>
      <c r="AE8" s="31">
        <v>0</v>
      </c>
      <c r="AF8" s="34">
        <f>_xlfn.XLOOKUP(B8,库存明细报表10.16!L:L,库存明细报表10.16!P:P)</f>
        <v>8</v>
      </c>
      <c r="AG8" s="34">
        <f>_xlfn.XLOOKUP(B8,库存明细报表10.16!L:L,库存明细报表10.16!Q:Q)</f>
        <v>8</v>
      </c>
      <c r="AH8" s="34">
        <f>_xlfn.XLOOKUP(B8,库存明细报表10.16!L:L,库存明细报表10.16!T:T)</f>
        <v>1</v>
      </c>
      <c r="AI8" s="34">
        <f>VLOOKUP(A:A,进销存报表10.16!A:J,10,0)</f>
        <v>18</v>
      </c>
      <c r="AJ8" s="34">
        <f>VLOOKUP(A:A,进销存报表10.16!A:K,11,0)</f>
        <v>0</v>
      </c>
      <c r="AK8" s="23">
        <v>67.58</v>
      </c>
      <c r="AL8" s="23">
        <v>51.7</v>
      </c>
      <c r="AM8" s="26">
        <v>1.33</v>
      </c>
      <c r="AN8" s="26">
        <v>7.333333333</v>
      </c>
      <c r="AO8" s="32">
        <f t="shared" si="1"/>
        <v>0.0196803788102989</v>
      </c>
      <c r="AP8" s="32">
        <f t="shared" si="2"/>
        <v>0.141843971624758</v>
      </c>
      <c r="AQ8" s="37">
        <f t="shared" si="3"/>
        <v>7</v>
      </c>
      <c r="AR8" s="38">
        <v>11</v>
      </c>
      <c r="AS8" s="38">
        <v>11</v>
      </c>
      <c r="AT8" s="38">
        <v>12</v>
      </c>
      <c r="AU8" s="38">
        <v>13</v>
      </c>
      <c r="AV8" s="38">
        <v>14</v>
      </c>
      <c r="AW8" s="38">
        <v>15</v>
      </c>
      <c r="AX8" s="23" t="s">
        <v>786</v>
      </c>
      <c r="AY8" s="23"/>
      <c r="AZ8" s="23">
        <f>VLOOKUP(B:B,链接质量检测!A:V,22,0)</f>
        <v>97</v>
      </c>
      <c r="BC8" s="13"/>
      <c r="BD8" s="13"/>
      <c r="BE8" s="13"/>
      <c r="BF8" s="13"/>
      <c r="BG8" s="13"/>
    </row>
    <row r="9" s="8" customFormat="1" customHeight="1" spans="1:59">
      <c r="A9" s="13" t="s">
        <v>252</v>
      </c>
      <c r="B9" s="13" t="s">
        <v>253</v>
      </c>
      <c r="C9" s="13" t="s">
        <v>254</v>
      </c>
      <c r="D9" s="23" t="s">
        <v>43</v>
      </c>
      <c r="E9" s="23" t="s">
        <v>44</v>
      </c>
      <c r="F9" s="23" t="s">
        <v>45</v>
      </c>
      <c r="G9" s="23" t="s">
        <v>48</v>
      </c>
      <c r="H9" s="23" t="s">
        <v>56</v>
      </c>
      <c r="I9" s="23" t="s">
        <v>47</v>
      </c>
      <c r="J9" s="28">
        <f>31.99</f>
        <v>31.99</v>
      </c>
      <c r="K9" s="23">
        <v>23.41</v>
      </c>
      <c r="L9" s="23">
        <v>54.96</v>
      </c>
      <c r="M9" s="23">
        <v>49.46</v>
      </c>
      <c r="N9" s="23">
        <v>60.46</v>
      </c>
      <c r="O9" s="23">
        <v>0</v>
      </c>
      <c r="P9" s="23">
        <v>1</v>
      </c>
      <c r="Q9" s="23">
        <v>0</v>
      </c>
      <c r="R9" s="23">
        <v>6</v>
      </c>
      <c r="S9" s="23">
        <v>4</v>
      </c>
      <c r="T9" s="23">
        <v>6</v>
      </c>
      <c r="U9" s="23">
        <v>2</v>
      </c>
      <c r="V9" s="30">
        <v>6</v>
      </c>
      <c r="W9" s="31">
        <f t="shared" si="0"/>
        <v>1</v>
      </c>
      <c r="X9" s="32">
        <v>0.225</v>
      </c>
      <c r="Y9" s="32">
        <v>0.103758582</v>
      </c>
      <c r="Z9" s="32">
        <v>0.275471498</v>
      </c>
      <c r="AA9" s="32">
        <v>0.134774523</v>
      </c>
      <c r="AB9" s="32">
        <v>0.042677824</v>
      </c>
      <c r="AC9" s="32">
        <v>0.045244127</v>
      </c>
      <c r="AD9" s="31">
        <v>0.181818182</v>
      </c>
      <c r="AE9" s="31">
        <v>0.249282782</v>
      </c>
      <c r="AF9" s="34">
        <f>_xlfn.XLOOKUP(B9,库存明细报表10.16!L:L,库存明细报表10.16!P:P)</f>
        <v>2</v>
      </c>
      <c r="AG9" s="34">
        <f>_xlfn.XLOOKUP(B9,库存明细报表10.16!L:L,库存明细报表10.16!Q:Q)</f>
        <v>2</v>
      </c>
      <c r="AH9" s="34">
        <f>_xlfn.XLOOKUP(B9,库存明细报表10.16!L:L,库存明细报表10.16!T:T)</f>
        <v>2</v>
      </c>
      <c r="AI9" s="34">
        <f>VLOOKUP(A:A,进销存报表10.16!A:J,10,0)</f>
        <v>5</v>
      </c>
      <c r="AJ9" s="34">
        <f>VLOOKUP(A:A,进销存报表10.16!A:K,11,0)</f>
        <v>16</v>
      </c>
      <c r="AK9" s="23">
        <v>9.34</v>
      </c>
      <c r="AL9" s="23">
        <v>12.92</v>
      </c>
      <c r="AM9" s="26">
        <v>0.33</v>
      </c>
      <c r="AN9" s="26">
        <v>6.333333333</v>
      </c>
      <c r="AO9" s="32">
        <f t="shared" si="1"/>
        <v>0.0353319057815846</v>
      </c>
      <c r="AP9" s="32">
        <f t="shared" si="2"/>
        <v>0.490196078405573</v>
      </c>
      <c r="AQ9" s="37">
        <f t="shared" si="3"/>
        <v>1</v>
      </c>
      <c r="AR9" s="38">
        <v>5</v>
      </c>
      <c r="AS9" s="38">
        <v>5</v>
      </c>
      <c r="AT9" s="38">
        <v>6</v>
      </c>
      <c r="AU9" s="38">
        <v>6</v>
      </c>
      <c r="AV9" s="38">
        <v>7</v>
      </c>
      <c r="AW9" s="38">
        <v>7</v>
      </c>
      <c r="AX9" s="23" t="s">
        <v>786</v>
      </c>
      <c r="AY9" s="23"/>
      <c r="AZ9" s="23">
        <f>VLOOKUP(B:B,链接质量检测!A:V,22,0)</f>
        <v>81</v>
      </c>
      <c r="BC9" s="13"/>
      <c r="BD9" s="13"/>
      <c r="BE9" s="13"/>
      <c r="BF9" s="13"/>
      <c r="BG9" s="13"/>
    </row>
    <row r="10" s="8" customFormat="1" customHeight="1" spans="1:59">
      <c r="A10" s="13" t="s">
        <v>157</v>
      </c>
      <c r="B10" s="13" t="s">
        <v>158</v>
      </c>
      <c r="C10" s="13" t="s">
        <v>159</v>
      </c>
      <c r="D10" s="23" t="s">
        <v>43</v>
      </c>
      <c r="E10" s="23" t="s">
        <v>55</v>
      </c>
      <c r="F10" s="23" t="s">
        <v>45</v>
      </c>
      <c r="G10" s="23" t="s">
        <v>48</v>
      </c>
      <c r="H10" s="23" t="s">
        <v>46</v>
      </c>
      <c r="I10" s="23" t="s">
        <v>48</v>
      </c>
      <c r="J10" s="28">
        <f>45.99*0.92</f>
        <v>42.3108</v>
      </c>
      <c r="K10" s="23">
        <v>42.15</v>
      </c>
      <c r="L10" s="23">
        <v>38.44</v>
      </c>
      <c r="M10" s="23">
        <v>34.59</v>
      </c>
      <c r="N10" s="23">
        <v>42.28</v>
      </c>
      <c r="O10" s="23">
        <v>0</v>
      </c>
      <c r="P10" s="23">
        <v>2</v>
      </c>
      <c r="Q10" s="23">
        <v>3</v>
      </c>
      <c r="R10" s="23">
        <v>1</v>
      </c>
      <c r="S10" s="23">
        <v>0</v>
      </c>
      <c r="T10" s="23">
        <v>3</v>
      </c>
      <c r="U10" s="23">
        <v>3</v>
      </c>
      <c r="V10" s="30" t="e">
        <v>#N/A</v>
      </c>
      <c r="W10" s="23" t="e">
        <f>IF(T10&gt;V10,"YES","NO")</f>
        <v>#N/A</v>
      </c>
      <c r="X10" s="32">
        <v>0.222</v>
      </c>
      <c r="Y10" s="32">
        <v>0.06153889</v>
      </c>
      <c r="Z10" s="32">
        <v>0.136482052</v>
      </c>
      <c r="AA10" s="32">
        <v>0</v>
      </c>
      <c r="AB10" s="32">
        <v>0.050568643</v>
      </c>
      <c r="AC10" s="32">
        <v>0.08383781</v>
      </c>
      <c r="AD10" s="31">
        <v>0.157894737</v>
      </c>
      <c r="AE10" s="31">
        <v>0.132890772</v>
      </c>
      <c r="AF10" s="34">
        <f>_xlfn.XLOOKUP(B10,库存明细报表10.16!L:L,库存明细报表10.16!P:P)</f>
        <v>4</v>
      </c>
      <c r="AG10" s="34">
        <f>_xlfn.XLOOKUP(B10,库存明细报表10.16!L:L,库存明细报表10.16!Q:Q)</f>
        <v>3</v>
      </c>
      <c r="AH10" s="34">
        <f>_xlfn.XLOOKUP(B10,库存明细报表10.16!L:L,库存明细报表10.16!T:T)</f>
        <v>0</v>
      </c>
      <c r="AI10" s="34">
        <f>VLOOKUP(A:A,进销存报表10.16!A:J,10,0)</f>
        <v>8</v>
      </c>
      <c r="AJ10" s="34">
        <f>VLOOKUP(A:A,进销存报表10.16!A:K,11,0)</f>
        <v>11</v>
      </c>
      <c r="AK10" s="23">
        <v>252.62</v>
      </c>
      <c r="AL10" s="23">
        <v>161.38</v>
      </c>
      <c r="AM10" s="26">
        <v>1.67</v>
      </c>
      <c r="AN10" s="26">
        <v>2</v>
      </c>
      <c r="AO10" s="32">
        <f t="shared" si="1"/>
        <v>0.00661071965798432</v>
      </c>
      <c r="AP10" s="32">
        <f t="shared" si="2"/>
        <v>0.0123931094311563</v>
      </c>
      <c r="AQ10" s="37">
        <f t="shared" si="3"/>
        <v>26</v>
      </c>
      <c r="AR10" s="38">
        <v>2</v>
      </c>
      <c r="AS10" s="38">
        <v>3</v>
      </c>
      <c r="AT10" s="38">
        <v>4</v>
      </c>
      <c r="AU10" s="38">
        <v>5</v>
      </c>
      <c r="AV10" s="38">
        <v>8</v>
      </c>
      <c r="AW10" s="38">
        <v>12</v>
      </c>
      <c r="AX10" s="23" t="s">
        <v>744</v>
      </c>
      <c r="AY10" s="23" t="s">
        <v>745</v>
      </c>
      <c r="AZ10" s="23">
        <f>VLOOKUP(B:B,链接质量检测!A:V,22,0)</f>
        <v>89</v>
      </c>
      <c r="BA10" s="8" t="s">
        <v>1402</v>
      </c>
      <c r="BB10" s="8"/>
      <c r="BC10" s="13"/>
      <c r="BD10" s="13"/>
      <c r="BE10" s="13"/>
      <c r="BF10" s="13"/>
      <c r="BG10" s="13"/>
    </row>
    <row r="11" s="8" customFormat="1" customHeight="1" spans="1:59">
      <c r="A11" s="13" t="s">
        <v>115</v>
      </c>
      <c r="B11" s="13" t="s">
        <v>116</v>
      </c>
      <c r="C11" s="13" t="s">
        <v>117</v>
      </c>
      <c r="D11" s="23" t="s">
        <v>43</v>
      </c>
      <c r="E11" s="23" t="s">
        <v>44</v>
      </c>
      <c r="F11" s="23" t="s">
        <v>45</v>
      </c>
      <c r="G11" s="23" t="s">
        <v>48</v>
      </c>
      <c r="H11" s="23" t="s">
        <v>46</v>
      </c>
      <c r="I11" s="23" t="s">
        <v>48</v>
      </c>
      <c r="J11" s="26">
        <f>38.99*0.92</f>
        <v>35.8708</v>
      </c>
      <c r="K11" s="23">
        <v>32.05</v>
      </c>
      <c r="L11" s="23">
        <v>37.99</v>
      </c>
      <c r="M11" s="23">
        <v>34.19</v>
      </c>
      <c r="N11" s="23">
        <v>41.79</v>
      </c>
      <c r="O11" s="23">
        <v>0</v>
      </c>
      <c r="P11" s="23">
        <v>0</v>
      </c>
      <c r="Q11" s="23">
        <v>1</v>
      </c>
      <c r="R11" s="23">
        <v>7</v>
      </c>
      <c r="S11" s="23">
        <v>2</v>
      </c>
      <c r="T11" s="23">
        <v>0</v>
      </c>
      <c r="U11" s="23">
        <v>1</v>
      </c>
      <c r="V11" s="30">
        <v>10</v>
      </c>
      <c r="W11" s="31">
        <f t="shared" ref="W11:W19" si="4">T11/V11</f>
        <v>0</v>
      </c>
      <c r="X11" s="32">
        <v>0.231</v>
      </c>
      <c r="Y11" s="32">
        <v>0.160108306</v>
      </c>
      <c r="Z11" s="32">
        <v>0</v>
      </c>
      <c r="AA11" s="32">
        <v>0</v>
      </c>
      <c r="AB11" s="32" t="s">
        <v>69</v>
      </c>
      <c r="AC11" s="32" t="s">
        <v>69</v>
      </c>
      <c r="AD11" s="31">
        <v>0</v>
      </c>
      <c r="AE11" s="31">
        <v>0</v>
      </c>
      <c r="AF11" s="34">
        <f>_xlfn.XLOOKUP(B11,库存明细报表10.16!L:L,库存明细报表10.16!P:P)</f>
        <v>9</v>
      </c>
      <c r="AG11" s="34">
        <f>_xlfn.XLOOKUP(B11,库存明细报表10.16!L:L,库存明细报表10.16!Q:Q)</f>
        <v>0</v>
      </c>
      <c r="AH11" s="34">
        <f>_xlfn.XLOOKUP(B11,库存明细报表10.16!L:L,库存明细报表10.16!T:T)</f>
        <v>0</v>
      </c>
      <c r="AI11" s="34">
        <f>VLOOKUP(A:A,进销存报表10.16!A:J,10,0)</f>
        <v>8</v>
      </c>
      <c r="AJ11" s="34">
        <f>VLOOKUP(A:A,进销存报表10.16!A:K,11,0)</f>
        <v>26</v>
      </c>
      <c r="AK11" s="23">
        <v>155.92</v>
      </c>
      <c r="AL11" s="23">
        <v>123.99</v>
      </c>
      <c r="AM11" s="26">
        <v>0.33</v>
      </c>
      <c r="AN11" s="26">
        <v>3.333333333</v>
      </c>
      <c r="AO11" s="32">
        <f t="shared" si="1"/>
        <v>0.00211646998460749</v>
      </c>
      <c r="AP11" s="32">
        <f t="shared" si="2"/>
        <v>0.0268838884829422</v>
      </c>
      <c r="AQ11" s="37">
        <f t="shared" si="3"/>
        <v>16</v>
      </c>
      <c r="AR11" s="38">
        <v>4</v>
      </c>
      <c r="AS11" s="38">
        <v>5</v>
      </c>
      <c r="AT11" s="38">
        <v>8</v>
      </c>
      <c r="AU11" s="38">
        <v>10</v>
      </c>
      <c r="AV11" s="38">
        <v>13</v>
      </c>
      <c r="AW11" s="38">
        <v>16</v>
      </c>
      <c r="AX11" s="23" t="s">
        <v>786</v>
      </c>
      <c r="AY11" s="23"/>
      <c r="AZ11" s="23">
        <f>VLOOKUP(B:B,链接质量检测!A:V,22,0)</f>
        <v>97</v>
      </c>
      <c r="BC11" s="13"/>
      <c r="BD11" s="13"/>
      <c r="BE11" s="13"/>
      <c r="BF11" s="13"/>
      <c r="BG11" s="13"/>
    </row>
    <row r="12" s="8" customFormat="1" customHeight="1" spans="1:59">
      <c r="A12" s="13" t="s">
        <v>172</v>
      </c>
      <c r="B12" s="13" t="s">
        <v>173</v>
      </c>
      <c r="C12" s="13" t="s">
        <v>174</v>
      </c>
      <c r="D12" s="23" t="s">
        <v>43</v>
      </c>
      <c r="E12" s="23" t="s">
        <v>44</v>
      </c>
      <c r="F12" s="23" t="s">
        <v>45</v>
      </c>
      <c r="G12" s="23" t="s">
        <v>48</v>
      </c>
      <c r="H12" s="23" t="s">
        <v>48</v>
      </c>
      <c r="I12" s="23" t="s">
        <v>46</v>
      </c>
      <c r="J12" s="26">
        <f>28.99*0.92</f>
        <v>26.6708</v>
      </c>
      <c r="K12" s="23">
        <v>21.08</v>
      </c>
      <c r="L12" s="23">
        <v>24.54</v>
      </c>
      <c r="M12" s="23">
        <v>22.08</v>
      </c>
      <c r="N12" s="23">
        <v>26.99</v>
      </c>
      <c r="O12" s="23">
        <v>0</v>
      </c>
      <c r="P12" s="23">
        <v>4</v>
      </c>
      <c r="Q12" s="23">
        <v>0</v>
      </c>
      <c r="R12" s="23">
        <v>3</v>
      </c>
      <c r="S12" s="23">
        <v>1</v>
      </c>
      <c r="T12" s="23">
        <v>9</v>
      </c>
      <c r="U12" s="23">
        <v>2</v>
      </c>
      <c r="V12" s="30">
        <v>10</v>
      </c>
      <c r="W12" s="31">
        <f t="shared" si="4"/>
        <v>0.9</v>
      </c>
      <c r="X12" s="32">
        <v>0.208</v>
      </c>
      <c r="Y12" s="32">
        <v>0.21657343</v>
      </c>
      <c r="Z12" s="32">
        <v>0.236847075</v>
      </c>
      <c r="AA12" s="32">
        <v>0</v>
      </c>
      <c r="AB12" s="32">
        <v>0.028860527</v>
      </c>
      <c r="AC12" s="32">
        <v>0.070511208</v>
      </c>
      <c r="AD12" s="31">
        <v>0.209302326</v>
      </c>
      <c r="AE12" s="31">
        <v>0.23026062</v>
      </c>
      <c r="AF12" s="34">
        <f>_xlfn.XLOOKUP(B12,库存明细报表10.16!L:L,库存明细报表10.16!P:P)</f>
        <v>11</v>
      </c>
      <c r="AG12" s="34">
        <f>_xlfn.XLOOKUP(B12,库存明细报表10.16!L:L,库存明细报表10.16!Q:Q)</f>
        <v>11</v>
      </c>
      <c r="AH12" s="23">
        <f>_xlfn.XLOOKUP(B12,库存明细报表10.16!L:L,库存明细报表10.16!T:T)</f>
        <v>0</v>
      </c>
      <c r="AI12" s="34">
        <f>VLOOKUP(A:A,进销存报表10.16!A:J,10,0)</f>
        <v>23</v>
      </c>
      <c r="AJ12" s="34">
        <f>VLOOKUP(A:A,进销存报表10.16!A:K,11,0)</f>
        <v>9</v>
      </c>
      <c r="AK12" s="23">
        <v>127.73</v>
      </c>
      <c r="AL12" s="23">
        <v>97.31</v>
      </c>
      <c r="AM12" s="26">
        <v>1.33</v>
      </c>
      <c r="AN12" s="26">
        <v>4.333333333</v>
      </c>
      <c r="AO12" s="32">
        <f t="shared" si="1"/>
        <v>0.010412589055038</v>
      </c>
      <c r="AP12" s="32">
        <f t="shared" si="2"/>
        <v>0.0445312232350221</v>
      </c>
      <c r="AQ12" s="37">
        <f t="shared" si="3"/>
        <v>13</v>
      </c>
      <c r="AR12" s="38">
        <v>3</v>
      </c>
      <c r="AS12" s="38">
        <v>4</v>
      </c>
      <c r="AT12" s="38">
        <v>6</v>
      </c>
      <c r="AU12" s="38">
        <v>8</v>
      </c>
      <c r="AV12" s="38">
        <v>11</v>
      </c>
      <c r="AW12" s="38">
        <v>13</v>
      </c>
      <c r="AX12" s="23" t="s">
        <v>786</v>
      </c>
      <c r="AY12" s="23" t="s">
        <v>745</v>
      </c>
      <c r="AZ12" s="23">
        <f>VLOOKUP(B:B,链接质量检测!A:V,22,0)</f>
        <v>97</v>
      </c>
      <c r="BC12" s="13"/>
      <c r="BD12" s="13"/>
      <c r="BE12" s="13"/>
      <c r="BF12" s="13"/>
      <c r="BG12" s="13"/>
    </row>
    <row r="13" s="8" customFormat="1" customHeight="1" spans="1:59">
      <c r="A13" s="13" t="s">
        <v>127</v>
      </c>
      <c r="B13" s="13" t="s">
        <v>128</v>
      </c>
      <c r="C13" s="13" t="s">
        <v>129</v>
      </c>
      <c r="D13" s="23" t="s">
        <v>43</v>
      </c>
      <c r="E13" s="23" t="s">
        <v>44</v>
      </c>
      <c r="F13" s="23" t="s">
        <v>45</v>
      </c>
      <c r="G13" s="23" t="s">
        <v>48</v>
      </c>
      <c r="H13" s="23" t="s">
        <v>46</v>
      </c>
      <c r="I13" s="23" t="s">
        <v>46</v>
      </c>
      <c r="J13" s="27">
        <f>53.99*0.92</f>
        <v>49.6708</v>
      </c>
      <c r="K13" s="23">
        <v>45.43</v>
      </c>
      <c r="L13" s="23">
        <v>46.54</v>
      </c>
      <c r="M13" s="23">
        <v>41.88</v>
      </c>
      <c r="N13" s="23">
        <v>51.19</v>
      </c>
      <c r="O13" s="23">
        <v>0</v>
      </c>
      <c r="P13" s="23">
        <v>1</v>
      </c>
      <c r="Q13" s="23">
        <v>0</v>
      </c>
      <c r="R13" s="23">
        <v>6</v>
      </c>
      <c r="S13" s="23">
        <v>5</v>
      </c>
      <c r="T13" s="23">
        <v>8</v>
      </c>
      <c r="U13" s="23">
        <v>6</v>
      </c>
      <c r="V13" s="30">
        <v>10</v>
      </c>
      <c r="W13" s="31">
        <f t="shared" si="4"/>
        <v>0.8</v>
      </c>
      <c r="X13" s="32">
        <v>0.275</v>
      </c>
      <c r="Y13" s="32">
        <v>0.198439724</v>
      </c>
      <c r="Z13" s="32">
        <v>0.18035891</v>
      </c>
      <c r="AA13" s="32">
        <v>0.252252658</v>
      </c>
      <c r="AB13" s="32">
        <v>0.023269959</v>
      </c>
      <c r="AC13" s="32">
        <v>0.051037269</v>
      </c>
      <c r="AD13" s="31">
        <v>0.153846154</v>
      </c>
      <c r="AE13" s="31">
        <v>0.153492442</v>
      </c>
      <c r="AF13" s="34">
        <f>_xlfn.XLOOKUP(B13,库存明细报表10.16!L:L,库存明细报表10.16!P:P)</f>
        <v>17</v>
      </c>
      <c r="AG13" s="34">
        <f>_xlfn.XLOOKUP(B13,库存明细报表10.16!L:L,库存明细报表10.16!Q:Q)</f>
        <v>6</v>
      </c>
      <c r="AH13" s="34">
        <f>_xlfn.XLOOKUP(B13,库存明细报表10.16!L:L,库存明细报表10.16!T:T)</f>
        <v>2</v>
      </c>
      <c r="AI13" s="34">
        <f>VLOOKUP(A:A,进销存报表10.16!A:J,10,0)</f>
        <v>21</v>
      </c>
      <c r="AJ13" s="34">
        <f>VLOOKUP(A:A,进销存报表10.16!A:K,11,0)</f>
        <v>10</v>
      </c>
      <c r="AK13" s="23">
        <v>107.6</v>
      </c>
      <c r="AL13" s="23">
        <v>85.99</v>
      </c>
      <c r="AM13" s="26">
        <v>0.33</v>
      </c>
      <c r="AN13" s="26">
        <v>6.666666667</v>
      </c>
      <c r="AO13" s="32">
        <f t="shared" si="1"/>
        <v>0.00306691449814126</v>
      </c>
      <c r="AP13" s="32">
        <f t="shared" si="2"/>
        <v>0.0775283947784626</v>
      </c>
      <c r="AQ13" s="37">
        <f t="shared" si="3"/>
        <v>11</v>
      </c>
      <c r="AR13" s="38">
        <v>6</v>
      </c>
      <c r="AS13" s="38">
        <v>6</v>
      </c>
      <c r="AT13" s="38">
        <v>7</v>
      </c>
      <c r="AU13" s="38">
        <v>8</v>
      </c>
      <c r="AV13" s="38">
        <v>9</v>
      </c>
      <c r="AW13" s="38">
        <v>11</v>
      </c>
      <c r="AX13" s="23" t="s">
        <v>786</v>
      </c>
      <c r="AY13" s="23" t="s">
        <v>745</v>
      </c>
      <c r="AZ13" s="23">
        <f>VLOOKUP(B:B,链接质量检测!A:V,22,0)</f>
        <v>97</v>
      </c>
      <c r="BC13" s="13"/>
      <c r="BD13" s="13"/>
      <c r="BE13" s="13"/>
      <c r="BF13" s="13"/>
      <c r="BG13" s="13"/>
    </row>
    <row r="14" s="8" customFormat="1" customHeight="1" spans="1:59">
      <c r="A14" s="13" t="s">
        <v>169</v>
      </c>
      <c r="B14" s="13" t="s">
        <v>170</v>
      </c>
      <c r="C14" s="13" t="s">
        <v>171</v>
      </c>
      <c r="D14" s="23" t="s">
        <v>43</v>
      </c>
      <c r="E14" s="23" t="s">
        <v>44</v>
      </c>
      <c r="F14" s="23" t="s">
        <v>45</v>
      </c>
      <c r="G14" s="23" t="s">
        <v>48</v>
      </c>
      <c r="H14" s="23" t="s">
        <v>47</v>
      </c>
      <c r="I14" s="23" t="s">
        <v>48</v>
      </c>
      <c r="J14" s="28">
        <f>42.99</f>
        <v>42.99</v>
      </c>
      <c r="K14" s="23">
        <v>31.01</v>
      </c>
      <c r="L14" s="23">
        <v>34.28</v>
      </c>
      <c r="M14" s="23">
        <v>30.86</v>
      </c>
      <c r="N14" s="23">
        <v>37.71</v>
      </c>
      <c r="O14" s="23">
        <v>0</v>
      </c>
      <c r="P14" s="23">
        <v>1</v>
      </c>
      <c r="Q14" s="23">
        <v>1</v>
      </c>
      <c r="R14" s="23">
        <v>7</v>
      </c>
      <c r="S14" s="23">
        <v>15</v>
      </c>
      <c r="T14" s="23">
        <v>6</v>
      </c>
      <c r="U14" s="23">
        <v>1</v>
      </c>
      <c r="V14" s="30">
        <v>11</v>
      </c>
      <c r="W14" s="31">
        <f t="shared" si="4"/>
        <v>0.545454545454545</v>
      </c>
      <c r="X14" s="32">
        <v>0.331</v>
      </c>
      <c r="Y14" s="32">
        <v>0.230307269</v>
      </c>
      <c r="Z14" s="32">
        <v>0.285490638</v>
      </c>
      <c r="AA14" s="32">
        <v>0.1639088</v>
      </c>
      <c r="AB14" s="32">
        <v>0.018758579</v>
      </c>
      <c r="AC14" s="32">
        <v>0.043168824</v>
      </c>
      <c r="AD14" s="31">
        <v>0.111111111</v>
      </c>
      <c r="AE14" s="31">
        <v>0.142605546</v>
      </c>
      <c r="AF14" s="34">
        <f>_xlfn.XLOOKUP(B14,库存明细报表10.16!L:L,库存明细报表10.16!P:P)</f>
        <v>0</v>
      </c>
      <c r="AG14" s="34">
        <f>_xlfn.XLOOKUP(B14,库存明细报表10.16!L:L,库存明细报表10.16!Q:Q)</f>
        <v>0</v>
      </c>
      <c r="AH14" s="34">
        <f>_xlfn.XLOOKUP(B14,库存明细报表10.16!L:L,库存明细报表10.16!T:T)</f>
        <v>40</v>
      </c>
      <c r="AI14" s="34">
        <f>VLOOKUP(A:A,进销存报表10.16!A:J,10,0)</f>
        <v>1</v>
      </c>
      <c r="AJ14" s="34">
        <f>VLOOKUP(A:A,进销存报表10.16!A:K,11,0)</f>
        <v>36</v>
      </c>
      <c r="AK14" s="23">
        <v>72.93</v>
      </c>
      <c r="AL14" s="23">
        <v>60.29</v>
      </c>
      <c r="AM14" s="26">
        <v>0.67</v>
      </c>
      <c r="AN14" s="26">
        <v>9.666666667</v>
      </c>
      <c r="AO14" s="32">
        <f t="shared" si="1"/>
        <v>0.00918689153983272</v>
      </c>
      <c r="AP14" s="32">
        <f t="shared" si="2"/>
        <v>0.160336153043622</v>
      </c>
      <c r="AQ14" s="37">
        <f t="shared" si="3"/>
        <v>8</v>
      </c>
      <c r="AR14" s="38">
        <v>8</v>
      </c>
      <c r="AS14" s="38">
        <v>11</v>
      </c>
      <c r="AT14" s="38">
        <v>11</v>
      </c>
      <c r="AU14" s="38">
        <v>11</v>
      </c>
      <c r="AV14" s="38">
        <v>12</v>
      </c>
      <c r="AW14" s="38">
        <v>13</v>
      </c>
      <c r="AX14" s="23" t="s">
        <v>786</v>
      </c>
      <c r="AY14" s="23"/>
      <c r="AZ14" s="23">
        <f>VLOOKUP(B:B,链接质量检测!A:V,22,0)</f>
        <v>89</v>
      </c>
      <c r="BC14" s="13"/>
      <c r="BD14" s="13"/>
      <c r="BE14" s="13"/>
      <c r="BF14" s="13"/>
      <c r="BG14" s="13"/>
    </row>
    <row r="15" s="8" customFormat="1" customHeight="1" spans="1:59">
      <c r="A15" s="13" t="s">
        <v>121</v>
      </c>
      <c r="B15" s="13" t="s">
        <v>122</v>
      </c>
      <c r="C15" s="13" t="s">
        <v>123</v>
      </c>
      <c r="D15" s="23" t="s">
        <v>43</v>
      </c>
      <c r="E15" s="23" t="s">
        <v>44</v>
      </c>
      <c r="F15" s="23" t="s">
        <v>45</v>
      </c>
      <c r="G15" s="23" t="s">
        <v>48</v>
      </c>
      <c r="H15" s="23" t="s">
        <v>48</v>
      </c>
      <c r="I15" s="23" t="s">
        <v>48</v>
      </c>
      <c r="J15" s="26">
        <f>38.99*0.92</f>
        <v>35.8708</v>
      </c>
      <c r="K15" s="23">
        <v>22.2</v>
      </c>
      <c r="L15" s="23">
        <v>38.95</v>
      </c>
      <c r="M15" s="23">
        <v>35.05</v>
      </c>
      <c r="N15" s="23">
        <v>42.84</v>
      </c>
      <c r="O15" s="23">
        <v>0</v>
      </c>
      <c r="P15" s="23">
        <v>0</v>
      </c>
      <c r="Q15" s="23">
        <v>1</v>
      </c>
      <c r="R15" s="23">
        <v>1</v>
      </c>
      <c r="S15" s="23">
        <v>1</v>
      </c>
      <c r="T15" s="23">
        <v>4</v>
      </c>
      <c r="U15" s="23">
        <v>0</v>
      </c>
      <c r="V15" s="30">
        <v>10</v>
      </c>
      <c r="W15" s="31">
        <f t="shared" si="4"/>
        <v>0.4</v>
      </c>
      <c r="X15" s="32">
        <v>0.384</v>
      </c>
      <c r="Y15" s="32">
        <v>0.309512886</v>
      </c>
      <c r="Z15" s="32">
        <v>0.313830311</v>
      </c>
      <c r="AA15" s="32">
        <v>0</v>
      </c>
      <c r="AB15" s="32">
        <v>0.065070493</v>
      </c>
      <c r="AC15" s="32">
        <v>0.083824903</v>
      </c>
      <c r="AD15" s="31">
        <v>0.117647059</v>
      </c>
      <c r="AE15" s="31">
        <v>0.106965054</v>
      </c>
      <c r="AF15" s="34">
        <f>_xlfn.XLOOKUP(B15,库存明细报表10.16!L:L,库存明细报表10.16!P:P)</f>
        <v>15</v>
      </c>
      <c r="AG15" s="34">
        <f>_xlfn.XLOOKUP(B15,库存明细报表10.16!L:L,库存明细报表10.16!Q:Q)</f>
        <v>14</v>
      </c>
      <c r="AH15" s="34">
        <f>_xlfn.XLOOKUP(B15,库存明细报表10.16!L:L,库存明细报表10.16!T:T)</f>
        <v>0</v>
      </c>
      <c r="AI15" s="34">
        <f>VLOOKUP(A:A,进销存报表10.16!A:J,10,0)</f>
        <v>19</v>
      </c>
      <c r="AJ15" s="34">
        <f>VLOOKUP(A:A,进销存报表10.16!A:K,11,0)</f>
        <v>12</v>
      </c>
      <c r="AK15" s="23">
        <v>131.47</v>
      </c>
      <c r="AL15" s="23">
        <v>90.4</v>
      </c>
      <c r="AM15" s="26">
        <v>0.33</v>
      </c>
      <c r="AN15" s="26">
        <v>1.666666667</v>
      </c>
      <c r="AO15" s="32">
        <f t="shared" si="1"/>
        <v>0.00251007834486955</v>
      </c>
      <c r="AP15" s="32">
        <f t="shared" si="2"/>
        <v>0.0184365781747788</v>
      </c>
      <c r="AQ15" s="37">
        <f t="shared" si="3"/>
        <v>14</v>
      </c>
      <c r="AR15" s="38">
        <v>3</v>
      </c>
      <c r="AS15" s="38">
        <v>5</v>
      </c>
      <c r="AT15" s="38">
        <v>7</v>
      </c>
      <c r="AU15" s="38">
        <v>9</v>
      </c>
      <c r="AV15" s="38">
        <v>12</v>
      </c>
      <c r="AW15" s="38">
        <v>14</v>
      </c>
      <c r="AX15" s="23" t="s">
        <v>786</v>
      </c>
      <c r="AY15" s="23" t="s">
        <v>745</v>
      </c>
      <c r="AZ15" s="23">
        <f>VLOOKUP(B:B,链接质量检测!A:V,22,0)</f>
        <v>97</v>
      </c>
      <c r="BA15" s="8" t="s">
        <v>1403</v>
      </c>
      <c r="BB15" s="8"/>
      <c r="BC15" s="13"/>
      <c r="BD15" s="13"/>
      <c r="BE15" s="13"/>
      <c r="BF15" s="13"/>
      <c r="BG15" s="13"/>
    </row>
    <row r="16" s="8" customFormat="1" customHeight="1" spans="1:59">
      <c r="A16" s="13" t="s">
        <v>160</v>
      </c>
      <c r="B16" s="13" t="s">
        <v>161</v>
      </c>
      <c r="C16" s="13" t="s">
        <v>162</v>
      </c>
      <c r="D16" s="23" t="s">
        <v>43</v>
      </c>
      <c r="E16" s="23" t="s">
        <v>44</v>
      </c>
      <c r="F16" s="23" t="s">
        <v>45</v>
      </c>
      <c r="G16" s="23" t="s">
        <v>48</v>
      </c>
      <c r="H16" s="23" t="s">
        <v>48</v>
      </c>
      <c r="I16" s="23" t="s">
        <v>48</v>
      </c>
      <c r="J16" s="26">
        <f>24.99*0.92</f>
        <v>22.9908</v>
      </c>
      <c r="K16" s="23">
        <v>20.43</v>
      </c>
      <c r="L16" s="23">
        <v>21.24</v>
      </c>
      <c r="M16" s="23">
        <v>19.12</v>
      </c>
      <c r="N16" s="23">
        <v>23.37</v>
      </c>
      <c r="O16" s="23">
        <v>0</v>
      </c>
      <c r="P16" s="23">
        <v>0</v>
      </c>
      <c r="Q16" s="23">
        <v>5</v>
      </c>
      <c r="R16" s="23">
        <v>4</v>
      </c>
      <c r="S16" s="23">
        <v>10</v>
      </c>
      <c r="T16" s="23">
        <v>11</v>
      </c>
      <c r="U16" s="23">
        <v>1</v>
      </c>
      <c r="V16" s="30">
        <v>14</v>
      </c>
      <c r="W16" s="31">
        <f t="shared" si="4"/>
        <v>0.785714285714286</v>
      </c>
      <c r="X16" s="32">
        <v>0.229</v>
      </c>
      <c r="Y16" s="32">
        <v>0.209394886</v>
      </c>
      <c r="Z16" s="32">
        <v>0.143866738</v>
      </c>
      <c r="AA16" s="32">
        <v>0.192675707</v>
      </c>
      <c r="AB16" s="32">
        <v>0.014318166</v>
      </c>
      <c r="AC16" s="32">
        <v>0.06088771</v>
      </c>
      <c r="AD16" s="31">
        <v>0.203703704</v>
      </c>
      <c r="AE16" s="31">
        <v>0.221708548</v>
      </c>
      <c r="AF16" s="34">
        <f>_xlfn.XLOOKUP(B16,库存明细报表10.16!L:L,库存明细报表10.16!P:P)</f>
        <v>15</v>
      </c>
      <c r="AG16" s="34">
        <f>_xlfn.XLOOKUP(B16,库存明细报表10.16!L:L,库存明细报表10.16!Q:Q)</f>
        <v>14</v>
      </c>
      <c r="AH16" s="34">
        <f>_xlfn.XLOOKUP(B16,库存明细报表10.16!L:L,库存明细报表10.16!T:T)</f>
        <v>20</v>
      </c>
      <c r="AI16" s="34">
        <f>VLOOKUP(A:A,进销存报表10.16!A:J,10,0)</f>
        <v>11</v>
      </c>
      <c r="AJ16" s="34">
        <f>VLOOKUP(A:A,进销存报表10.16!A:K,11,0)</f>
        <v>28</v>
      </c>
      <c r="AK16" s="23">
        <v>176.38</v>
      </c>
      <c r="AL16" s="23">
        <v>142.47</v>
      </c>
      <c r="AM16" s="26">
        <v>1.33</v>
      </c>
      <c r="AN16" s="26">
        <v>9.333333333</v>
      </c>
      <c r="AO16" s="32">
        <f t="shared" si="1"/>
        <v>0.0075405374759043</v>
      </c>
      <c r="AP16" s="32">
        <f t="shared" si="2"/>
        <v>0.0655108677826911</v>
      </c>
      <c r="AQ16" s="37">
        <f t="shared" si="3"/>
        <v>18</v>
      </c>
      <c r="AR16" s="38">
        <v>11</v>
      </c>
      <c r="AS16" s="38">
        <v>12</v>
      </c>
      <c r="AT16" s="38">
        <v>13</v>
      </c>
      <c r="AU16" s="38">
        <v>14</v>
      </c>
      <c r="AV16" s="38">
        <v>15</v>
      </c>
      <c r="AW16" s="38">
        <v>18</v>
      </c>
      <c r="AX16" s="23" t="s">
        <v>786</v>
      </c>
      <c r="AY16" s="23"/>
      <c r="AZ16" s="23">
        <f>VLOOKUP(B:B,链接质量检测!A:V,22,0)</f>
        <v>97</v>
      </c>
      <c r="BC16" s="13"/>
      <c r="BD16" s="13"/>
      <c r="BE16" s="13"/>
      <c r="BF16" s="13"/>
      <c r="BG16" s="13"/>
    </row>
    <row r="17" s="8" customFormat="1" customHeight="1" spans="1:59">
      <c r="A17" s="13" t="s">
        <v>139</v>
      </c>
      <c r="B17" s="13" t="s">
        <v>140</v>
      </c>
      <c r="C17" s="13" t="s">
        <v>141</v>
      </c>
      <c r="D17" s="23" t="s">
        <v>43</v>
      </c>
      <c r="E17" s="23" t="s">
        <v>44</v>
      </c>
      <c r="F17" s="23" t="s">
        <v>45</v>
      </c>
      <c r="G17" s="23" t="s">
        <v>48</v>
      </c>
      <c r="H17" s="23" t="s">
        <v>46</v>
      </c>
      <c r="I17" s="23" t="s">
        <v>48</v>
      </c>
      <c r="J17" s="28">
        <f>22.99*0.92</f>
        <v>21.1508</v>
      </c>
      <c r="K17" s="23">
        <v>20.85</v>
      </c>
      <c r="L17" s="23">
        <v>17.57</v>
      </c>
      <c r="M17" s="23">
        <v>15.81</v>
      </c>
      <c r="N17" s="23">
        <v>19.33</v>
      </c>
      <c r="O17" s="23">
        <v>0</v>
      </c>
      <c r="P17" s="23">
        <v>0</v>
      </c>
      <c r="Q17" s="23">
        <v>1</v>
      </c>
      <c r="R17" s="23">
        <v>0</v>
      </c>
      <c r="S17" s="23">
        <v>4</v>
      </c>
      <c r="T17" s="23">
        <v>8</v>
      </c>
      <c r="U17" s="23">
        <v>9</v>
      </c>
      <c r="V17" s="30">
        <v>10</v>
      </c>
      <c r="W17" s="31">
        <f t="shared" si="4"/>
        <v>0.8</v>
      </c>
      <c r="X17" s="32">
        <v>0.347</v>
      </c>
      <c r="Y17" s="32">
        <v>0.088299283</v>
      </c>
      <c r="Z17" s="32">
        <v>0.004619175</v>
      </c>
      <c r="AA17" s="32">
        <v>0.126220193</v>
      </c>
      <c r="AB17" s="32">
        <v>0.071438978</v>
      </c>
      <c r="AC17" s="32">
        <v>0.073755017</v>
      </c>
      <c r="AD17" s="31">
        <v>0.103896104</v>
      </c>
      <c r="AE17" s="31">
        <v>0.083134443</v>
      </c>
      <c r="AF17" s="34">
        <f>_xlfn.XLOOKUP(B17,库存明细报表10.16!L:L,库存明细报表10.16!P:P)</f>
        <v>4</v>
      </c>
      <c r="AG17" s="34">
        <f>_xlfn.XLOOKUP(B17,库存明细报表10.16!L:L,库存明细报表10.16!Q:Q)</f>
        <v>4</v>
      </c>
      <c r="AH17" s="34">
        <f>_xlfn.XLOOKUP(B17,库存明细报表10.16!L:L,库存明细报表10.16!T:T)</f>
        <v>0</v>
      </c>
      <c r="AI17" s="34">
        <f>VLOOKUP(A:A,进销存报表10.16!A:J,10,0)</f>
        <v>0</v>
      </c>
      <c r="AJ17" s="34">
        <f>VLOOKUP(A:A,进销存报表10.16!A:K,11,0)</f>
        <v>0</v>
      </c>
      <c r="AK17" s="23">
        <v>89.74</v>
      </c>
      <c r="AL17" s="23">
        <v>62.2</v>
      </c>
      <c r="AM17" s="26">
        <v>0.33</v>
      </c>
      <c r="AN17" s="26">
        <v>4.666666667</v>
      </c>
      <c r="AO17" s="32">
        <f t="shared" si="1"/>
        <v>0.00367728994874081</v>
      </c>
      <c r="AP17" s="32">
        <f t="shared" si="2"/>
        <v>0.0750267952893891</v>
      </c>
      <c r="AQ17" s="37">
        <f t="shared" si="3"/>
        <v>9</v>
      </c>
      <c r="AR17" s="38">
        <v>3</v>
      </c>
      <c r="AS17" s="38">
        <v>3</v>
      </c>
      <c r="AT17" s="38">
        <v>5</v>
      </c>
      <c r="AU17" s="38">
        <v>6</v>
      </c>
      <c r="AV17" s="38">
        <v>8</v>
      </c>
      <c r="AW17" s="38">
        <v>9</v>
      </c>
      <c r="AX17" s="23" t="s">
        <v>786</v>
      </c>
      <c r="AY17" s="23" t="s">
        <v>745</v>
      </c>
      <c r="AZ17" s="23">
        <f>VLOOKUP(B:B,链接质量检测!A:V,22,0)</f>
        <v>89</v>
      </c>
      <c r="BC17" s="13"/>
      <c r="BD17" s="13"/>
      <c r="BE17" s="13"/>
      <c r="BF17" s="13"/>
      <c r="BG17" s="13"/>
    </row>
    <row r="18" s="8" customFormat="1" customHeight="1" spans="1:59">
      <c r="A18" s="13" t="s">
        <v>202</v>
      </c>
      <c r="B18" s="13" t="s">
        <v>203</v>
      </c>
      <c r="C18" s="13" t="s">
        <v>204</v>
      </c>
      <c r="D18" s="23" t="s">
        <v>43</v>
      </c>
      <c r="E18" s="23" t="s">
        <v>44</v>
      </c>
      <c r="F18" s="23" t="s">
        <v>45</v>
      </c>
      <c r="G18" s="23" t="s">
        <v>48</v>
      </c>
      <c r="H18" s="23" t="s">
        <v>47</v>
      </c>
      <c r="I18" s="23" t="s">
        <v>48</v>
      </c>
      <c r="J18" s="27">
        <f>25.99*0.94</f>
        <v>24.4306</v>
      </c>
      <c r="K18" s="23">
        <v>18.98</v>
      </c>
      <c r="L18" s="23">
        <v>22.49</v>
      </c>
      <c r="M18" s="23">
        <v>20.24</v>
      </c>
      <c r="N18" s="23">
        <v>24.74</v>
      </c>
      <c r="O18" s="23">
        <v>0</v>
      </c>
      <c r="P18" s="23">
        <v>2</v>
      </c>
      <c r="Q18" s="23">
        <v>3</v>
      </c>
      <c r="R18" s="23">
        <v>3</v>
      </c>
      <c r="S18" s="23">
        <v>13</v>
      </c>
      <c r="T18" s="23">
        <v>5</v>
      </c>
      <c r="U18" s="23">
        <v>1</v>
      </c>
      <c r="V18" s="30">
        <v>14</v>
      </c>
      <c r="W18" s="31">
        <f t="shared" si="4"/>
        <v>0.357142857142857</v>
      </c>
      <c r="X18" s="32">
        <v>0.29</v>
      </c>
      <c r="Y18" s="32">
        <v>0.296099195</v>
      </c>
      <c r="Z18" s="32">
        <v>0.332115836</v>
      </c>
      <c r="AA18" s="32">
        <v>0</v>
      </c>
      <c r="AB18" s="32">
        <v>0.03214543</v>
      </c>
      <c r="AC18" s="32">
        <v>0.07964042</v>
      </c>
      <c r="AD18" s="31">
        <v>0.047619048</v>
      </c>
      <c r="AE18" s="31">
        <v>0.099710023</v>
      </c>
      <c r="AF18" s="34">
        <f>_xlfn.XLOOKUP(B18,库存明细报表10.16!L:L,库存明细报表10.16!P:P)</f>
        <v>23</v>
      </c>
      <c r="AG18" s="34">
        <f>_xlfn.XLOOKUP(B18,库存明细报表10.16!L:L,库存明细报表10.16!Q:Q)</f>
        <v>3</v>
      </c>
      <c r="AH18" s="34">
        <f>_xlfn.XLOOKUP(B18,库存明细报表10.16!L:L,库存明细报表10.16!T:T)</f>
        <v>20</v>
      </c>
      <c r="AI18" s="34">
        <f>VLOOKUP(A:A,进销存报表10.16!A:J,10,0)</f>
        <v>23</v>
      </c>
      <c r="AJ18" s="34">
        <f>VLOOKUP(A:A,进销存报表10.16!A:K,11,0)</f>
        <v>5</v>
      </c>
      <c r="AK18" s="23">
        <v>99.86</v>
      </c>
      <c r="AL18" s="23">
        <v>64.92</v>
      </c>
      <c r="AM18" s="26">
        <v>1.33</v>
      </c>
      <c r="AN18" s="26">
        <v>7.666666667</v>
      </c>
      <c r="AO18" s="32">
        <f t="shared" si="1"/>
        <v>0.0133186461045464</v>
      </c>
      <c r="AP18" s="32">
        <f t="shared" si="2"/>
        <v>0.118094064494763</v>
      </c>
      <c r="AQ18" s="37">
        <f t="shared" si="3"/>
        <v>10</v>
      </c>
      <c r="AR18" s="38">
        <v>12</v>
      </c>
      <c r="AS18" s="38">
        <v>13</v>
      </c>
      <c r="AT18" s="38">
        <v>13</v>
      </c>
      <c r="AU18" s="38">
        <v>14</v>
      </c>
      <c r="AV18" s="38">
        <v>14</v>
      </c>
      <c r="AW18" s="38">
        <v>14</v>
      </c>
      <c r="AX18" s="23" t="s">
        <v>786</v>
      </c>
      <c r="AY18" s="23"/>
      <c r="AZ18" s="23">
        <f>VLOOKUP(B:B,链接质量检测!A:V,22,0)</f>
        <v>97</v>
      </c>
      <c r="BC18" s="13"/>
      <c r="BD18" s="13"/>
      <c r="BE18" s="13"/>
      <c r="BF18" s="13"/>
      <c r="BG18" s="13"/>
    </row>
    <row r="19" s="8" customFormat="1" customHeight="1" spans="1:59">
      <c r="A19" s="13" t="s">
        <v>199</v>
      </c>
      <c r="B19" s="13" t="s">
        <v>200</v>
      </c>
      <c r="C19" s="13" t="s">
        <v>201</v>
      </c>
      <c r="D19" s="23" t="s">
        <v>43</v>
      </c>
      <c r="E19" s="23" t="s">
        <v>44</v>
      </c>
      <c r="F19" s="23" t="s">
        <v>45</v>
      </c>
      <c r="G19" s="23" t="s">
        <v>48</v>
      </c>
      <c r="H19" s="23" t="s">
        <v>46</v>
      </c>
      <c r="I19" s="23" t="s">
        <v>48</v>
      </c>
      <c r="J19" s="26">
        <f>36.99*0.92</f>
        <v>34.0308</v>
      </c>
      <c r="K19" s="23">
        <v>26.05</v>
      </c>
      <c r="L19" s="23">
        <v>36.91</v>
      </c>
      <c r="M19" s="23">
        <v>33.22</v>
      </c>
      <c r="N19" s="23">
        <v>40.6</v>
      </c>
      <c r="O19" s="23">
        <v>0</v>
      </c>
      <c r="P19" s="23">
        <v>0</v>
      </c>
      <c r="Q19" s="23">
        <v>5</v>
      </c>
      <c r="R19" s="23">
        <v>12</v>
      </c>
      <c r="S19" s="23">
        <v>3</v>
      </c>
      <c r="T19" s="23">
        <v>8</v>
      </c>
      <c r="U19" s="23">
        <v>6</v>
      </c>
      <c r="V19" s="30">
        <v>10</v>
      </c>
      <c r="W19" s="31">
        <f t="shared" si="4"/>
        <v>0.8</v>
      </c>
      <c r="X19" s="32">
        <v>0.275</v>
      </c>
      <c r="Y19" s="32">
        <v>0.100323703</v>
      </c>
      <c r="Z19" s="32">
        <v>0.158807657</v>
      </c>
      <c r="AA19" s="32">
        <v>0.255397237</v>
      </c>
      <c r="AB19" s="32">
        <v>0.071747265</v>
      </c>
      <c r="AC19" s="32">
        <v>0.04660364</v>
      </c>
      <c r="AD19" s="31">
        <v>0.16</v>
      </c>
      <c r="AE19" s="31">
        <v>0.080834751</v>
      </c>
      <c r="AF19" s="34">
        <f>_xlfn.XLOOKUP(B19,库存明细报表10.16!L:L,库存明细报表10.16!P:P)</f>
        <v>9</v>
      </c>
      <c r="AG19" s="34">
        <f>_xlfn.XLOOKUP(B19,库存明细报表10.16!L:L,库存明细报表10.16!Q:Q)</f>
        <v>9</v>
      </c>
      <c r="AH19" s="34">
        <f>_xlfn.XLOOKUP(B19,库存明细报表10.16!L:L,库存明细报表10.16!T:T)</f>
        <v>0</v>
      </c>
      <c r="AI19" s="34">
        <f>VLOOKUP(A:A,进销存报表10.16!A:J,10,0)</f>
        <v>0</v>
      </c>
      <c r="AJ19" s="34">
        <f>VLOOKUP(A:A,进销存报表10.16!A:K,11,0)</f>
        <v>59</v>
      </c>
      <c r="AK19" s="23">
        <v>125.64</v>
      </c>
      <c r="AL19" s="23">
        <v>120.76</v>
      </c>
      <c r="AM19" s="26">
        <v>1.67</v>
      </c>
      <c r="AN19" s="26">
        <v>8</v>
      </c>
      <c r="AO19" s="32">
        <f t="shared" si="1"/>
        <v>0.0132919452403693</v>
      </c>
      <c r="AP19" s="32">
        <f t="shared" si="2"/>
        <v>0.0662471016893011</v>
      </c>
      <c r="AQ19" s="37">
        <f t="shared" si="3"/>
        <v>13</v>
      </c>
      <c r="AR19" s="38">
        <v>3</v>
      </c>
      <c r="AS19" s="38">
        <v>4</v>
      </c>
      <c r="AT19" s="38">
        <v>6</v>
      </c>
      <c r="AU19" s="38">
        <v>8</v>
      </c>
      <c r="AV19" s="38">
        <v>11</v>
      </c>
      <c r="AW19" s="38">
        <v>13</v>
      </c>
      <c r="AX19" s="23" t="s">
        <v>786</v>
      </c>
      <c r="AY19" s="23" t="s">
        <v>745</v>
      </c>
      <c r="AZ19" s="23">
        <f>VLOOKUP(B:B,链接质量检测!A:V,22,0)</f>
        <v>97</v>
      </c>
      <c r="BC19" s="13"/>
      <c r="BD19" s="13"/>
      <c r="BE19" s="13"/>
      <c r="BF19" s="13"/>
      <c r="BG19" s="13"/>
    </row>
    <row r="20" s="8" customFormat="1" customHeight="1" spans="1:59">
      <c r="A20" s="13" t="s">
        <v>249</v>
      </c>
      <c r="B20" s="13" t="s">
        <v>250</v>
      </c>
      <c r="C20" s="13" t="s">
        <v>251</v>
      </c>
      <c r="D20" s="23" t="s">
        <v>43</v>
      </c>
      <c r="E20" s="23" t="s">
        <v>55</v>
      </c>
      <c r="F20" s="23" t="s">
        <v>45</v>
      </c>
      <c r="G20" s="23" t="s">
        <v>48</v>
      </c>
      <c r="H20" s="23" t="s">
        <v>47</v>
      </c>
      <c r="I20" s="23" t="s">
        <v>56</v>
      </c>
      <c r="J20" s="26">
        <v>46.99</v>
      </c>
      <c r="K20" s="23">
        <v>35.67</v>
      </c>
      <c r="L20" s="23">
        <v>45.28</v>
      </c>
      <c r="M20" s="23">
        <v>40.76</v>
      </c>
      <c r="N20" s="23">
        <v>49.81</v>
      </c>
      <c r="O20" s="23">
        <v>0</v>
      </c>
      <c r="P20" s="23">
        <v>1</v>
      </c>
      <c r="Q20" s="23">
        <v>2</v>
      </c>
      <c r="R20" s="23">
        <v>9</v>
      </c>
      <c r="S20" s="23">
        <v>1</v>
      </c>
      <c r="T20" s="23">
        <v>7</v>
      </c>
      <c r="U20" s="23">
        <v>1</v>
      </c>
      <c r="V20" s="30" t="e">
        <v>#N/A</v>
      </c>
      <c r="W20" s="23" t="e">
        <f>IF(T20&gt;V20,"YES","NO")</f>
        <v>#N/A</v>
      </c>
      <c r="X20" s="32">
        <v>0.332</v>
      </c>
      <c r="Y20" s="32">
        <v>0.234845543</v>
      </c>
      <c r="Z20" s="32">
        <v>0.176404625</v>
      </c>
      <c r="AA20" s="32">
        <v>0.139561879</v>
      </c>
      <c r="AB20" s="32">
        <v>0.013482945</v>
      </c>
      <c r="AC20" s="32">
        <v>0.059747497</v>
      </c>
      <c r="AD20" s="31">
        <v>0.08974359</v>
      </c>
      <c r="AE20" s="31">
        <v>0.076789009</v>
      </c>
      <c r="AF20" s="34" t="e">
        <f>_xlfn.XLOOKUP(B20,库存明细报表10.16!L:L,库存明细报表10.16!P:P)</f>
        <v>#N/A</v>
      </c>
      <c r="AG20" s="34" t="e">
        <f>_xlfn.XLOOKUP(B20,库存明细报表10.16!L:L,库存明细报表10.16!Q:Q)</f>
        <v>#N/A</v>
      </c>
      <c r="AH20" s="34" t="e">
        <f>_xlfn.XLOOKUP(B20,库存明细报表10.16!L:L,库存明细报表10.16!T:T)</f>
        <v>#N/A</v>
      </c>
      <c r="AI20" s="34">
        <f>VLOOKUP(A:A,进销存报表10.16!A:J,10,0)</f>
        <v>5</v>
      </c>
      <c r="AJ20" s="34">
        <f>VLOOKUP(A:A,进销存报表10.16!A:K,11,0)</f>
        <v>24</v>
      </c>
      <c r="AK20" s="23">
        <v>30.74</v>
      </c>
      <c r="AL20" s="23">
        <v>33.76</v>
      </c>
      <c r="AM20" s="26">
        <v>1</v>
      </c>
      <c r="AN20" s="26">
        <v>7</v>
      </c>
      <c r="AO20" s="32">
        <f t="shared" si="1"/>
        <v>0.0325309043591412</v>
      </c>
      <c r="AP20" s="32">
        <f t="shared" si="2"/>
        <v>0.207345971563981</v>
      </c>
      <c r="AQ20" s="37">
        <f t="shared" si="3"/>
        <v>4</v>
      </c>
      <c r="AR20" s="38">
        <v>2</v>
      </c>
      <c r="AS20" s="38">
        <v>2</v>
      </c>
      <c r="AT20" s="38">
        <v>2</v>
      </c>
      <c r="AU20" s="38">
        <v>3</v>
      </c>
      <c r="AV20" s="38">
        <v>4</v>
      </c>
      <c r="AW20" s="38">
        <v>4</v>
      </c>
      <c r="AX20" s="23" t="s">
        <v>786</v>
      </c>
      <c r="AY20" s="23" t="s">
        <v>745</v>
      </c>
      <c r="AZ20" s="23">
        <f>VLOOKUP(B:B,链接质量检测!A:V,22,0)</f>
        <v>97</v>
      </c>
      <c r="BC20" s="13"/>
      <c r="BD20" s="13"/>
      <c r="BE20" s="13"/>
      <c r="BF20" s="13"/>
      <c r="BG20" s="13"/>
    </row>
    <row r="21" s="8" customFormat="1" customHeight="1" spans="1:59">
      <c r="A21" s="13" t="s">
        <v>205</v>
      </c>
      <c r="B21" s="13" t="s">
        <v>206</v>
      </c>
      <c r="C21" s="13" t="s">
        <v>207</v>
      </c>
      <c r="D21" s="23" t="s">
        <v>43</v>
      </c>
      <c r="E21" s="23" t="s">
        <v>55</v>
      </c>
      <c r="F21" s="23" t="s">
        <v>45</v>
      </c>
      <c r="G21" s="23" t="s">
        <v>48</v>
      </c>
      <c r="H21" s="23" t="s">
        <v>56</v>
      </c>
      <c r="I21" s="23" t="s">
        <v>47</v>
      </c>
      <c r="J21" s="27">
        <f>25.99*0.92</f>
        <v>23.9108</v>
      </c>
      <c r="K21" s="23">
        <v>20.13</v>
      </c>
      <c r="L21" s="23">
        <v>25.8</v>
      </c>
      <c r="M21" s="23">
        <v>23.22</v>
      </c>
      <c r="N21" s="23">
        <v>28.38</v>
      </c>
      <c r="O21" s="23">
        <v>0</v>
      </c>
      <c r="P21" s="23">
        <v>0</v>
      </c>
      <c r="Q21" s="23">
        <v>1</v>
      </c>
      <c r="R21" s="23">
        <v>0</v>
      </c>
      <c r="S21" s="23">
        <v>4</v>
      </c>
      <c r="T21" s="23">
        <v>5</v>
      </c>
      <c r="U21" s="23">
        <v>1</v>
      </c>
      <c r="V21" s="30" t="e">
        <v>#N/A</v>
      </c>
      <c r="W21" s="23" t="e">
        <f>IF(T21&gt;V21,"YES","NO")</f>
        <v>#N/A</v>
      </c>
      <c r="X21" s="32">
        <v>0.345</v>
      </c>
      <c r="Y21" s="32">
        <v>0.125262489</v>
      </c>
      <c r="Z21" s="32">
        <v>0.080482841</v>
      </c>
      <c r="AA21" s="32">
        <v>0.187495115</v>
      </c>
      <c r="AB21" s="32">
        <v>0.031731145</v>
      </c>
      <c r="AC21" s="32">
        <v>0.068846975</v>
      </c>
      <c r="AD21" s="31">
        <v>0.227272727</v>
      </c>
      <c r="AE21" s="31">
        <v>0.221675853</v>
      </c>
      <c r="AF21" s="34">
        <f>_xlfn.XLOOKUP(B21,库存明细报表10.16!L:L,库存明细报表10.16!P:P)</f>
        <v>10</v>
      </c>
      <c r="AG21" s="34">
        <f>_xlfn.XLOOKUP(B21,库存明细报表10.16!L:L,库存明细报表10.16!Q:Q)</f>
        <v>9</v>
      </c>
      <c r="AH21" s="34">
        <f>_xlfn.XLOOKUP(B21,库存明细报表10.16!L:L,库存明细报表10.16!T:T)</f>
        <v>0</v>
      </c>
      <c r="AI21" s="34">
        <f>VLOOKUP(A:A,进销存报表10.16!A:J,10,0)</f>
        <v>4</v>
      </c>
      <c r="AJ21" s="34">
        <f>VLOOKUP(A:A,进销存报表10.16!A:K,11,0)</f>
        <v>2</v>
      </c>
      <c r="AK21" s="23">
        <v>23.45</v>
      </c>
      <c r="AL21" s="23">
        <v>14.07</v>
      </c>
      <c r="AM21" s="26">
        <v>0.33</v>
      </c>
      <c r="AN21" s="26">
        <v>3</v>
      </c>
      <c r="AO21" s="32">
        <f t="shared" si="1"/>
        <v>0.0140724946695096</v>
      </c>
      <c r="AP21" s="32">
        <f t="shared" si="2"/>
        <v>0.213219616204691</v>
      </c>
      <c r="AQ21" s="37">
        <f t="shared" si="3"/>
        <v>3</v>
      </c>
      <c r="AR21" s="38">
        <v>3</v>
      </c>
      <c r="AS21" s="38">
        <v>3</v>
      </c>
      <c r="AT21" s="38">
        <v>3</v>
      </c>
      <c r="AU21" s="38">
        <v>4</v>
      </c>
      <c r="AV21" s="38">
        <v>4</v>
      </c>
      <c r="AW21" s="38">
        <v>4</v>
      </c>
      <c r="AX21" s="23" t="s">
        <v>786</v>
      </c>
      <c r="AY21" s="23" t="s">
        <v>745</v>
      </c>
      <c r="AZ21" s="23">
        <f>VLOOKUP(B:B,链接质量检测!A:V,22,0)</f>
        <v>97</v>
      </c>
      <c r="BC21" s="13"/>
      <c r="BD21" s="13"/>
      <c r="BE21" s="13"/>
      <c r="BF21" s="13"/>
      <c r="BG21" s="13"/>
    </row>
    <row r="22" s="8" customFormat="1" customHeight="1" spans="1:59">
      <c r="A22" s="13" t="s">
        <v>118</v>
      </c>
      <c r="B22" s="13" t="s">
        <v>119</v>
      </c>
      <c r="C22" s="13" t="s">
        <v>120</v>
      </c>
      <c r="D22" s="23" t="s">
        <v>43</v>
      </c>
      <c r="E22" s="23" t="s">
        <v>44</v>
      </c>
      <c r="F22" s="23" t="s">
        <v>45</v>
      </c>
      <c r="G22" s="23" t="s">
        <v>48</v>
      </c>
      <c r="H22" s="23" t="s">
        <v>46</v>
      </c>
      <c r="I22" s="23" t="s">
        <v>48</v>
      </c>
      <c r="J22" s="26">
        <f>24.99*0.92</f>
        <v>22.9908</v>
      </c>
      <c r="K22" s="23">
        <v>19.05</v>
      </c>
      <c r="L22" s="23">
        <v>23.99</v>
      </c>
      <c r="M22" s="23">
        <v>21.59</v>
      </c>
      <c r="N22" s="23">
        <v>26.39</v>
      </c>
      <c r="O22" s="23">
        <v>0</v>
      </c>
      <c r="P22" s="23">
        <v>0</v>
      </c>
      <c r="Q22" s="23">
        <v>1</v>
      </c>
      <c r="R22" s="23">
        <v>1</v>
      </c>
      <c r="S22" s="23">
        <v>1</v>
      </c>
      <c r="T22" s="23">
        <v>2</v>
      </c>
      <c r="U22" s="23">
        <v>1</v>
      </c>
      <c r="V22" s="30">
        <v>10</v>
      </c>
      <c r="W22" s="31">
        <f>T22/V22</f>
        <v>0.2</v>
      </c>
      <c r="X22" s="32">
        <v>0.31</v>
      </c>
      <c r="Y22" s="32">
        <v>0.088390617</v>
      </c>
      <c r="Z22" s="32">
        <v>0.062125706</v>
      </c>
      <c r="AA22" s="32">
        <v>0</v>
      </c>
      <c r="AB22" s="32">
        <v>0.084433774</v>
      </c>
      <c r="AC22" s="32">
        <v>0.083853506</v>
      </c>
      <c r="AD22" s="31">
        <v>0.095238095</v>
      </c>
      <c r="AE22" s="31">
        <v>0.036980607</v>
      </c>
      <c r="AF22" s="34">
        <f>_xlfn.XLOOKUP(B22,库存明细报表10.16!L:L,库存明细报表10.16!P:P)</f>
        <v>11</v>
      </c>
      <c r="AG22" s="34">
        <f>_xlfn.XLOOKUP(B22,库存明细报表10.16!L:L,库存明细报表10.16!Q:Q)</f>
        <v>10</v>
      </c>
      <c r="AH22" s="34">
        <f>_xlfn.XLOOKUP(B22,库存明细报表10.16!L:L,库存明细报表10.16!T:T)</f>
        <v>2</v>
      </c>
      <c r="AI22" s="34">
        <f>VLOOKUP(A:A,进销存报表10.16!A:J,10,0)</f>
        <v>21</v>
      </c>
      <c r="AJ22" s="34">
        <f>VLOOKUP(A:A,进销存报表10.16!A:K,11,0)</f>
        <v>1</v>
      </c>
      <c r="AK22" s="23">
        <v>153.58</v>
      </c>
      <c r="AL22" s="23">
        <v>115.22</v>
      </c>
      <c r="AM22" s="26">
        <v>0.33</v>
      </c>
      <c r="AN22" s="26">
        <v>1.333333333</v>
      </c>
      <c r="AO22" s="32">
        <f t="shared" si="1"/>
        <v>0.00214871728089595</v>
      </c>
      <c r="AP22" s="32">
        <f t="shared" si="2"/>
        <v>0.0115720650321125</v>
      </c>
      <c r="AQ22" s="37">
        <f t="shared" si="3"/>
        <v>16</v>
      </c>
      <c r="AR22" s="38">
        <v>3</v>
      </c>
      <c r="AS22" s="38">
        <v>5</v>
      </c>
      <c r="AT22" s="38">
        <v>8</v>
      </c>
      <c r="AU22" s="38">
        <v>10</v>
      </c>
      <c r="AV22" s="38">
        <v>13</v>
      </c>
      <c r="AW22" s="38">
        <v>16</v>
      </c>
      <c r="AX22" s="23" t="s">
        <v>786</v>
      </c>
      <c r="AY22" s="23" t="s">
        <v>745</v>
      </c>
      <c r="AZ22" s="23">
        <f>VLOOKUP(B:B,链接质量检测!A:V,22,0)</f>
        <v>97</v>
      </c>
      <c r="BA22" s="8" t="s">
        <v>1403</v>
      </c>
      <c r="BB22" s="8"/>
      <c r="BC22" s="13"/>
      <c r="BD22" s="13"/>
      <c r="BE22" s="13"/>
      <c r="BF22" s="13"/>
      <c r="BG22" s="13"/>
    </row>
    <row r="23" s="8" customFormat="1" customHeight="1" spans="1:59">
      <c r="A23" s="13" t="s">
        <v>133</v>
      </c>
      <c r="B23" s="13" t="s">
        <v>134</v>
      </c>
      <c r="C23" s="13" t="s">
        <v>135</v>
      </c>
      <c r="D23" s="23" t="s">
        <v>43</v>
      </c>
      <c r="E23" s="23" t="s">
        <v>55</v>
      </c>
      <c r="F23" s="23" t="s">
        <v>45</v>
      </c>
      <c r="G23" s="23" t="s">
        <v>48</v>
      </c>
      <c r="H23" s="23" t="s">
        <v>46</v>
      </c>
      <c r="I23" s="23" t="s">
        <v>48</v>
      </c>
      <c r="J23" s="28">
        <f>25.99*0.94</f>
        <v>24.4306</v>
      </c>
      <c r="K23" s="23">
        <v>22.59</v>
      </c>
      <c r="L23" s="23">
        <v>18.58</v>
      </c>
      <c r="M23" s="23">
        <v>16.72</v>
      </c>
      <c r="N23" s="23">
        <v>20.44</v>
      </c>
      <c r="O23" s="23">
        <v>0</v>
      </c>
      <c r="P23" s="23">
        <v>0</v>
      </c>
      <c r="Q23" s="23">
        <v>2</v>
      </c>
      <c r="R23" s="23">
        <v>1</v>
      </c>
      <c r="S23" s="23">
        <v>7</v>
      </c>
      <c r="T23" s="23">
        <v>2</v>
      </c>
      <c r="U23" s="23">
        <v>0</v>
      </c>
      <c r="V23" s="30">
        <v>12</v>
      </c>
      <c r="W23" s="31">
        <f>T23/V23</f>
        <v>0.166666666666667</v>
      </c>
      <c r="X23" s="32">
        <v>0.284</v>
      </c>
      <c r="Y23" s="32">
        <v>0.049795808</v>
      </c>
      <c r="Z23" s="32">
        <v>0.247541041</v>
      </c>
      <c r="AA23" s="32">
        <v>0</v>
      </c>
      <c r="AB23" s="32">
        <v>0.04546355</v>
      </c>
      <c r="AC23" s="32">
        <v>0.024383773</v>
      </c>
      <c r="AD23" s="31">
        <v>0.05</v>
      </c>
      <c r="AE23" s="31">
        <v>0.124641096</v>
      </c>
      <c r="AF23" s="34">
        <f>_xlfn.XLOOKUP(B23,库存明细报表10.16!L:L,库存明细报表10.16!P:P)</f>
        <v>5</v>
      </c>
      <c r="AG23" s="34">
        <f>_xlfn.XLOOKUP(B23,库存明细报表10.16!L:L,库存明细报表10.16!Q:Q)</f>
        <v>1</v>
      </c>
      <c r="AH23" s="34">
        <f>_xlfn.XLOOKUP(B23,库存明细报表10.16!L:L,库存明细报表10.16!T:T)</f>
        <v>0</v>
      </c>
      <c r="AI23" s="34">
        <f>VLOOKUP(A:A,进销存报表10.16!A:J,10,0)</f>
        <v>18</v>
      </c>
      <c r="AJ23" s="34">
        <f>VLOOKUP(A:A,进销存报表10.16!A:K,11,0)</f>
        <v>8</v>
      </c>
      <c r="AK23" s="23">
        <v>189.31</v>
      </c>
      <c r="AL23" s="23">
        <v>164.27</v>
      </c>
      <c r="AM23" s="26">
        <v>0.67</v>
      </c>
      <c r="AN23" s="26">
        <v>4.666666667</v>
      </c>
      <c r="AO23" s="32">
        <f t="shared" si="1"/>
        <v>0.00353916855950557</v>
      </c>
      <c r="AP23" s="32">
        <f t="shared" si="2"/>
        <v>0.0284085144396421</v>
      </c>
      <c r="AQ23" s="37">
        <f t="shared" si="3"/>
        <v>19</v>
      </c>
      <c r="AR23" s="38">
        <v>3</v>
      </c>
      <c r="AS23" s="38">
        <v>7</v>
      </c>
      <c r="AT23" s="38">
        <v>9</v>
      </c>
      <c r="AU23" s="38">
        <v>12</v>
      </c>
      <c r="AV23" s="38">
        <v>16</v>
      </c>
      <c r="AW23" s="38">
        <v>19</v>
      </c>
      <c r="AX23" s="23" t="s">
        <v>786</v>
      </c>
      <c r="AY23" s="23"/>
      <c r="AZ23" s="23">
        <f>VLOOKUP(B:B,链接质量检测!A:V,22,0)</f>
        <v>89</v>
      </c>
      <c r="BA23" s="8" t="s">
        <v>1404</v>
      </c>
      <c r="BB23" s="8"/>
      <c r="BC23" s="13"/>
      <c r="BD23" s="13"/>
      <c r="BE23" s="13"/>
      <c r="BF23" s="13"/>
      <c r="BG23" s="13"/>
    </row>
    <row r="24" s="8" customFormat="1" customHeight="1" spans="1:59">
      <c r="A24" s="13" t="s">
        <v>215</v>
      </c>
      <c r="B24" s="13" t="s">
        <v>216</v>
      </c>
      <c r="C24" s="13" t="s">
        <v>217</v>
      </c>
      <c r="D24" s="23" t="s">
        <v>43</v>
      </c>
      <c r="E24" s="23" t="s">
        <v>44</v>
      </c>
      <c r="F24" s="23" t="s">
        <v>45</v>
      </c>
      <c r="G24" s="23" t="s">
        <v>48</v>
      </c>
      <c r="H24" s="23" t="s">
        <v>56</v>
      </c>
      <c r="I24" s="23" t="s">
        <v>48</v>
      </c>
      <c r="J24" s="28">
        <f>47.99*0.92</f>
        <v>44.1508</v>
      </c>
      <c r="K24" s="23">
        <v>36.03</v>
      </c>
      <c r="L24" s="23">
        <v>36.89</v>
      </c>
      <c r="M24" s="23">
        <v>33.2</v>
      </c>
      <c r="N24" s="23">
        <v>40.58</v>
      </c>
      <c r="O24" s="23">
        <v>0</v>
      </c>
      <c r="P24" s="23">
        <v>2</v>
      </c>
      <c r="Q24" s="23">
        <v>5</v>
      </c>
      <c r="R24" s="23">
        <v>4</v>
      </c>
      <c r="S24" s="23">
        <v>9</v>
      </c>
      <c r="T24" s="23">
        <v>12</v>
      </c>
      <c r="U24" s="23">
        <v>0</v>
      </c>
      <c r="V24" s="30">
        <v>11</v>
      </c>
      <c r="W24" s="31">
        <f>T24/V24</f>
        <v>1.09090909090909</v>
      </c>
      <c r="X24" s="32">
        <v>0.317</v>
      </c>
      <c r="Y24" s="32">
        <v>0.147742417</v>
      </c>
      <c r="Z24" s="32">
        <v>0.122569678</v>
      </c>
      <c r="AA24" s="32">
        <v>0.245892769</v>
      </c>
      <c r="AB24" s="32">
        <v>0.00703394</v>
      </c>
      <c r="AC24" s="32">
        <v>0.056272771</v>
      </c>
      <c r="AD24" s="31">
        <v>0.087591241</v>
      </c>
      <c r="AE24" s="31">
        <v>0.399142323</v>
      </c>
      <c r="AF24" s="34">
        <f>_xlfn.XLOOKUP(B24,库存明细报表10.16!L:L,库存明细报表10.16!P:P)</f>
        <v>22</v>
      </c>
      <c r="AG24" s="34">
        <f>_xlfn.XLOOKUP(B24,库存明细报表10.16!L:L,库存明细报表10.16!Q:Q)</f>
        <v>22</v>
      </c>
      <c r="AH24" s="34">
        <f>_xlfn.XLOOKUP(B24,库存明细报表10.16!L:L,库存明细报表10.16!T:T)</f>
        <v>18</v>
      </c>
      <c r="AI24" s="34">
        <f>VLOOKUP(A:A,进销存报表10.16!A:J,10,0)</f>
        <v>36</v>
      </c>
      <c r="AJ24" s="34">
        <f>VLOOKUP(A:A,进销存报表10.16!A:K,11,0)</f>
        <v>7</v>
      </c>
      <c r="AK24" s="23">
        <v>129.61</v>
      </c>
      <c r="AL24" s="23">
        <v>88.24</v>
      </c>
      <c r="AM24" s="26">
        <v>2</v>
      </c>
      <c r="AN24" s="26">
        <v>9.333333333</v>
      </c>
      <c r="AO24" s="32">
        <f t="shared" si="1"/>
        <v>0.0154309081089422</v>
      </c>
      <c r="AP24" s="32">
        <f t="shared" si="2"/>
        <v>0.105772136593382</v>
      </c>
      <c r="AQ24" s="37">
        <f t="shared" si="3"/>
        <v>13</v>
      </c>
      <c r="AR24" s="38">
        <v>10</v>
      </c>
      <c r="AS24" s="38">
        <v>10</v>
      </c>
      <c r="AT24" s="38">
        <v>10</v>
      </c>
      <c r="AU24" s="38">
        <v>11</v>
      </c>
      <c r="AV24" s="38">
        <v>13</v>
      </c>
      <c r="AW24" s="38">
        <v>13</v>
      </c>
      <c r="AX24" s="23" t="s">
        <v>786</v>
      </c>
      <c r="AY24" s="23"/>
      <c r="AZ24" s="23">
        <f>VLOOKUP(B:B,链接质量检测!A:V,22,0)</f>
        <v>89</v>
      </c>
      <c r="BC24" s="13"/>
      <c r="BD24" s="13"/>
      <c r="BE24" s="13"/>
      <c r="BF24" s="13"/>
      <c r="BG24" s="13"/>
    </row>
    <row r="25" s="8" customFormat="1" customHeight="1" spans="1:59">
      <c r="A25" s="13" t="s">
        <v>193</v>
      </c>
      <c r="B25" s="13" t="s">
        <v>194</v>
      </c>
      <c r="C25" s="13" t="s">
        <v>195</v>
      </c>
      <c r="D25" s="23" t="s">
        <v>43</v>
      </c>
      <c r="E25" s="23" t="s">
        <v>44</v>
      </c>
      <c r="F25" s="23" t="s">
        <v>45</v>
      </c>
      <c r="G25" s="23" t="s">
        <v>48</v>
      </c>
      <c r="H25" s="23" t="s">
        <v>48</v>
      </c>
      <c r="I25" s="23" t="s">
        <v>47</v>
      </c>
      <c r="J25" s="26">
        <f>32.16</f>
        <v>32.16</v>
      </c>
      <c r="K25" s="23">
        <v>20.32</v>
      </c>
      <c r="L25" s="23">
        <v>33.24</v>
      </c>
      <c r="M25" s="23">
        <v>29.91</v>
      </c>
      <c r="N25" s="23">
        <v>36.56</v>
      </c>
      <c r="O25" s="23">
        <v>0</v>
      </c>
      <c r="P25" s="23">
        <v>1</v>
      </c>
      <c r="Q25" s="23">
        <v>2</v>
      </c>
      <c r="R25" s="23">
        <v>5</v>
      </c>
      <c r="S25" s="23">
        <v>5</v>
      </c>
      <c r="T25" s="23">
        <v>2</v>
      </c>
      <c r="U25" s="23">
        <v>2</v>
      </c>
      <c r="V25" s="30">
        <v>6</v>
      </c>
      <c r="W25" s="31">
        <f>T25/V25</f>
        <v>0.333333333333333</v>
      </c>
      <c r="X25" s="32">
        <v>0.204</v>
      </c>
      <c r="Y25" s="32">
        <v>0.315086656</v>
      </c>
      <c r="Z25" s="32">
        <v>0.345154888</v>
      </c>
      <c r="AA25" s="32">
        <v>0</v>
      </c>
      <c r="AB25" s="32">
        <v>0</v>
      </c>
      <c r="AC25" s="32">
        <v>0</v>
      </c>
      <c r="AD25" s="31">
        <v>0.111111111</v>
      </c>
      <c r="AE25" s="31" t="s">
        <v>69</v>
      </c>
      <c r="AF25" s="34">
        <f>_xlfn.XLOOKUP(B25,库存明细报表10.16!L:L,库存明细报表10.16!P:P)</f>
        <v>0</v>
      </c>
      <c r="AG25" s="34">
        <f>_xlfn.XLOOKUP(B25,库存明细报表10.16!L:L,库存明细报表10.16!Q:Q)</f>
        <v>0</v>
      </c>
      <c r="AH25" s="34">
        <f>_xlfn.XLOOKUP(B25,库存明细报表10.16!L:L,库存明细报表10.16!T:T)</f>
        <v>20</v>
      </c>
      <c r="AI25" s="34">
        <f>VLOOKUP(A:A,进销存报表10.16!A:J,10,0)</f>
        <v>14</v>
      </c>
      <c r="AJ25" s="34">
        <f>VLOOKUP(A:A,进销存报表10.16!A:K,11,0)</f>
        <v>83</v>
      </c>
      <c r="AK25" s="23">
        <v>78.55</v>
      </c>
      <c r="AL25" s="23">
        <v>51.24</v>
      </c>
      <c r="AM25" s="26">
        <v>1</v>
      </c>
      <c r="AN25" s="26">
        <v>3.333333333</v>
      </c>
      <c r="AO25" s="32">
        <f t="shared" si="1"/>
        <v>0.0127307447485678</v>
      </c>
      <c r="AP25" s="32">
        <f t="shared" si="2"/>
        <v>0.065053343735363</v>
      </c>
      <c r="AQ25" s="37">
        <f t="shared" si="3"/>
        <v>8</v>
      </c>
      <c r="AR25" s="38">
        <v>5</v>
      </c>
      <c r="AS25" s="38">
        <v>5</v>
      </c>
      <c r="AT25" s="38">
        <v>6</v>
      </c>
      <c r="AU25" s="38">
        <v>6</v>
      </c>
      <c r="AV25" s="38">
        <v>7</v>
      </c>
      <c r="AW25" s="38">
        <v>8</v>
      </c>
      <c r="AX25" s="23" t="s">
        <v>786</v>
      </c>
      <c r="AY25" s="23"/>
      <c r="AZ25" s="23">
        <f>VLOOKUP(B:B,链接质量检测!A:V,22,0)</f>
        <v>97</v>
      </c>
      <c r="BC25" s="13"/>
      <c r="BD25" s="13"/>
      <c r="BE25" s="13"/>
      <c r="BF25" s="13"/>
      <c r="BG25" s="13"/>
    </row>
    <row r="26" s="8" customFormat="1" customHeight="1" spans="1:59">
      <c r="A26" s="13" t="s">
        <v>163</v>
      </c>
      <c r="B26" s="13" t="s">
        <v>164</v>
      </c>
      <c r="C26" s="13" t="s">
        <v>165</v>
      </c>
      <c r="D26" s="23" t="s">
        <v>43</v>
      </c>
      <c r="E26" s="23" t="s">
        <v>44</v>
      </c>
      <c r="F26" s="23" t="s">
        <v>45</v>
      </c>
      <c r="G26" s="23" t="s">
        <v>48</v>
      </c>
      <c r="H26" s="23" t="s">
        <v>46</v>
      </c>
      <c r="I26" s="23" t="s">
        <v>47</v>
      </c>
      <c r="J26" s="26">
        <f>28.99*0.92</f>
        <v>26.6708</v>
      </c>
      <c r="K26" s="23">
        <v>22.42</v>
      </c>
      <c r="L26" s="23">
        <v>28.36</v>
      </c>
      <c r="M26" s="23">
        <v>25.52</v>
      </c>
      <c r="N26" s="23">
        <v>31.19</v>
      </c>
      <c r="O26" s="23">
        <v>0</v>
      </c>
      <c r="P26" s="23">
        <v>1</v>
      </c>
      <c r="Q26" s="23">
        <v>0</v>
      </c>
      <c r="R26" s="23">
        <v>3</v>
      </c>
      <c r="S26" s="23">
        <v>2</v>
      </c>
      <c r="T26" s="23">
        <v>1</v>
      </c>
      <c r="U26" s="23">
        <v>1</v>
      </c>
      <c r="V26" s="30" t="e">
        <v>#N/A</v>
      </c>
      <c r="W26" s="23" t="e">
        <f>IF(T26&gt;V26,"YES","NO")</f>
        <v>#N/A</v>
      </c>
      <c r="X26" s="32">
        <v>0.255</v>
      </c>
      <c r="Y26" s="32">
        <v>0.121042691</v>
      </c>
      <c r="Z26" s="32">
        <v>-0.059893165</v>
      </c>
      <c r="AA26" s="32">
        <v>0</v>
      </c>
      <c r="AB26" s="32">
        <v>0.235411804</v>
      </c>
      <c r="AC26" s="32">
        <v>0.083848185</v>
      </c>
      <c r="AD26" s="31">
        <v>0.034482759</v>
      </c>
      <c r="AE26" s="31">
        <v>0</v>
      </c>
      <c r="AF26" s="34">
        <f>_xlfn.XLOOKUP(B26,库存明细报表10.16!L:L,库存明细报表10.16!P:P)</f>
        <v>21</v>
      </c>
      <c r="AG26" s="34">
        <f>_xlfn.XLOOKUP(B26,库存明细报表10.16!L:L,库存明细报表10.16!Q:Q)</f>
        <v>14</v>
      </c>
      <c r="AH26" s="34">
        <f>_xlfn.XLOOKUP(B26,库存明细报表10.16!L:L,库存明细报表10.16!T:T)</f>
        <v>17</v>
      </c>
      <c r="AI26" s="34">
        <f>VLOOKUP(A:A,进销存报表10.16!A:J,10,0)</f>
        <v>15</v>
      </c>
      <c r="AJ26" s="34">
        <f>VLOOKUP(A:A,进销存报表10.16!A:K,11,0)</f>
        <v>13</v>
      </c>
      <c r="AK26" s="23">
        <v>42.26</v>
      </c>
      <c r="AL26" s="23">
        <v>27.83</v>
      </c>
      <c r="AM26" s="26">
        <v>0.33</v>
      </c>
      <c r="AN26" s="26">
        <v>2</v>
      </c>
      <c r="AO26" s="32">
        <f t="shared" si="1"/>
        <v>0.00780880265026029</v>
      </c>
      <c r="AP26" s="32">
        <f t="shared" si="2"/>
        <v>0.0718648939992814</v>
      </c>
      <c r="AQ26" s="37">
        <f t="shared" si="3"/>
        <v>5</v>
      </c>
      <c r="AR26" s="38">
        <v>2</v>
      </c>
      <c r="AS26" s="38">
        <v>2</v>
      </c>
      <c r="AT26" s="38">
        <v>3</v>
      </c>
      <c r="AU26" s="38">
        <v>3</v>
      </c>
      <c r="AV26" s="38">
        <v>4</v>
      </c>
      <c r="AW26" s="38">
        <v>5</v>
      </c>
      <c r="AX26" s="23" t="s">
        <v>786</v>
      </c>
      <c r="AY26" s="23" t="s">
        <v>745</v>
      </c>
      <c r="AZ26" s="23">
        <f>VLOOKUP(B:B,链接质量检测!A:V,22,0)</f>
        <v>97</v>
      </c>
      <c r="BC26" s="13"/>
      <c r="BD26" s="13"/>
      <c r="BE26" s="13"/>
      <c r="BF26" s="13"/>
      <c r="BG26" s="13"/>
    </row>
    <row r="27" s="8" customFormat="1" customHeight="1" spans="1:59">
      <c r="A27" s="13" t="s">
        <v>187</v>
      </c>
      <c r="B27" s="13" t="s">
        <v>188</v>
      </c>
      <c r="C27" s="13" t="s">
        <v>189</v>
      </c>
      <c r="D27" s="23" t="s">
        <v>43</v>
      </c>
      <c r="E27" s="23" t="s">
        <v>44</v>
      </c>
      <c r="F27" s="23" t="s">
        <v>45</v>
      </c>
      <c r="G27" s="23" t="s">
        <v>48</v>
      </c>
      <c r="H27" s="23" t="s">
        <v>47</v>
      </c>
      <c r="I27" s="23" t="s">
        <v>48</v>
      </c>
      <c r="J27" s="26">
        <f>26.99*0.94</f>
        <v>25.3706</v>
      </c>
      <c r="K27" s="23">
        <v>20.24</v>
      </c>
      <c r="L27" s="23">
        <v>24.61</v>
      </c>
      <c r="M27" s="23">
        <v>22.15</v>
      </c>
      <c r="N27" s="23">
        <v>27.07</v>
      </c>
      <c r="O27" s="23">
        <v>0</v>
      </c>
      <c r="P27" s="23">
        <v>1</v>
      </c>
      <c r="Q27" s="23">
        <v>3</v>
      </c>
      <c r="R27" s="23">
        <v>14</v>
      </c>
      <c r="S27" s="23">
        <v>13</v>
      </c>
      <c r="T27" s="23">
        <v>11</v>
      </c>
      <c r="U27" s="23">
        <v>2</v>
      </c>
      <c r="V27" s="30">
        <v>16</v>
      </c>
      <c r="W27" s="31">
        <f>T27/V27</f>
        <v>0.6875</v>
      </c>
      <c r="X27" s="32">
        <v>0.303</v>
      </c>
      <c r="Y27" s="32">
        <v>0.20537964</v>
      </c>
      <c r="Z27" s="32">
        <v>0.19110717</v>
      </c>
      <c r="AA27" s="32">
        <v>0.090909091</v>
      </c>
      <c r="AB27" s="32">
        <v>0.041799993</v>
      </c>
      <c r="AC27" s="32">
        <v>0.071119216</v>
      </c>
      <c r="AD27" s="31">
        <v>0.186440678</v>
      </c>
      <c r="AE27" s="31">
        <v>0.13008279</v>
      </c>
      <c r="AF27" s="34">
        <f>_xlfn.XLOOKUP(B27,库存明细报表10.16!L:L,库存明细报表10.16!P:P)</f>
        <v>5</v>
      </c>
      <c r="AG27" s="34">
        <f>_xlfn.XLOOKUP(B27,库存明细报表10.16!L:L,库存明细报表10.16!Q:Q)</f>
        <v>3</v>
      </c>
      <c r="AH27" s="34">
        <f>_xlfn.XLOOKUP(B27,库存明细报表10.16!L:L,库存明细报表10.16!T:T)</f>
        <v>23</v>
      </c>
      <c r="AI27" s="34">
        <f>VLOOKUP(A:A,进销存报表10.16!A:J,10,0)</f>
        <v>35</v>
      </c>
      <c r="AJ27" s="34">
        <f>VLOOKUP(A:A,进销存报表10.16!A:K,11,0)</f>
        <v>14</v>
      </c>
      <c r="AK27" s="23">
        <v>107.84</v>
      </c>
      <c r="AL27" s="23">
        <v>82.77</v>
      </c>
      <c r="AM27" s="26">
        <v>1.33</v>
      </c>
      <c r="AN27" s="26">
        <v>13</v>
      </c>
      <c r="AO27" s="32">
        <f t="shared" si="1"/>
        <v>0.0123330860534125</v>
      </c>
      <c r="AP27" s="32">
        <f t="shared" si="2"/>
        <v>0.157061737344448</v>
      </c>
      <c r="AQ27" s="37">
        <f t="shared" si="3"/>
        <v>11</v>
      </c>
      <c r="AR27" s="38">
        <v>15</v>
      </c>
      <c r="AS27" s="38">
        <v>15</v>
      </c>
      <c r="AT27" s="38">
        <v>15</v>
      </c>
      <c r="AU27" s="38">
        <v>16</v>
      </c>
      <c r="AV27" s="38">
        <v>16</v>
      </c>
      <c r="AW27" s="38">
        <v>16</v>
      </c>
      <c r="AX27" s="23" t="s">
        <v>786</v>
      </c>
      <c r="AY27" s="23"/>
      <c r="AZ27" s="23">
        <f>VLOOKUP(B:B,链接质量检测!A:V,22,0)</f>
        <v>97</v>
      </c>
      <c r="BC27" s="13"/>
      <c r="BD27" s="13"/>
      <c r="BE27" s="13"/>
      <c r="BF27" s="13"/>
      <c r="BG27" s="13"/>
    </row>
    <row r="28" s="8" customFormat="1" customHeight="1" spans="1:59">
      <c r="A28" s="13" t="s">
        <v>151</v>
      </c>
      <c r="B28" s="13" t="s">
        <v>152</v>
      </c>
      <c r="C28" s="13" t="s">
        <v>153</v>
      </c>
      <c r="D28" s="23" t="s">
        <v>43</v>
      </c>
      <c r="E28" s="23" t="s">
        <v>44</v>
      </c>
      <c r="F28" s="23" t="s">
        <v>45</v>
      </c>
      <c r="G28" s="23" t="s">
        <v>48</v>
      </c>
      <c r="H28" s="23" t="s">
        <v>56</v>
      </c>
      <c r="I28" s="23" t="s">
        <v>46</v>
      </c>
      <c r="J28" s="27">
        <f>64.99*0.92</f>
        <v>59.7908</v>
      </c>
      <c r="K28" s="23">
        <v>54.13</v>
      </c>
      <c r="L28" s="23">
        <v>54.78</v>
      </c>
      <c r="M28" s="23">
        <v>49.3</v>
      </c>
      <c r="N28" s="23">
        <v>60.25</v>
      </c>
      <c r="O28" s="23">
        <v>0</v>
      </c>
      <c r="P28" s="23">
        <v>0</v>
      </c>
      <c r="Q28" s="23">
        <v>1</v>
      </c>
      <c r="R28" s="23">
        <v>2</v>
      </c>
      <c r="S28" s="23">
        <v>4</v>
      </c>
      <c r="T28" s="23">
        <v>6</v>
      </c>
      <c r="U28" s="23">
        <v>1</v>
      </c>
      <c r="V28" s="30" t="e">
        <v>#N/A</v>
      </c>
      <c r="W28" s="23" t="e">
        <f>IF(T28&gt;V28,"YES","NO")</f>
        <v>#N/A</v>
      </c>
      <c r="X28" s="32">
        <v>0.235</v>
      </c>
      <c r="Y28" s="32">
        <v>0.172344216</v>
      </c>
      <c r="Z28" s="32">
        <v>0.092458435</v>
      </c>
      <c r="AA28" s="32">
        <v>0</v>
      </c>
      <c r="AB28" s="32">
        <v>0.007135393</v>
      </c>
      <c r="AC28" s="32">
        <v>0.093834993</v>
      </c>
      <c r="AD28" s="31">
        <v>0.24</v>
      </c>
      <c r="AE28" s="31">
        <v>0</v>
      </c>
      <c r="AF28" s="34">
        <f>_xlfn.XLOOKUP(B28,库存明细报表10.16!L:L,库存明细报表10.16!P:P)</f>
        <v>6</v>
      </c>
      <c r="AG28" s="34">
        <f>_xlfn.XLOOKUP(B28,库存明细报表10.16!L:L,库存明细报表10.16!Q:Q)</f>
        <v>5</v>
      </c>
      <c r="AH28" s="34">
        <f>_xlfn.XLOOKUP(B28,库存明细报表10.16!L:L,库存明细报表10.16!T:T)</f>
        <v>0</v>
      </c>
      <c r="AI28" s="34">
        <f>VLOOKUP(A:A,进销存报表10.16!A:J,10,0)</f>
        <v>1</v>
      </c>
      <c r="AJ28" s="34">
        <f>VLOOKUP(A:A,进销存报表10.16!A:K,11,0)</f>
        <v>23</v>
      </c>
      <c r="AK28" s="23">
        <v>55.14</v>
      </c>
      <c r="AL28" s="23">
        <v>39.25</v>
      </c>
      <c r="AM28" s="26">
        <v>0.33</v>
      </c>
      <c r="AN28" s="26">
        <v>4</v>
      </c>
      <c r="AO28" s="32">
        <f t="shared" si="1"/>
        <v>0.00598476605005441</v>
      </c>
      <c r="AP28" s="32">
        <f t="shared" si="2"/>
        <v>0.101910828025478</v>
      </c>
      <c r="AQ28" s="37">
        <f t="shared" si="3"/>
        <v>6</v>
      </c>
      <c r="AR28" s="38">
        <v>4</v>
      </c>
      <c r="AS28" s="38">
        <v>4</v>
      </c>
      <c r="AT28" s="38">
        <v>4</v>
      </c>
      <c r="AU28" s="38">
        <v>4</v>
      </c>
      <c r="AV28" s="38">
        <v>5</v>
      </c>
      <c r="AW28" s="38">
        <v>6</v>
      </c>
      <c r="AX28" s="23" t="s">
        <v>786</v>
      </c>
      <c r="AY28" s="23"/>
      <c r="AZ28" s="23">
        <f>VLOOKUP(B:B,链接质量检测!A:V,22,0)</f>
        <v>97</v>
      </c>
      <c r="BC28" s="13"/>
      <c r="BD28" s="13"/>
      <c r="BE28" s="13"/>
      <c r="BF28" s="13"/>
      <c r="BG28" s="13"/>
    </row>
    <row r="29" s="8" customFormat="1" customHeight="1" spans="1:59">
      <c r="A29" s="13" t="s">
        <v>212</v>
      </c>
      <c r="B29" s="13" t="s">
        <v>213</v>
      </c>
      <c r="C29" s="13" t="s">
        <v>214</v>
      </c>
      <c r="D29" s="23" t="s">
        <v>43</v>
      </c>
      <c r="E29" s="23" t="s">
        <v>44</v>
      </c>
      <c r="F29" s="23" t="s">
        <v>45</v>
      </c>
      <c r="G29" s="23" t="s">
        <v>48</v>
      </c>
      <c r="H29" s="23" t="s">
        <v>46</v>
      </c>
      <c r="I29" s="23" t="s">
        <v>48</v>
      </c>
      <c r="J29" s="28">
        <f>79.67*0.9</f>
        <v>71.703</v>
      </c>
      <c r="K29" s="23">
        <v>54.74</v>
      </c>
      <c r="L29" s="23">
        <v>58.29</v>
      </c>
      <c r="M29" s="23">
        <v>52.46</v>
      </c>
      <c r="N29" s="23">
        <v>64.11</v>
      </c>
      <c r="O29" s="23">
        <v>6</v>
      </c>
      <c r="P29" s="23">
        <v>3</v>
      </c>
      <c r="Q29" s="23">
        <v>3</v>
      </c>
      <c r="R29" s="23">
        <v>10</v>
      </c>
      <c r="S29" s="23">
        <v>12</v>
      </c>
      <c r="T29" s="23">
        <v>0</v>
      </c>
      <c r="U29" s="23">
        <v>0</v>
      </c>
      <c r="V29" s="30">
        <v>15</v>
      </c>
      <c r="W29" s="31">
        <f>T29/V29</f>
        <v>0</v>
      </c>
      <c r="X29" s="32">
        <v>0.213</v>
      </c>
      <c r="Y29" s="32">
        <v>0.14881248</v>
      </c>
      <c r="Z29" s="32">
        <v>0.120512372</v>
      </c>
      <c r="AA29" s="32">
        <v>2</v>
      </c>
      <c r="AB29" s="32">
        <v>0.058985492</v>
      </c>
      <c r="AC29" s="32">
        <v>0.05</v>
      </c>
      <c r="AD29" s="31">
        <v>0</v>
      </c>
      <c r="AE29" s="31">
        <v>0</v>
      </c>
      <c r="AF29" s="34">
        <f>_xlfn.XLOOKUP(B29,库存明细报表10.16!L:L,库存明细报表10.16!P:P)</f>
        <v>0</v>
      </c>
      <c r="AG29" s="34">
        <f>_xlfn.XLOOKUP(B29,库存明细报表10.16!L:L,库存明细报表10.16!Q:Q)</f>
        <v>0</v>
      </c>
      <c r="AH29" s="34">
        <f>_xlfn.XLOOKUP(B29,库存明细报表10.16!L:L,库存明细报表10.16!T:T)</f>
        <v>35</v>
      </c>
      <c r="AI29" s="34">
        <f>VLOOKUP(A:A,进销存报表10.16!A:J,10,0)</f>
        <v>15</v>
      </c>
      <c r="AJ29" s="34">
        <f>VLOOKUP(A:A,进销存报表10.16!A:K,11,0)</f>
        <v>64</v>
      </c>
      <c r="AK29" s="23">
        <v>199.78</v>
      </c>
      <c r="AL29" s="23">
        <v>149.23</v>
      </c>
      <c r="AM29" s="26">
        <v>3</v>
      </c>
      <c r="AN29" s="26">
        <v>8.333333333</v>
      </c>
      <c r="AO29" s="32">
        <f t="shared" si="1"/>
        <v>0.015016518169987</v>
      </c>
      <c r="AP29" s="32">
        <f t="shared" si="2"/>
        <v>0.0558422122428466</v>
      </c>
      <c r="AQ29" s="37">
        <f t="shared" si="3"/>
        <v>20</v>
      </c>
      <c r="AR29" s="38">
        <v>12</v>
      </c>
      <c r="AS29" s="38">
        <v>12</v>
      </c>
      <c r="AT29" s="38">
        <v>14</v>
      </c>
      <c r="AU29" s="38">
        <v>15</v>
      </c>
      <c r="AV29" s="38">
        <v>16</v>
      </c>
      <c r="AW29" s="38">
        <v>20</v>
      </c>
      <c r="AX29" s="23" t="s">
        <v>786</v>
      </c>
      <c r="AY29" s="23"/>
      <c r="AZ29" s="23">
        <f>VLOOKUP(B:B,链接质量检测!A:V,22,0)</f>
        <v>92</v>
      </c>
      <c r="BA29" s="8" t="s">
        <v>1405</v>
      </c>
      <c r="BB29" s="8"/>
      <c r="BC29" s="13"/>
      <c r="BD29" s="13"/>
      <c r="BE29" s="13"/>
      <c r="BF29" s="13"/>
      <c r="BG29" s="13"/>
    </row>
    <row r="30" s="8" customFormat="1" customHeight="1" spans="1:59">
      <c r="A30" s="13" t="s">
        <v>236</v>
      </c>
      <c r="B30" s="13" t="s">
        <v>237</v>
      </c>
      <c r="C30" s="13" t="s">
        <v>238</v>
      </c>
      <c r="D30" s="23" t="s">
        <v>43</v>
      </c>
      <c r="E30" s="23" t="s">
        <v>44</v>
      </c>
      <c r="F30" s="23" t="s">
        <v>45</v>
      </c>
      <c r="G30" s="23" t="s">
        <v>48</v>
      </c>
      <c r="H30" s="23" t="s">
        <v>48</v>
      </c>
      <c r="I30" s="23" t="s">
        <v>48</v>
      </c>
      <c r="J30" s="28">
        <f>29.99</f>
        <v>29.99</v>
      </c>
      <c r="K30" s="23">
        <v>21.64</v>
      </c>
      <c r="L30" s="23">
        <v>20.18</v>
      </c>
      <c r="M30" s="23">
        <v>18.16</v>
      </c>
      <c r="N30" s="23">
        <v>22.2</v>
      </c>
      <c r="O30" s="23">
        <v>1</v>
      </c>
      <c r="P30" s="23">
        <v>3</v>
      </c>
      <c r="Q30" s="23">
        <v>2</v>
      </c>
      <c r="R30" s="23">
        <v>3</v>
      </c>
      <c r="S30" s="23">
        <v>0</v>
      </c>
      <c r="T30" s="23">
        <v>0</v>
      </c>
      <c r="U30" s="23">
        <v>1</v>
      </c>
      <c r="V30" s="30">
        <v>6</v>
      </c>
      <c r="W30" s="31">
        <f>T30/V30</f>
        <v>0</v>
      </c>
      <c r="X30" s="32">
        <v>0.303</v>
      </c>
      <c r="Y30" s="32">
        <v>0.292072407</v>
      </c>
      <c r="Z30" s="32" t="s">
        <v>239</v>
      </c>
      <c r="AA30" s="32" t="s">
        <v>239</v>
      </c>
      <c r="AB30" s="32" t="s">
        <v>239</v>
      </c>
      <c r="AC30" s="32" t="s">
        <v>239</v>
      </c>
      <c r="AD30" s="31">
        <v>0</v>
      </c>
      <c r="AE30" s="23" t="s">
        <v>69</v>
      </c>
      <c r="AF30" s="34">
        <f>_xlfn.XLOOKUP(B30,库存明细报表10.16!L:L,库存明细报表10.16!P:P)</f>
        <v>0</v>
      </c>
      <c r="AG30" s="34">
        <f>_xlfn.XLOOKUP(B30,库存明细报表10.16!L:L,库存明细报表10.16!Q:Q)</f>
        <v>0</v>
      </c>
      <c r="AH30" s="34">
        <f>_xlfn.XLOOKUP(B30,库存明细报表10.16!L:L,库存明细报表10.16!T:T)</f>
        <v>1</v>
      </c>
      <c r="AI30" s="34">
        <f>VLOOKUP(A:A,进销存报表10.16!A:J,10,0)</f>
        <v>14</v>
      </c>
      <c r="AJ30" s="34">
        <f>VLOOKUP(A:A,进销存报表10.16!A:K,11,0)</f>
        <v>10</v>
      </c>
      <c r="AK30" s="23">
        <v>80.46</v>
      </c>
      <c r="AL30" s="23">
        <v>63.56</v>
      </c>
      <c r="AM30" s="26">
        <v>2</v>
      </c>
      <c r="AN30" s="26">
        <v>1</v>
      </c>
      <c r="AO30" s="32">
        <f t="shared" si="1"/>
        <v>0.0248570718369376</v>
      </c>
      <c r="AP30" s="32">
        <f t="shared" si="2"/>
        <v>0.0157331655129012</v>
      </c>
      <c r="AQ30" s="37">
        <f t="shared" si="3"/>
        <v>9</v>
      </c>
      <c r="AR30" s="38">
        <v>2</v>
      </c>
      <c r="AS30" s="38">
        <v>3</v>
      </c>
      <c r="AT30" s="38">
        <v>5</v>
      </c>
      <c r="AU30" s="38">
        <v>6</v>
      </c>
      <c r="AV30" s="38">
        <v>8</v>
      </c>
      <c r="AW30" s="38">
        <v>9</v>
      </c>
      <c r="AX30" s="23" t="s">
        <v>786</v>
      </c>
      <c r="AY30" s="23"/>
      <c r="AZ30" s="23">
        <f>VLOOKUP(B:B,链接质量检测!A:V,22,0)</f>
        <v>92</v>
      </c>
      <c r="BA30" s="8" t="s">
        <v>1406</v>
      </c>
      <c r="BB30" s="8"/>
      <c r="BC30" s="13"/>
      <c r="BD30" s="13"/>
      <c r="BE30" s="13"/>
      <c r="BF30" s="13"/>
      <c r="BG30" s="13"/>
    </row>
    <row r="31" s="8" customFormat="1" customHeight="1" spans="1:59">
      <c r="A31" s="13" t="s">
        <v>261</v>
      </c>
      <c r="B31" s="13" t="s">
        <v>262</v>
      </c>
      <c r="C31" s="13" t="s">
        <v>263</v>
      </c>
      <c r="D31" s="23" t="s">
        <v>211</v>
      </c>
      <c r="E31" s="23" t="s">
        <v>44</v>
      </c>
      <c r="F31" s="23" t="s">
        <v>45</v>
      </c>
      <c r="G31" s="23" t="s">
        <v>48</v>
      </c>
      <c r="H31" s="23" t="s">
        <v>48</v>
      </c>
      <c r="I31" s="23" t="s">
        <v>47</v>
      </c>
      <c r="J31" s="28">
        <f>36.99*0.9</f>
        <v>33.291</v>
      </c>
      <c r="K31" s="23">
        <v>16.23</v>
      </c>
      <c r="L31" s="23"/>
      <c r="M31" s="23"/>
      <c r="N31" s="23"/>
      <c r="O31" s="23">
        <v>1</v>
      </c>
      <c r="P31" s="23">
        <v>1</v>
      </c>
      <c r="Q31" s="23">
        <v>0</v>
      </c>
      <c r="R31" s="23">
        <v>1</v>
      </c>
      <c r="S31" s="23">
        <v>0</v>
      </c>
      <c r="T31" s="23">
        <v>0</v>
      </c>
      <c r="U31" s="23">
        <v>0</v>
      </c>
      <c r="V31" s="30" t="e">
        <v>#N/A</v>
      </c>
      <c r="W31" s="23" t="e">
        <f>IF(T31&gt;V31,"YES","NO")</f>
        <v>#N/A</v>
      </c>
      <c r="X31" s="32">
        <v>0.382</v>
      </c>
      <c r="Y31" s="32">
        <v>0.418704249</v>
      </c>
      <c r="Z31" s="32" t="s">
        <v>239</v>
      </c>
      <c r="AA31" s="32" t="s">
        <v>239</v>
      </c>
      <c r="AB31" s="32" t="s">
        <v>239</v>
      </c>
      <c r="AC31" s="32" t="s">
        <v>239</v>
      </c>
      <c r="AD31" s="31">
        <v>0</v>
      </c>
      <c r="AE31" s="23" t="s">
        <v>69</v>
      </c>
      <c r="AF31" s="34" t="e">
        <f>_xlfn.XLOOKUP(B31,库存明细报表10.16!L:L,库存明细报表10.16!P:P)</f>
        <v>#N/A</v>
      </c>
      <c r="AG31" s="34" t="e">
        <f>_xlfn.XLOOKUP(B31,库存明细报表10.16!L:L,库存明细报表10.16!Q:Q)</f>
        <v>#N/A</v>
      </c>
      <c r="AH31" s="34" t="e">
        <f>_xlfn.XLOOKUP(B31,库存明细报表10.16!L:L,库存明细报表10.16!T:T)</f>
        <v>#N/A</v>
      </c>
      <c r="AI31" s="34">
        <f>VLOOKUP(A:A,进销存报表10.16!A:J,10,0)</f>
        <v>11</v>
      </c>
      <c r="AJ31" s="34">
        <f>VLOOKUP(A:A,进销存报表10.16!A:K,11,0)</f>
        <v>2</v>
      </c>
      <c r="AK31" s="23">
        <v>16.39</v>
      </c>
      <c r="AL31" s="23">
        <v>7.84</v>
      </c>
      <c r="AM31" s="26">
        <v>0.67</v>
      </c>
      <c r="AN31" s="26">
        <v>0.333333333</v>
      </c>
      <c r="AO31" s="32">
        <f t="shared" si="1"/>
        <v>0.0408785845027456</v>
      </c>
      <c r="AP31" s="32">
        <f t="shared" si="2"/>
        <v>0.0425170067602041</v>
      </c>
      <c r="AQ31" s="37">
        <f t="shared" si="3"/>
        <v>2</v>
      </c>
      <c r="AR31" s="38">
        <v>1</v>
      </c>
      <c r="AS31" s="38">
        <v>1</v>
      </c>
      <c r="AT31" s="38">
        <v>1</v>
      </c>
      <c r="AU31" s="38">
        <v>2</v>
      </c>
      <c r="AV31" s="38">
        <v>2</v>
      </c>
      <c r="AW31" s="38">
        <v>2</v>
      </c>
      <c r="AX31" s="23" t="s">
        <v>786</v>
      </c>
      <c r="AY31" s="23"/>
      <c r="AZ31" s="23">
        <f>VLOOKUP(B:B,链接质量检测!A:V,22,0)</f>
        <v>92</v>
      </c>
      <c r="BC31" s="13"/>
      <c r="BD31" s="13"/>
      <c r="BE31" s="13"/>
      <c r="BF31" s="13"/>
      <c r="BG31" s="13"/>
    </row>
  </sheetData>
  <autoFilter xmlns:etc="http://www.wps.cn/officeDocument/2017/etCustomData" ref="A1:XFD1048576" etc:filterBottomFollowUsedRange="0">
    <extLst/>
  </autoFilter>
  <conditionalFormatting sqref="A1">
    <cfRule type="duplicateValues" dxfId="1" priority="51"/>
  </conditionalFormatting>
  <conditionalFormatting sqref="W$1:W$1048576">
    <cfRule type="cellIs" dxfId="2" priority="48" operator="greaterThanOrEqual">
      <formula>1</formula>
    </cfRule>
  </conditionalFormatting>
  <conditionalFormatting sqref="W1:W30">
    <cfRule type="cellIs" dxfId="3" priority="47" operator="greaterThanOrEqual">
      <formula>1</formula>
    </cfRule>
  </conditionalFormatting>
  <conditionalFormatting sqref="AZ2:AZ31">
    <cfRule type="cellIs" dxfId="3" priority="49" operator="greaterThanOrEqual">
      <formula>90</formula>
    </cfRule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32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.5" customHeight="1"/>
  <cols>
    <col min="1" max="1" width="14.5" customWidth="1"/>
    <col min="6" max="6" width="13.025" style="9" customWidth="1"/>
    <col min="20" max="20" width="13" customWidth="1"/>
    <col min="22" max="22" width="10" style="9"/>
  </cols>
  <sheetData>
    <row r="1" ht="39" customHeight="1" spans="1:23">
      <c r="A1" s="10" t="s">
        <v>700</v>
      </c>
      <c r="B1" s="11" t="s">
        <v>1407</v>
      </c>
      <c r="C1" s="11" t="s">
        <v>1408</v>
      </c>
      <c r="D1" s="11" t="s">
        <v>1409</v>
      </c>
      <c r="E1" s="10" t="s">
        <v>1410</v>
      </c>
      <c r="F1" s="10" t="s">
        <v>1411</v>
      </c>
      <c r="G1" s="10" t="s">
        <v>1412</v>
      </c>
      <c r="H1" s="10" t="s">
        <v>1413</v>
      </c>
      <c r="I1" s="10" t="s">
        <v>1414</v>
      </c>
      <c r="J1" s="10" t="s">
        <v>1415</v>
      </c>
      <c r="K1" s="10" t="s">
        <v>1416</v>
      </c>
      <c r="L1" s="10" t="s">
        <v>1417</v>
      </c>
      <c r="M1" s="10" t="s">
        <v>1418</v>
      </c>
      <c r="N1" s="10" t="s">
        <v>1419</v>
      </c>
      <c r="O1" s="10" t="s">
        <v>1420</v>
      </c>
      <c r="P1" s="11" t="s">
        <v>1421</v>
      </c>
      <c r="Q1" s="10" t="s">
        <v>1422</v>
      </c>
      <c r="R1" s="11" t="s">
        <v>1423</v>
      </c>
      <c r="S1" s="10" t="s">
        <v>1424</v>
      </c>
      <c r="T1" s="11" t="s">
        <v>1425</v>
      </c>
      <c r="U1" s="11" t="s">
        <v>1426</v>
      </c>
      <c r="V1" s="10" t="s">
        <v>1427</v>
      </c>
      <c r="W1" s="10" t="s">
        <v>1428</v>
      </c>
    </row>
    <row r="2" customHeight="1" spans="1:23">
      <c r="A2" s="12" t="s">
        <v>1429</v>
      </c>
      <c r="B2" s="12">
        <v>10</v>
      </c>
      <c r="C2" s="12">
        <v>8</v>
      </c>
      <c r="D2" s="12">
        <v>10</v>
      </c>
      <c r="E2" s="12">
        <v>8</v>
      </c>
      <c r="F2" s="12">
        <v>8</v>
      </c>
      <c r="G2" s="12">
        <v>5</v>
      </c>
      <c r="H2" s="12">
        <v>5</v>
      </c>
      <c r="I2" s="12">
        <v>4</v>
      </c>
      <c r="J2" s="12">
        <v>3</v>
      </c>
      <c r="K2" s="12">
        <v>6</v>
      </c>
      <c r="L2" s="12">
        <v>4</v>
      </c>
      <c r="M2" s="12">
        <v>4</v>
      </c>
      <c r="N2" s="12">
        <v>5</v>
      </c>
      <c r="O2" s="12">
        <v>5</v>
      </c>
      <c r="P2" s="12">
        <v>5</v>
      </c>
      <c r="Q2" s="12">
        <v>2</v>
      </c>
      <c r="R2" s="12">
        <v>4</v>
      </c>
      <c r="S2" s="12">
        <v>4</v>
      </c>
      <c r="T2" s="12" t="s">
        <v>1430</v>
      </c>
      <c r="U2" s="12" t="s">
        <v>1431</v>
      </c>
      <c r="V2" s="12">
        <v>100</v>
      </c>
      <c r="W2" s="16"/>
    </row>
    <row r="3" customHeight="1" spans="1:22">
      <c r="A3" s="13" t="s">
        <v>274</v>
      </c>
      <c r="B3" s="9">
        <v>10</v>
      </c>
      <c r="C3" s="9">
        <v>8</v>
      </c>
      <c r="D3" s="9">
        <v>10</v>
      </c>
      <c r="E3" s="9">
        <v>8</v>
      </c>
      <c r="F3" s="9">
        <v>8</v>
      </c>
      <c r="G3" s="9">
        <v>5</v>
      </c>
      <c r="H3" s="9">
        <v>5</v>
      </c>
      <c r="I3" s="9">
        <v>4</v>
      </c>
      <c r="J3" s="9">
        <v>3</v>
      </c>
      <c r="K3" s="9">
        <v>6</v>
      </c>
      <c r="L3" s="9">
        <v>4</v>
      </c>
      <c r="M3" s="9">
        <v>4</v>
      </c>
      <c r="N3" s="9">
        <v>5</v>
      </c>
      <c r="O3" s="9">
        <v>5</v>
      </c>
      <c r="P3" s="9">
        <v>5</v>
      </c>
      <c r="Q3" s="9">
        <v>2</v>
      </c>
      <c r="R3" s="9">
        <v>4</v>
      </c>
      <c r="S3" s="9">
        <v>4</v>
      </c>
      <c r="T3" s="9">
        <v>3</v>
      </c>
      <c r="U3" s="9">
        <v>0</v>
      </c>
      <c r="V3" s="9">
        <f t="shared" ref="V3:V32" si="0">SUM(B3:S3)-T3-U3</f>
        <v>97</v>
      </c>
    </row>
    <row r="4" customHeight="1" spans="1:22">
      <c r="A4" s="13" t="s">
        <v>197</v>
      </c>
      <c r="B4" s="9">
        <v>10</v>
      </c>
      <c r="C4" s="9">
        <v>8</v>
      </c>
      <c r="D4" s="9">
        <v>10</v>
      </c>
      <c r="E4" s="9">
        <v>8</v>
      </c>
      <c r="F4" s="9">
        <v>8</v>
      </c>
      <c r="G4" s="9">
        <v>5</v>
      </c>
      <c r="H4" s="9">
        <v>5</v>
      </c>
      <c r="I4" s="9">
        <v>4</v>
      </c>
      <c r="J4" s="9">
        <v>3</v>
      </c>
      <c r="K4" s="9">
        <v>6</v>
      </c>
      <c r="L4" s="9">
        <v>4</v>
      </c>
      <c r="M4" s="9">
        <v>4</v>
      </c>
      <c r="N4" s="9">
        <v>5</v>
      </c>
      <c r="O4" s="9">
        <v>5</v>
      </c>
      <c r="P4" s="9">
        <v>5</v>
      </c>
      <c r="Q4" s="9">
        <v>2</v>
      </c>
      <c r="R4" s="9">
        <v>4</v>
      </c>
      <c r="S4" s="9">
        <v>4</v>
      </c>
      <c r="T4" s="9">
        <v>3</v>
      </c>
      <c r="U4" s="9">
        <v>0</v>
      </c>
      <c r="V4" s="9">
        <f t="shared" si="0"/>
        <v>97</v>
      </c>
    </row>
    <row r="5" customHeight="1" spans="1:22">
      <c r="A5" s="13" t="s">
        <v>231</v>
      </c>
      <c r="B5" s="9">
        <v>10</v>
      </c>
      <c r="C5" s="9">
        <v>8</v>
      </c>
      <c r="D5" s="9">
        <v>10</v>
      </c>
      <c r="E5" s="9">
        <v>8</v>
      </c>
      <c r="F5" s="9">
        <v>8</v>
      </c>
      <c r="G5" s="9">
        <v>5</v>
      </c>
      <c r="H5" s="9">
        <v>5</v>
      </c>
      <c r="I5" s="9">
        <v>4</v>
      </c>
      <c r="J5" s="9">
        <v>3</v>
      </c>
      <c r="K5" s="9">
        <v>6</v>
      </c>
      <c r="L5" s="9">
        <v>4</v>
      </c>
      <c r="M5" s="9">
        <v>4</v>
      </c>
      <c r="N5" s="9">
        <v>5</v>
      </c>
      <c r="O5" s="9">
        <v>5</v>
      </c>
      <c r="P5" s="9">
        <v>5</v>
      </c>
      <c r="Q5" s="9">
        <v>2</v>
      </c>
      <c r="R5" s="9">
        <v>4</v>
      </c>
      <c r="S5" s="9">
        <v>4</v>
      </c>
      <c r="T5" s="9">
        <v>3</v>
      </c>
      <c r="U5" s="9">
        <v>0</v>
      </c>
      <c r="V5" s="9">
        <f t="shared" si="0"/>
        <v>97</v>
      </c>
    </row>
    <row r="6" customHeight="1" spans="1:22">
      <c r="A6" s="13" t="s">
        <v>185</v>
      </c>
      <c r="B6" s="9">
        <v>10</v>
      </c>
      <c r="C6" s="9">
        <v>8</v>
      </c>
      <c r="D6" s="9">
        <v>10</v>
      </c>
      <c r="E6" s="9">
        <v>8</v>
      </c>
      <c r="F6" s="9">
        <v>8</v>
      </c>
      <c r="G6" s="9">
        <v>5</v>
      </c>
      <c r="H6" s="9">
        <v>5</v>
      </c>
      <c r="I6" s="9">
        <v>4</v>
      </c>
      <c r="J6" s="9">
        <v>3</v>
      </c>
      <c r="K6" s="9">
        <v>6</v>
      </c>
      <c r="L6" s="9">
        <v>4</v>
      </c>
      <c r="M6" s="9">
        <v>4</v>
      </c>
      <c r="N6" s="9">
        <v>5</v>
      </c>
      <c r="O6" s="9">
        <v>5</v>
      </c>
      <c r="P6" s="9">
        <v>5</v>
      </c>
      <c r="Q6" s="9">
        <v>2</v>
      </c>
      <c r="R6" s="9">
        <v>4</v>
      </c>
      <c r="S6" s="9">
        <v>4</v>
      </c>
      <c r="T6" s="9">
        <v>3</v>
      </c>
      <c r="U6" s="9">
        <v>0</v>
      </c>
      <c r="V6" s="9">
        <f t="shared" si="0"/>
        <v>97</v>
      </c>
    </row>
    <row r="7" customHeight="1" spans="1:22">
      <c r="A7" s="13" t="s">
        <v>179</v>
      </c>
      <c r="B7" s="9">
        <v>10</v>
      </c>
      <c r="C7" s="9">
        <v>8</v>
      </c>
      <c r="D7" s="9">
        <v>10</v>
      </c>
      <c r="E7" s="9">
        <v>8</v>
      </c>
      <c r="F7" s="9">
        <v>8</v>
      </c>
      <c r="G7" s="9">
        <v>5</v>
      </c>
      <c r="H7" s="9">
        <v>5</v>
      </c>
      <c r="I7" s="9">
        <v>4</v>
      </c>
      <c r="J7" s="9">
        <v>3</v>
      </c>
      <c r="K7" s="9">
        <v>6</v>
      </c>
      <c r="L7" s="9">
        <v>4</v>
      </c>
      <c r="M7" s="9">
        <v>4</v>
      </c>
      <c r="N7" s="9">
        <v>5</v>
      </c>
      <c r="O7" s="9">
        <v>5</v>
      </c>
      <c r="P7" s="9">
        <v>5</v>
      </c>
      <c r="Q7" s="9">
        <v>2</v>
      </c>
      <c r="R7" s="9">
        <v>4</v>
      </c>
      <c r="S7" s="9">
        <v>4</v>
      </c>
      <c r="T7" s="9">
        <v>3</v>
      </c>
      <c r="U7" s="9">
        <v>0</v>
      </c>
      <c r="V7" s="9">
        <f t="shared" si="0"/>
        <v>97</v>
      </c>
    </row>
    <row r="8" customHeight="1" spans="1:22">
      <c r="A8" s="13" t="s">
        <v>234</v>
      </c>
      <c r="B8" s="9">
        <v>10</v>
      </c>
      <c r="C8" s="9">
        <v>0</v>
      </c>
      <c r="D8" s="9">
        <v>10</v>
      </c>
      <c r="E8" s="9">
        <v>8</v>
      </c>
      <c r="F8" s="9">
        <v>8</v>
      </c>
      <c r="G8" s="9">
        <v>5</v>
      </c>
      <c r="H8" s="9">
        <v>5</v>
      </c>
      <c r="I8" s="9">
        <v>4</v>
      </c>
      <c r="J8" s="9">
        <v>3</v>
      </c>
      <c r="K8" s="9">
        <v>6</v>
      </c>
      <c r="L8" s="9">
        <v>4</v>
      </c>
      <c r="M8" s="9">
        <v>4</v>
      </c>
      <c r="N8" s="9">
        <v>5</v>
      </c>
      <c r="O8" s="9">
        <v>5</v>
      </c>
      <c r="P8" s="9">
        <v>5</v>
      </c>
      <c r="Q8" s="9">
        <v>2</v>
      </c>
      <c r="R8" s="9">
        <v>4</v>
      </c>
      <c r="S8" s="9">
        <v>4</v>
      </c>
      <c r="T8" s="9">
        <v>3</v>
      </c>
      <c r="U8" s="9">
        <v>0</v>
      </c>
      <c r="V8" s="9">
        <f t="shared" si="0"/>
        <v>89</v>
      </c>
    </row>
    <row r="9" customHeight="1" spans="1:22">
      <c r="A9" s="13" t="s">
        <v>228</v>
      </c>
      <c r="B9" s="9">
        <v>10</v>
      </c>
      <c r="C9" s="9">
        <v>8</v>
      </c>
      <c r="D9" s="9">
        <v>10</v>
      </c>
      <c r="E9" s="9">
        <v>8</v>
      </c>
      <c r="F9" s="9">
        <v>8</v>
      </c>
      <c r="G9" s="9">
        <v>5</v>
      </c>
      <c r="H9" s="9">
        <v>5</v>
      </c>
      <c r="I9" s="9">
        <v>4</v>
      </c>
      <c r="J9" s="9">
        <v>3</v>
      </c>
      <c r="K9" s="9">
        <v>6</v>
      </c>
      <c r="L9" s="9">
        <v>4</v>
      </c>
      <c r="M9" s="9">
        <v>4</v>
      </c>
      <c r="N9" s="9">
        <v>5</v>
      </c>
      <c r="O9" s="9">
        <v>5</v>
      </c>
      <c r="P9" s="9">
        <v>5</v>
      </c>
      <c r="Q9" s="9">
        <v>2</v>
      </c>
      <c r="R9" s="9">
        <v>4</v>
      </c>
      <c r="S9" s="9">
        <v>4</v>
      </c>
      <c r="T9" s="9">
        <v>3</v>
      </c>
      <c r="U9" s="9">
        <v>0</v>
      </c>
      <c r="V9" s="9">
        <f t="shared" si="0"/>
        <v>97</v>
      </c>
    </row>
    <row r="10" customHeight="1" spans="1:22">
      <c r="A10" s="13" t="s">
        <v>253</v>
      </c>
      <c r="B10" s="9">
        <v>10</v>
      </c>
      <c r="C10" s="9">
        <v>0</v>
      </c>
      <c r="D10" s="9">
        <v>10</v>
      </c>
      <c r="E10" s="9">
        <v>8</v>
      </c>
      <c r="F10" s="14">
        <v>0</v>
      </c>
      <c r="G10" s="9">
        <v>5</v>
      </c>
      <c r="H10" s="9">
        <v>5</v>
      </c>
      <c r="I10" s="9">
        <v>4</v>
      </c>
      <c r="J10" s="9">
        <v>3</v>
      </c>
      <c r="K10" s="9">
        <v>6</v>
      </c>
      <c r="L10" s="9">
        <v>4</v>
      </c>
      <c r="M10" s="9">
        <v>4</v>
      </c>
      <c r="N10" s="9">
        <v>5</v>
      </c>
      <c r="O10" s="9">
        <v>5</v>
      </c>
      <c r="P10" s="9">
        <v>5</v>
      </c>
      <c r="Q10" s="9">
        <v>2</v>
      </c>
      <c r="R10" s="9">
        <v>4</v>
      </c>
      <c r="S10" s="9">
        <v>4</v>
      </c>
      <c r="T10" s="9">
        <v>3</v>
      </c>
      <c r="U10" s="9">
        <v>0</v>
      </c>
      <c r="V10" s="9">
        <f t="shared" si="0"/>
        <v>81</v>
      </c>
    </row>
    <row r="11" customHeight="1" spans="1:22">
      <c r="A11" s="13" t="s">
        <v>158</v>
      </c>
      <c r="B11" s="9">
        <v>10</v>
      </c>
      <c r="C11" s="9">
        <v>0</v>
      </c>
      <c r="D11" s="9">
        <v>10</v>
      </c>
      <c r="E11" s="9">
        <v>8</v>
      </c>
      <c r="F11" s="9">
        <v>8</v>
      </c>
      <c r="G11" s="9">
        <v>5</v>
      </c>
      <c r="H11" s="9">
        <v>5</v>
      </c>
      <c r="I11" s="9">
        <v>4</v>
      </c>
      <c r="J11" s="9">
        <v>3</v>
      </c>
      <c r="K11" s="9">
        <v>6</v>
      </c>
      <c r="L11" s="9">
        <v>4</v>
      </c>
      <c r="M11" s="9">
        <v>4</v>
      </c>
      <c r="N11" s="9">
        <v>5</v>
      </c>
      <c r="O11" s="9">
        <v>5</v>
      </c>
      <c r="P11" s="9">
        <v>5</v>
      </c>
      <c r="Q11" s="9">
        <v>2</v>
      </c>
      <c r="R11" s="9">
        <v>4</v>
      </c>
      <c r="S11" s="9">
        <v>4</v>
      </c>
      <c r="T11" s="9">
        <v>3</v>
      </c>
      <c r="U11" s="9">
        <v>0</v>
      </c>
      <c r="V11" s="9">
        <f t="shared" si="0"/>
        <v>89</v>
      </c>
    </row>
    <row r="12" customHeight="1" spans="1:22">
      <c r="A12" s="13" t="s">
        <v>116</v>
      </c>
      <c r="B12" s="9">
        <v>10</v>
      </c>
      <c r="C12" s="9">
        <v>8</v>
      </c>
      <c r="D12" s="9">
        <v>10</v>
      </c>
      <c r="E12" s="9">
        <v>8</v>
      </c>
      <c r="F12" s="9">
        <v>8</v>
      </c>
      <c r="G12" s="9">
        <v>5</v>
      </c>
      <c r="H12" s="9">
        <v>5</v>
      </c>
      <c r="I12" s="9">
        <v>4</v>
      </c>
      <c r="J12" s="9">
        <v>3</v>
      </c>
      <c r="K12" s="9">
        <v>6</v>
      </c>
      <c r="L12" s="9">
        <v>4</v>
      </c>
      <c r="M12" s="9">
        <v>4</v>
      </c>
      <c r="N12" s="9">
        <v>5</v>
      </c>
      <c r="O12" s="9">
        <v>5</v>
      </c>
      <c r="P12" s="9">
        <v>5</v>
      </c>
      <c r="Q12" s="9">
        <v>2</v>
      </c>
      <c r="R12" s="9">
        <v>4</v>
      </c>
      <c r="S12" s="9">
        <v>4</v>
      </c>
      <c r="T12" s="9">
        <v>3</v>
      </c>
      <c r="U12" s="9">
        <v>0</v>
      </c>
      <c r="V12" s="9">
        <f t="shared" si="0"/>
        <v>97</v>
      </c>
    </row>
    <row r="13" customHeight="1" spans="1:22">
      <c r="A13" s="13" t="s">
        <v>173</v>
      </c>
      <c r="B13" s="9">
        <v>10</v>
      </c>
      <c r="C13" s="9">
        <v>8</v>
      </c>
      <c r="D13" s="9">
        <v>10</v>
      </c>
      <c r="E13" s="9">
        <v>8</v>
      </c>
      <c r="F13" s="9">
        <v>8</v>
      </c>
      <c r="G13" s="9">
        <v>5</v>
      </c>
      <c r="H13" s="9">
        <v>5</v>
      </c>
      <c r="I13" s="9">
        <v>4</v>
      </c>
      <c r="J13" s="9">
        <v>3</v>
      </c>
      <c r="K13" s="9">
        <v>6</v>
      </c>
      <c r="L13" s="9">
        <v>4</v>
      </c>
      <c r="M13" s="9">
        <v>4</v>
      </c>
      <c r="N13" s="9">
        <v>5</v>
      </c>
      <c r="O13" s="9">
        <v>5</v>
      </c>
      <c r="P13" s="9">
        <v>5</v>
      </c>
      <c r="Q13" s="9">
        <v>2</v>
      </c>
      <c r="R13" s="9">
        <v>4</v>
      </c>
      <c r="S13" s="9">
        <v>4</v>
      </c>
      <c r="T13" s="9">
        <v>3</v>
      </c>
      <c r="U13" s="9">
        <v>0</v>
      </c>
      <c r="V13" s="9">
        <f t="shared" si="0"/>
        <v>97</v>
      </c>
    </row>
    <row r="14" customHeight="1" spans="1:22">
      <c r="A14" s="13" t="s">
        <v>128</v>
      </c>
      <c r="B14" s="9">
        <v>10</v>
      </c>
      <c r="C14" s="9">
        <v>8</v>
      </c>
      <c r="D14" s="9">
        <v>10</v>
      </c>
      <c r="E14" s="9">
        <v>8</v>
      </c>
      <c r="F14" s="9">
        <v>8</v>
      </c>
      <c r="G14" s="9">
        <v>5</v>
      </c>
      <c r="H14" s="9">
        <v>5</v>
      </c>
      <c r="I14" s="9">
        <v>4</v>
      </c>
      <c r="J14" s="9">
        <v>3</v>
      </c>
      <c r="K14" s="9">
        <v>6</v>
      </c>
      <c r="L14" s="9">
        <v>4</v>
      </c>
      <c r="M14" s="9">
        <v>4</v>
      </c>
      <c r="N14" s="9">
        <v>5</v>
      </c>
      <c r="O14" s="9">
        <v>5</v>
      </c>
      <c r="P14" s="9">
        <v>5</v>
      </c>
      <c r="Q14" s="9">
        <v>2</v>
      </c>
      <c r="R14" s="9">
        <v>4</v>
      </c>
      <c r="S14" s="9">
        <v>4</v>
      </c>
      <c r="T14" s="9">
        <v>3</v>
      </c>
      <c r="U14" s="9">
        <v>0</v>
      </c>
      <c r="V14" s="9">
        <f t="shared" si="0"/>
        <v>97</v>
      </c>
    </row>
    <row r="15" customHeight="1" spans="1:22">
      <c r="A15" s="13" t="s">
        <v>170</v>
      </c>
      <c r="B15" s="9">
        <v>10</v>
      </c>
      <c r="C15" s="9">
        <v>0</v>
      </c>
      <c r="D15" s="9">
        <v>10</v>
      </c>
      <c r="E15" s="9">
        <v>8</v>
      </c>
      <c r="F15" s="9">
        <v>8</v>
      </c>
      <c r="G15" s="9">
        <v>5</v>
      </c>
      <c r="H15" s="9">
        <v>5</v>
      </c>
      <c r="I15" s="9">
        <v>4</v>
      </c>
      <c r="J15" s="9">
        <v>3</v>
      </c>
      <c r="K15" s="9">
        <v>6</v>
      </c>
      <c r="L15" s="9">
        <v>4</v>
      </c>
      <c r="M15" s="9">
        <v>4</v>
      </c>
      <c r="N15" s="9">
        <v>5</v>
      </c>
      <c r="O15" s="9">
        <v>5</v>
      </c>
      <c r="P15" s="9">
        <v>5</v>
      </c>
      <c r="Q15" s="9">
        <v>2</v>
      </c>
      <c r="R15" s="9">
        <v>4</v>
      </c>
      <c r="S15" s="9">
        <v>4</v>
      </c>
      <c r="T15" s="9">
        <v>3</v>
      </c>
      <c r="U15" s="9">
        <v>0</v>
      </c>
      <c r="V15" s="9">
        <f t="shared" si="0"/>
        <v>89</v>
      </c>
    </row>
    <row r="16" customHeight="1" spans="1:22">
      <c r="A16" s="13" t="s">
        <v>122</v>
      </c>
      <c r="B16" s="9">
        <v>10</v>
      </c>
      <c r="C16" s="9">
        <v>8</v>
      </c>
      <c r="D16" s="9">
        <v>10</v>
      </c>
      <c r="E16" s="9">
        <v>8</v>
      </c>
      <c r="F16" s="9">
        <v>8</v>
      </c>
      <c r="G16" s="9">
        <v>5</v>
      </c>
      <c r="H16" s="9">
        <v>5</v>
      </c>
      <c r="I16" s="9">
        <v>4</v>
      </c>
      <c r="J16" s="9">
        <v>3</v>
      </c>
      <c r="K16" s="9">
        <v>6</v>
      </c>
      <c r="L16" s="9">
        <v>4</v>
      </c>
      <c r="M16" s="9">
        <v>4</v>
      </c>
      <c r="N16" s="9">
        <v>5</v>
      </c>
      <c r="O16" s="9">
        <v>5</v>
      </c>
      <c r="P16" s="9">
        <v>5</v>
      </c>
      <c r="Q16" s="9">
        <v>2</v>
      </c>
      <c r="R16" s="9">
        <v>4</v>
      </c>
      <c r="S16" s="9">
        <v>4</v>
      </c>
      <c r="T16" s="9">
        <v>3</v>
      </c>
      <c r="U16" s="9">
        <v>0</v>
      </c>
      <c r="V16" s="9">
        <f t="shared" si="0"/>
        <v>97</v>
      </c>
    </row>
    <row r="17" customHeight="1" spans="1:22">
      <c r="A17" s="13" t="s">
        <v>161</v>
      </c>
      <c r="B17" s="9">
        <v>10</v>
      </c>
      <c r="C17" s="9">
        <v>8</v>
      </c>
      <c r="D17" s="9">
        <v>10</v>
      </c>
      <c r="E17" s="9">
        <v>8</v>
      </c>
      <c r="F17" s="9">
        <v>8</v>
      </c>
      <c r="G17" s="9">
        <v>5</v>
      </c>
      <c r="H17" s="9">
        <v>5</v>
      </c>
      <c r="I17" s="9">
        <v>4</v>
      </c>
      <c r="J17" s="9">
        <v>3</v>
      </c>
      <c r="K17" s="9">
        <v>6</v>
      </c>
      <c r="L17" s="9">
        <v>4</v>
      </c>
      <c r="M17" s="9">
        <v>4</v>
      </c>
      <c r="N17" s="9">
        <v>5</v>
      </c>
      <c r="O17" s="9">
        <v>5</v>
      </c>
      <c r="P17" s="9">
        <v>5</v>
      </c>
      <c r="Q17" s="9">
        <v>2</v>
      </c>
      <c r="R17" s="9">
        <v>4</v>
      </c>
      <c r="S17" s="9">
        <v>4</v>
      </c>
      <c r="T17" s="9">
        <v>3</v>
      </c>
      <c r="U17" s="9">
        <v>0</v>
      </c>
      <c r="V17" s="9">
        <f t="shared" si="0"/>
        <v>97</v>
      </c>
    </row>
    <row r="18" customHeight="1" spans="1:22">
      <c r="A18" s="13" t="s">
        <v>140</v>
      </c>
      <c r="B18" s="9">
        <v>10</v>
      </c>
      <c r="C18" s="9">
        <v>0</v>
      </c>
      <c r="D18" s="9">
        <v>10</v>
      </c>
      <c r="E18" s="9">
        <v>8</v>
      </c>
      <c r="F18" s="9">
        <v>8</v>
      </c>
      <c r="G18" s="9">
        <v>5</v>
      </c>
      <c r="H18" s="9">
        <v>5</v>
      </c>
      <c r="I18" s="9">
        <v>4</v>
      </c>
      <c r="J18" s="9">
        <v>3</v>
      </c>
      <c r="K18" s="9">
        <v>6</v>
      </c>
      <c r="L18" s="9">
        <v>4</v>
      </c>
      <c r="M18" s="9">
        <v>4</v>
      </c>
      <c r="N18" s="9">
        <v>5</v>
      </c>
      <c r="O18" s="9">
        <v>5</v>
      </c>
      <c r="P18" s="9">
        <v>5</v>
      </c>
      <c r="Q18" s="9">
        <v>2</v>
      </c>
      <c r="R18" s="9">
        <v>4</v>
      </c>
      <c r="S18" s="9">
        <v>4</v>
      </c>
      <c r="T18" s="9">
        <v>3</v>
      </c>
      <c r="U18" s="9">
        <v>0</v>
      </c>
      <c r="V18" s="9">
        <f t="shared" si="0"/>
        <v>89</v>
      </c>
    </row>
    <row r="19" customHeight="1" spans="1:22">
      <c r="A19" s="13" t="s">
        <v>203</v>
      </c>
      <c r="B19" s="9">
        <v>10</v>
      </c>
      <c r="C19" s="9">
        <v>8</v>
      </c>
      <c r="D19" s="9">
        <v>10</v>
      </c>
      <c r="E19" s="9">
        <v>8</v>
      </c>
      <c r="F19" s="9">
        <v>8</v>
      </c>
      <c r="G19" s="9">
        <v>5</v>
      </c>
      <c r="H19" s="9">
        <v>5</v>
      </c>
      <c r="I19" s="9">
        <v>4</v>
      </c>
      <c r="J19" s="9">
        <v>3</v>
      </c>
      <c r="K19" s="9">
        <v>6</v>
      </c>
      <c r="L19" s="9">
        <v>4</v>
      </c>
      <c r="M19" s="9">
        <v>4</v>
      </c>
      <c r="N19" s="9">
        <v>5</v>
      </c>
      <c r="O19" s="9">
        <v>5</v>
      </c>
      <c r="P19" s="9">
        <v>5</v>
      </c>
      <c r="Q19" s="9">
        <v>2</v>
      </c>
      <c r="R19" s="9">
        <v>4</v>
      </c>
      <c r="S19" s="9">
        <v>4</v>
      </c>
      <c r="T19" s="9">
        <v>3</v>
      </c>
      <c r="U19" s="9">
        <v>0</v>
      </c>
      <c r="V19" s="9">
        <f t="shared" si="0"/>
        <v>97</v>
      </c>
    </row>
    <row r="20" customHeight="1" spans="1:22">
      <c r="A20" s="13" t="s">
        <v>200</v>
      </c>
      <c r="B20" s="9">
        <v>10</v>
      </c>
      <c r="C20" s="9">
        <v>8</v>
      </c>
      <c r="D20" s="9">
        <v>10</v>
      </c>
      <c r="E20" s="9">
        <v>8</v>
      </c>
      <c r="F20" s="9">
        <v>8</v>
      </c>
      <c r="G20" s="9">
        <v>5</v>
      </c>
      <c r="H20" s="9">
        <v>5</v>
      </c>
      <c r="I20" s="9">
        <v>4</v>
      </c>
      <c r="J20" s="9">
        <v>3</v>
      </c>
      <c r="K20" s="9">
        <v>6</v>
      </c>
      <c r="L20" s="9">
        <v>4</v>
      </c>
      <c r="M20" s="9">
        <v>4</v>
      </c>
      <c r="N20" s="9">
        <v>5</v>
      </c>
      <c r="O20" s="9">
        <v>5</v>
      </c>
      <c r="P20" s="9">
        <v>5</v>
      </c>
      <c r="Q20" s="9">
        <v>2</v>
      </c>
      <c r="R20" s="9">
        <v>4</v>
      </c>
      <c r="S20" s="9">
        <v>4</v>
      </c>
      <c r="T20" s="9">
        <v>3</v>
      </c>
      <c r="U20" s="9">
        <v>0</v>
      </c>
      <c r="V20" s="9">
        <f t="shared" si="0"/>
        <v>97</v>
      </c>
    </row>
    <row r="21" customHeight="1" spans="1:22">
      <c r="A21" s="13" t="s">
        <v>250</v>
      </c>
      <c r="B21" s="9">
        <v>10</v>
      </c>
      <c r="C21" s="9">
        <v>8</v>
      </c>
      <c r="D21" s="9">
        <v>10</v>
      </c>
      <c r="E21" s="9">
        <v>8</v>
      </c>
      <c r="F21" s="9">
        <v>8</v>
      </c>
      <c r="G21" s="9">
        <v>5</v>
      </c>
      <c r="H21" s="9">
        <v>5</v>
      </c>
      <c r="I21" s="9">
        <v>4</v>
      </c>
      <c r="J21" s="9">
        <v>3</v>
      </c>
      <c r="K21" s="9">
        <v>6</v>
      </c>
      <c r="L21" s="9">
        <v>4</v>
      </c>
      <c r="M21" s="9">
        <v>4</v>
      </c>
      <c r="N21" s="9">
        <v>5</v>
      </c>
      <c r="O21" s="9">
        <v>5</v>
      </c>
      <c r="P21" s="9">
        <v>5</v>
      </c>
      <c r="Q21" s="9">
        <v>2</v>
      </c>
      <c r="R21" s="9">
        <v>4</v>
      </c>
      <c r="S21" s="9">
        <v>4</v>
      </c>
      <c r="T21" s="9">
        <v>3</v>
      </c>
      <c r="U21" s="9">
        <v>0</v>
      </c>
      <c r="V21" s="9">
        <f t="shared" si="0"/>
        <v>97</v>
      </c>
    </row>
    <row r="22" customHeight="1" spans="1:22">
      <c r="A22" s="13" t="s">
        <v>206</v>
      </c>
      <c r="B22" s="9">
        <v>10</v>
      </c>
      <c r="C22" s="9">
        <v>8</v>
      </c>
      <c r="D22" s="9">
        <v>10</v>
      </c>
      <c r="E22" s="9">
        <v>8</v>
      </c>
      <c r="F22" s="9">
        <v>8</v>
      </c>
      <c r="G22" s="9">
        <v>5</v>
      </c>
      <c r="H22" s="9">
        <v>5</v>
      </c>
      <c r="I22" s="9">
        <v>4</v>
      </c>
      <c r="J22" s="9">
        <v>3</v>
      </c>
      <c r="K22" s="9">
        <v>6</v>
      </c>
      <c r="L22" s="9">
        <v>4</v>
      </c>
      <c r="M22" s="9">
        <v>4</v>
      </c>
      <c r="N22" s="9">
        <v>5</v>
      </c>
      <c r="O22" s="9">
        <v>5</v>
      </c>
      <c r="P22" s="9">
        <v>5</v>
      </c>
      <c r="Q22" s="9">
        <v>2</v>
      </c>
      <c r="R22" s="9">
        <v>4</v>
      </c>
      <c r="S22" s="9">
        <v>4</v>
      </c>
      <c r="T22" s="9">
        <v>3</v>
      </c>
      <c r="U22" s="9">
        <v>0</v>
      </c>
      <c r="V22" s="9">
        <f t="shared" si="0"/>
        <v>97</v>
      </c>
    </row>
    <row r="23" customHeight="1" spans="1:22">
      <c r="A23" s="13" t="s">
        <v>119</v>
      </c>
      <c r="B23" s="9">
        <v>10</v>
      </c>
      <c r="C23" s="9">
        <v>8</v>
      </c>
      <c r="D23" s="9">
        <v>10</v>
      </c>
      <c r="E23" s="9">
        <v>8</v>
      </c>
      <c r="F23" s="9">
        <v>8</v>
      </c>
      <c r="G23" s="9">
        <v>5</v>
      </c>
      <c r="H23" s="9">
        <v>5</v>
      </c>
      <c r="I23" s="9">
        <v>4</v>
      </c>
      <c r="J23" s="9">
        <v>3</v>
      </c>
      <c r="K23" s="9">
        <v>6</v>
      </c>
      <c r="L23" s="9">
        <v>4</v>
      </c>
      <c r="M23" s="9">
        <v>4</v>
      </c>
      <c r="N23" s="9">
        <v>5</v>
      </c>
      <c r="O23" s="9">
        <v>5</v>
      </c>
      <c r="P23" s="9">
        <v>5</v>
      </c>
      <c r="Q23" s="9">
        <v>2</v>
      </c>
      <c r="R23" s="9">
        <v>4</v>
      </c>
      <c r="S23" s="9">
        <v>4</v>
      </c>
      <c r="T23" s="9">
        <v>3</v>
      </c>
      <c r="U23" s="9">
        <v>0</v>
      </c>
      <c r="V23" s="9">
        <f t="shared" si="0"/>
        <v>97</v>
      </c>
    </row>
    <row r="24" customHeight="1" spans="1:22">
      <c r="A24" s="13" t="s">
        <v>134</v>
      </c>
      <c r="B24" s="9">
        <v>10</v>
      </c>
      <c r="C24" s="9">
        <v>0</v>
      </c>
      <c r="D24" s="9">
        <v>10</v>
      </c>
      <c r="E24" s="9">
        <v>8</v>
      </c>
      <c r="F24" s="9">
        <v>8</v>
      </c>
      <c r="G24" s="9">
        <v>5</v>
      </c>
      <c r="H24" s="9">
        <v>5</v>
      </c>
      <c r="I24" s="9">
        <v>4</v>
      </c>
      <c r="J24" s="9">
        <v>3</v>
      </c>
      <c r="K24" s="9">
        <v>6</v>
      </c>
      <c r="L24" s="9">
        <v>4</v>
      </c>
      <c r="M24" s="9">
        <v>4</v>
      </c>
      <c r="N24" s="9">
        <v>5</v>
      </c>
      <c r="O24" s="9">
        <v>5</v>
      </c>
      <c r="P24" s="9">
        <v>5</v>
      </c>
      <c r="Q24" s="9">
        <v>2</v>
      </c>
      <c r="R24" s="9">
        <v>4</v>
      </c>
      <c r="S24" s="9">
        <v>4</v>
      </c>
      <c r="T24" s="9">
        <v>3</v>
      </c>
      <c r="U24" s="9">
        <v>0</v>
      </c>
      <c r="V24" s="9">
        <f t="shared" si="0"/>
        <v>89</v>
      </c>
    </row>
    <row r="25" customHeight="1" spans="1:22">
      <c r="A25" s="13" t="s">
        <v>216</v>
      </c>
      <c r="B25" s="9">
        <v>10</v>
      </c>
      <c r="C25" s="9">
        <v>0</v>
      </c>
      <c r="D25" s="9">
        <v>10</v>
      </c>
      <c r="E25" s="9">
        <v>8</v>
      </c>
      <c r="F25" s="9">
        <v>8</v>
      </c>
      <c r="G25" s="9">
        <v>5</v>
      </c>
      <c r="H25" s="9">
        <v>5</v>
      </c>
      <c r="I25" s="9">
        <v>4</v>
      </c>
      <c r="J25" s="9">
        <v>3</v>
      </c>
      <c r="K25" s="9">
        <v>6</v>
      </c>
      <c r="L25" s="9">
        <v>4</v>
      </c>
      <c r="M25" s="9">
        <v>4</v>
      </c>
      <c r="N25" s="9">
        <v>5</v>
      </c>
      <c r="O25" s="9">
        <v>5</v>
      </c>
      <c r="P25" s="9">
        <v>5</v>
      </c>
      <c r="Q25" s="9">
        <v>2</v>
      </c>
      <c r="R25" s="9">
        <v>4</v>
      </c>
      <c r="S25" s="9">
        <v>4</v>
      </c>
      <c r="T25" s="9">
        <v>3</v>
      </c>
      <c r="U25" s="9">
        <v>0</v>
      </c>
      <c r="V25" s="9">
        <f t="shared" si="0"/>
        <v>89</v>
      </c>
    </row>
    <row r="26" customHeight="1" spans="1:22">
      <c r="A26" s="13" t="s">
        <v>194</v>
      </c>
      <c r="B26" s="9">
        <v>10</v>
      </c>
      <c r="C26" s="9">
        <v>8</v>
      </c>
      <c r="D26" s="9">
        <v>10</v>
      </c>
      <c r="E26" s="9">
        <v>8</v>
      </c>
      <c r="F26" s="9">
        <v>8</v>
      </c>
      <c r="G26" s="9">
        <v>5</v>
      </c>
      <c r="H26" s="9">
        <v>5</v>
      </c>
      <c r="I26" s="9">
        <v>4</v>
      </c>
      <c r="J26" s="9">
        <v>3</v>
      </c>
      <c r="K26" s="9">
        <v>6</v>
      </c>
      <c r="L26" s="9">
        <v>4</v>
      </c>
      <c r="M26" s="9">
        <v>4</v>
      </c>
      <c r="N26" s="9">
        <v>5</v>
      </c>
      <c r="O26" s="9">
        <v>5</v>
      </c>
      <c r="P26" s="9">
        <v>5</v>
      </c>
      <c r="Q26" s="9">
        <v>2</v>
      </c>
      <c r="R26" s="9">
        <v>4</v>
      </c>
      <c r="S26" s="9">
        <v>4</v>
      </c>
      <c r="T26" s="9">
        <v>3</v>
      </c>
      <c r="U26" s="9">
        <v>0</v>
      </c>
      <c r="V26" s="9">
        <f t="shared" si="0"/>
        <v>97</v>
      </c>
    </row>
    <row r="27" customHeight="1" spans="1:22">
      <c r="A27" s="13" t="s">
        <v>164</v>
      </c>
      <c r="B27" s="9">
        <v>10</v>
      </c>
      <c r="C27" s="9">
        <v>8</v>
      </c>
      <c r="D27" s="9">
        <v>10</v>
      </c>
      <c r="E27" s="9">
        <v>8</v>
      </c>
      <c r="F27" s="9">
        <v>8</v>
      </c>
      <c r="G27" s="9">
        <v>5</v>
      </c>
      <c r="H27" s="9">
        <v>5</v>
      </c>
      <c r="I27" s="9">
        <v>4</v>
      </c>
      <c r="J27" s="9">
        <v>3</v>
      </c>
      <c r="K27" s="9">
        <v>6</v>
      </c>
      <c r="L27" s="9">
        <v>4</v>
      </c>
      <c r="M27" s="9">
        <v>4</v>
      </c>
      <c r="N27" s="9">
        <v>5</v>
      </c>
      <c r="O27" s="9">
        <v>5</v>
      </c>
      <c r="P27" s="9">
        <v>5</v>
      </c>
      <c r="Q27" s="9">
        <v>2</v>
      </c>
      <c r="R27" s="9">
        <v>4</v>
      </c>
      <c r="S27" s="9">
        <v>4</v>
      </c>
      <c r="T27" s="9">
        <v>3</v>
      </c>
      <c r="U27" s="9">
        <v>0</v>
      </c>
      <c r="V27" s="9">
        <f t="shared" si="0"/>
        <v>97</v>
      </c>
    </row>
    <row r="28" customHeight="1" spans="1:22">
      <c r="A28" s="13" t="s">
        <v>188</v>
      </c>
      <c r="B28" s="9">
        <v>10</v>
      </c>
      <c r="C28" s="9">
        <v>8</v>
      </c>
      <c r="D28" s="9">
        <v>10</v>
      </c>
      <c r="E28" s="9">
        <v>8</v>
      </c>
      <c r="F28" s="9">
        <v>8</v>
      </c>
      <c r="G28" s="9">
        <v>5</v>
      </c>
      <c r="H28" s="9">
        <v>5</v>
      </c>
      <c r="I28" s="9">
        <v>4</v>
      </c>
      <c r="J28" s="9">
        <v>3</v>
      </c>
      <c r="K28" s="9">
        <v>6</v>
      </c>
      <c r="L28" s="9">
        <v>4</v>
      </c>
      <c r="M28" s="9">
        <v>4</v>
      </c>
      <c r="N28" s="9">
        <v>5</v>
      </c>
      <c r="O28" s="9">
        <v>5</v>
      </c>
      <c r="P28" s="9">
        <v>5</v>
      </c>
      <c r="Q28" s="9">
        <v>2</v>
      </c>
      <c r="R28" s="9">
        <v>4</v>
      </c>
      <c r="S28" s="9">
        <v>4</v>
      </c>
      <c r="T28" s="9">
        <v>3</v>
      </c>
      <c r="U28" s="9">
        <v>0</v>
      </c>
      <c r="V28" s="9">
        <f t="shared" si="0"/>
        <v>97</v>
      </c>
    </row>
    <row r="29" customHeight="1" spans="1:22">
      <c r="A29" s="13" t="s">
        <v>152</v>
      </c>
      <c r="B29" s="9">
        <v>10</v>
      </c>
      <c r="C29" s="9">
        <v>8</v>
      </c>
      <c r="D29" s="9">
        <v>10</v>
      </c>
      <c r="E29" s="9">
        <v>8</v>
      </c>
      <c r="F29" s="9">
        <v>8</v>
      </c>
      <c r="G29" s="9">
        <v>5</v>
      </c>
      <c r="H29" s="9">
        <v>5</v>
      </c>
      <c r="I29" s="9">
        <v>4</v>
      </c>
      <c r="J29" s="9">
        <v>3</v>
      </c>
      <c r="K29" s="9">
        <v>6</v>
      </c>
      <c r="L29" s="9">
        <v>4</v>
      </c>
      <c r="M29" s="9">
        <v>4</v>
      </c>
      <c r="N29" s="9">
        <v>5</v>
      </c>
      <c r="O29" s="9">
        <v>5</v>
      </c>
      <c r="P29" s="9">
        <v>5</v>
      </c>
      <c r="Q29" s="9">
        <v>2</v>
      </c>
      <c r="R29" s="9">
        <v>4</v>
      </c>
      <c r="S29" s="9">
        <v>4</v>
      </c>
      <c r="T29" s="9">
        <v>3</v>
      </c>
      <c r="U29" s="9">
        <v>0</v>
      </c>
      <c r="V29" s="9">
        <f t="shared" si="0"/>
        <v>97</v>
      </c>
    </row>
    <row r="30" customHeight="1" spans="1:22">
      <c r="A30" s="13" t="s">
        <v>213</v>
      </c>
      <c r="B30" s="9">
        <v>10</v>
      </c>
      <c r="C30" s="9">
        <v>0</v>
      </c>
      <c r="D30" s="9">
        <v>10</v>
      </c>
      <c r="E30" s="9">
        <v>8</v>
      </c>
      <c r="F30" s="9">
        <v>8</v>
      </c>
      <c r="G30" s="9">
        <v>5</v>
      </c>
      <c r="H30" s="9">
        <v>5</v>
      </c>
      <c r="I30" s="9">
        <v>4</v>
      </c>
      <c r="J30" s="9">
        <v>3</v>
      </c>
      <c r="K30" s="9">
        <v>6</v>
      </c>
      <c r="L30" s="9">
        <v>4</v>
      </c>
      <c r="M30" s="9">
        <v>4</v>
      </c>
      <c r="N30" s="9">
        <v>5</v>
      </c>
      <c r="O30" s="9">
        <v>5</v>
      </c>
      <c r="P30" s="9">
        <v>5</v>
      </c>
      <c r="Q30" s="9">
        <v>2</v>
      </c>
      <c r="R30" s="9">
        <v>4</v>
      </c>
      <c r="S30" s="9">
        <v>4</v>
      </c>
      <c r="T30" s="9">
        <v>0</v>
      </c>
      <c r="U30" s="9">
        <v>0</v>
      </c>
      <c r="V30" s="9">
        <f t="shared" si="0"/>
        <v>92</v>
      </c>
    </row>
    <row r="31" customHeight="1" spans="1:22">
      <c r="A31" s="13" t="s">
        <v>237</v>
      </c>
      <c r="B31" s="9">
        <v>10</v>
      </c>
      <c r="C31" s="9">
        <v>0</v>
      </c>
      <c r="D31" s="9">
        <v>10</v>
      </c>
      <c r="E31" s="9">
        <v>8</v>
      </c>
      <c r="F31" s="9">
        <v>8</v>
      </c>
      <c r="G31" s="9">
        <v>5</v>
      </c>
      <c r="H31" s="9">
        <v>5</v>
      </c>
      <c r="I31" s="9">
        <v>4</v>
      </c>
      <c r="J31" s="9">
        <v>3</v>
      </c>
      <c r="K31" s="9">
        <v>6</v>
      </c>
      <c r="L31" s="9">
        <v>4</v>
      </c>
      <c r="M31" s="9">
        <v>4</v>
      </c>
      <c r="N31" s="9">
        <v>5</v>
      </c>
      <c r="O31" s="9">
        <v>5</v>
      </c>
      <c r="P31" s="9">
        <v>5</v>
      </c>
      <c r="Q31" s="9">
        <v>2</v>
      </c>
      <c r="R31" s="9">
        <v>4</v>
      </c>
      <c r="S31" s="9">
        <v>4</v>
      </c>
      <c r="T31" s="9">
        <v>0</v>
      </c>
      <c r="U31" s="9">
        <v>0</v>
      </c>
      <c r="V31" s="9">
        <f t="shared" si="0"/>
        <v>92</v>
      </c>
    </row>
    <row r="32" customHeight="1" spans="1:22">
      <c r="A32" s="15" t="s">
        <v>262</v>
      </c>
      <c r="B32" s="9">
        <v>10</v>
      </c>
      <c r="C32" s="9">
        <v>0</v>
      </c>
      <c r="D32" s="9">
        <v>10</v>
      </c>
      <c r="E32" s="9">
        <v>8</v>
      </c>
      <c r="F32" s="9">
        <v>8</v>
      </c>
      <c r="G32" s="9">
        <v>5</v>
      </c>
      <c r="H32" s="9">
        <v>5</v>
      </c>
      <c r="I32" s="9">
        <v>4</v>
      </c>
      <c r="J32" s="9">
        <v>3</v>
      </c>
      <c r="K32" s="9">
        <v>6</v>
      </c>
      <c r="L32" s="9">
        <v>4</v>
      </c>
      <c r="M32" s="9">
        <v>4</v>
      </c>
      <c r="N32" s="9">
        <v>5</v>
      </c>
      <c r="O32" s="9">
        <v>5</v>
      </c>
      <c r="P32" s="9">
        <v>5</v>
      </c>
      <c r="Q32" s="9">
        <v>2</v>
      </c>
      <c r="R32" s="9">
        <v>4</v>
      </c>
      <c r="S32" s="9">
        <v>4</v>
      </c>
      <c r="T32" s="9">
        <v>0</v>
      </c>
      <c r="U32" s="9">
        <v>0</v>
      </c>
      <c r="V32" s="9">
        <f t="shared" si="0"/>
        <v>92</v>
      </c>
    </row>
  </sheetData>
  <autoFilter xmlns:etc="http://www.wps.cn/officeDocument/2017/etCustomData" ref="A1:XFD1048576" etc:filterBottomFollowUsedRange="0">
    <extLst/>
  </autoFilter>
  <pageMargins left="0.7" right="0.7" top="0.75" bottom="0.75" header="0.3" footer="0.3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V32"/>
  <sheetViews>
    <sheetView workbookViewId="0">
      <selection activeCell="A1" sqref="A1"/>
    </sheetView>
  </sheetViews>
  <sheetFormatPr defaultColWidth="10" defaultRowHeight="16.5" customHeight="1"/>
  <sheetData>
    <row r="1" customHeight="1" spans="1:22">
      <c r="A1" s="1" t="s">
        <v>1432</v>
      </c>
      <c r="B1" s="1" t="s">
        <v>1433</v>
      </c>
      <c r="C1" s="1" t="s">
        <v>1434</v>
      </c>
      <c r="D1" s="1" t="s">
        <v>1435</v>
      </c>
      <c r="E1" s="1" t="s">
        <v>1436</v>
      </c>
      <c r="F1" s="1" t="s">
        <v>1437</v>
      </c>
      <c r="G1" s="1" t="s">
        <v>1438</v>
      </c>
      <c r="H1" s="1" t="s">
        <v>1439</v>
      </c>
      <c r="I1" s="1" t="s">
        <v>1440</v>
      </c>
      <c r="J1" s="1" t="s">
        <v>1441</v>
      </c>
      <c r="K1" s="1" t="s">
        <v>1442</v>
      </c>
      <c r="L1" s="1" t="s">
        <v>1443</v>
      </c>
      <c r="M1" s="1" t="s">
        <v>1444</v>
      </c>
      <c r="N1" s="1" t="s">
        <v>1445</v>
      </c>
      <c r="O1" s="1" t="s">
        <v>1446</v>
      </c>
      <c r="P1" s="1" t="s">
        <v>1447</v>
      </c>
      <c r="Q1" s="1" t="s">
        <v>1448</v>
      </c>
      <c r="R1" s="1" t="s">
        <v>1449</v>
      </c>
      <c r="S1" s="1" t="s">
        <v>1450</v>
      </c>
      <c r="T1" s="1" t="s">
        <v>1451</v>
      </c>
      <c r="U1" s="1" t="s">
        <v>1452</v>
      </c>
      <c r="V1" s="1" t="s">
        <v>1453</v>
      </c>
    </row>
    <row r="2" customHeight="1" spans="1:22">
      <c r="A2" s="2" t="s">
        <v>1251</v>
      </c>
      <c r="B2" s="8"/>
      <c r="C2" s="8"/>
      <c r="D2" s="8"/>
      <c r="E2" s="3">
        <v>1339</v>
      </c>
      <c r="F2" s="3">
        <v>1819</v>
      </c>
      <c r="G2" s="3">
        <v>120</v>
      </c>
      <c r="H2" s="3">
        <v>28082.708</v>
      </c>
      <c r="I2" s="3">
        <v>0.089619119</v>
      </c>
      <c r="J2" s="3">
        <v>25670.38169</v>
      </c>
      <c r="K2" s="3">
        <v>297.821194</v>
      </c>
      <c r="L2" s="3">
        <v>963.833651</v>
      </c>
      <c r="M2" s="3">
        <v>3.236282946</v>
      </c>
      <c r="N2" s="3">
        <v>0.103991458</v>
      </c>
      <c r="O2" s="3">
        <v>8773.904</v>
      </c>
      <c r="P2" s="3">
        <v>37</v>
      </c>
      <c r="Q2" s="3">
        <v>6330.772303</v>
      </c>
      <c r="R2" s="3">
        <v>0.210722191</v>
      </c>
      <c r="S2" s="3">
        <v>0.095484354</v>
      </c>
      <c r="T2" s="3">
        <v>0.107009316</v>
      </c>
      <c r="U2" s="3">
        <v>1766.368</v>
      </c>
      <c r="V2" s="3">
        <v>138.455433</v>
      </c>
    </row>
    <row r="3" customHeight="1" spans="1:22">
      <c r="A3" s="2" t="s">
        <v>216</v>
      </c>
      <c r="B3" s="2" t="s">
        <v>215</v>
      </c>
      <c r="C3" s="2" t="s">
        <v>1454</v>
      </c>
      <c r="D3" s="2" t="s">
        <v>1455</v>
      </c>
      <c r="E3" s="3">
        <v>105</v>
      </c>
      <c r="F3" s="3">
        <v>131</v>
      </c>
      <c r="G3" s="3">
        <v>12</v>
      </c>
      <c r="H3" s="3">
        <v>4078.504</v>
      </c>
      <c r="I3" s="3">
        <v>0.114285714</v>
      </c>
      <c r="J3" s="3">
        <v>501.342476</v>
      </c>
      <c r="K3" s="3">
        <v>8.019544</v>
      </c>
      <c r="L3" s="3">
        <v>22.784726</v>
      </c>
      <c r="M3" s="3">
        <v>2.841149821</v>
      </c>
      <c r="N3" s="3">
        <v>0.016705644</v>
      </c>
      <c r="O3" s="3">
        <v>1359.728</v>
      </c>
      <c r="P3" s="3">
        <v>4</v>
      </c>
      <c r="Q3" s="3">
        <v>712.938137</v>
      </c>
      <c r="R3" s="3">
        <v>0.173648647</v>
      </c>
      <c r="S3" s="3">
        <v>0.063287155</v>
      </c>
      <c r="T3" s="3">
        <v>0.165592858</v>
      </c>
      <c r="U3" s="3">
        <v>217.532</v>
      </c>
      <c r="V3" s="3">
        <v>19.517294</v>
      </c>
    </row>
    <row r="4" customHeight="1" spans="1:22">
      <c r="A4" s="2" t="s">
        <v>170</v>
      </c>
      <c r="B4" s="2" t="s">
        <v>169</v>
      </c>
      <c r="C4" s="2" t="s">
        <v>1454</v>
      </c>
      <c r="D4" s="2" t="s">
        <v>1455</v>
      </c>
      <c r="E4" s="3">
        <v>48</v>
      </c>
      <c r="F4" s="3">
        <v>65</v>
      </c>
      <c r="G4" s="3">
        <v>5</v>
      </c>
      <c r="H4" s="3">
        <v>1461.66</v>
      </c>
      <c r="I4" s="3">
        <v>0.104166667</v>
      </c>
      <c r="J4" s="3">
        <v>683.450584</v>
      </c>
      <c r="K4" s="3">
        <v>14.028806</v>
      </c>
      <c r="L4" s="3">
        <v>33.563336</v>
      </c>
      <c r="M4" s="3">
        <v>2.392458489</v>
      </c>
      <c r="N4" s="3">
        <v>0.056809925</v>
      </c>
      <c r="O4" s="3">
        <v>584.664</v>
      </c>
      <c r="P4" s="3">
        <v>2</v>
      </c>
      <c r="Q4" s="3">
        <v>215.752535</v>
      </c>
      <c r="R4" s="3">
        <v>0.144686552</v>
      </c>
      <c r="S4" s="3">
        <v>0.07432278</v>
      </c>
      <c r="T4" s="3">
        <v>0.196041771</v>
      </c>
      <c r="U4" s="3">
        <v>70.176</v>
      </c>
      <c r="V4" s="3">
        <v>7.088713</v>
      </c>
    </row>
    <row r="5" customHeight="1" spans="1:22">
      <c r="A5" s="2" t="s">
        <v>213</v>
      </c>
      <c r="B5" s="2" t="s">
        <v>212</v>
      </c>
      <c r="C5" s="2" t="s">
        <v>1454</v>
      </c>
      <c r="D5" s="2" t="s">
        <v>1455</v>
      </c>
      <c r="E5" s="3">
        <v>47</v>
      </c>
      <c r="F5" s="3">
        <v>47</v>
      </c>
      <c r="G5" s="3">
        <v>0</v>
      </c>
      <c r="H5" s="3">
        <v>0</v>
      </c>
      <c r="I5" s="3">
        <v>0</v>
      </c>
      <c r="J5" s="3">
        <v>945.01899</v>
      </c>
      <c r="K5" s="3">
        <v>5.000151</v>
      </c>
      <c r="L5" s="3">
        <v>7.073318</v>
      </c>
      <c r="M5" s="3">
        <v>1.414620878</v>
      </c>
      <c r="N5" s="3">
        <v>277.1350547</v>
      </c>
      <c r="O5" s="3">
        <v>0</v>
      </c>
      <c r="P5" s="3">
        <v>0</v>
      </c>
      <c r="Q5" s="3">
        <v>84.813156</v>
      </c>
      <c r="R5" s="3">
        <v>0.180761202</v>
      </c>
      <c r="S5" s="3">
        <v>0.048408606</v>
      </c>
      <c r="T5" s="3">
        <v>0</v>
      </c>
      <c r="U5" s="3">
        <v>15.64</v>
      </c>
      <c r="V5" s="3">
        <v>0</v>
      </c>
    </row>
    <row r="6" customHeight="1" spans="1:22">
      <c r="A6" s="2" t="s">
        <v>274</v>
      </c>
      <c r="B6" s="2" t="s">
        <v>273</v>
      </c>
      <c r="C6" s="2" t="s">
        <v>1454</v>
      </c>
      <c r="D6" s="2" t="s">
        <v>1455</v>
      </c>
      <c r="E6" s="3">
        <v>40</v>
      </c>
      <c r="F6" s="3">
        <v>61</v>
      </c>
      <c r="G6" s="3">
        <v>6</v>
      </c>
      <c r="H6" s="3">
        <v>2066.792</v>
      </c>
      <c r="I6" s="3">
        <v>0.15</v>
      </c>
      <c r="J6" s="3">
        <v>1671.240187</v>
      </c>
      <c r="K6" s="3">
        <v>12.027036</v>
      </c>
      <c r="L6" s="3">
        <v>31.516892</v>
      </c>
      <c r="M6" s="3">
        <v>2.620503672</v>
      </c>
      <c r="N6" s="3">
        <v>0.091169807</v>
      </c>
      <c r="O6" s="3">
        <v>339.932</v>
      </c>
      <c r="P6" s="3">
        <v>1</v>
      </c>
      <c r="Q6" s="3">
        <v>1005.869836</v>
      </c>
      <c r="R6" s="3">
        <v>0.486681696</v>
      </c>
      <c r="S6" s="3">
        <v>0.034216285</v>
      </c>
      <c r="T6" s="3">
        <v>0.164473251</v>
      </c>
      <c r="U6" s="3">
        <v>29.376</v>
      </c>
      <c r="V6" s="3">
        <v>9.825053</v>
      </c>
    </row>
    <row r="7" customHeight="1" spans="1:22">
      <c r="A7" s="2" t="s">
        <v>179</v>
      </c>
      <c r="B7" s="2" t="s">
        <v>178</v>
      </c>
      <c r="C7" s="2" t="s">
        <v>1454</v>
      </c>
      <c r="D7" s="2" t="s">
        <v>1455</v>
      </c>
      <c r="E7" s="3">
        <v>98</v>
      </c>
      <c r="F7" s="3">
        <v>147</v>
      </c>
      <c r="G7" s="3">
        <v>11</v>
      </c>
      <c r="H7" s="3">
        <v>1944.052</v>
      </c>
      <c r="I7" s="3">
        <v>0.112244898</v>
      </c>
      <c r="J7" s="3">
        <v>2962.340647</v>
      </c>
      <c r="K7" s="3">
        <v>33.094664</v>
      </c>
      <c r="L7" s="3">
        <v>110.308749</v>
      </c>
      <c r="M7" s="3">
        <v>3.333127933</v>
      </c>
      <c r="N7" s="3">
        <v>0.200428532</v>
      </c>
      <c r="O7" s="3">
        <v>530.196</v>
      </c>
      <c r="P7" s="3">
        <v>3</v>
      </c>
      <c r="Q7" s="3">
        <v>428.376069</v>
      </c>
      <c r="R7" s="3">
        <v>0.220352166</v>
      </c>
      <c r="S7" s="3">
        <v>0.141526225</v>
      </c>
      <c r="T7" s="3">
        <v>0</v>
      </c>
      <c r="U7" s="3">
        <v>155.584</v>
      </c>
      <c r="V7" s="3">
        <v>9.241591</v>
      </c>
    </row>
    <row r="8" customHeight="1" spans="1:22">
      <c r="A8" s="2" t="s">
        <v>250</v>
      </c>
      <c r="B8" s="2" t="s">
        <v>249</v>
      </c>
      <c r="C8" s="2" t="s">
        <v>1454</v>
      </c>
      <c r="D8" s="2" t="s">
        <v>1455</v>
      </c>
      <c r="E8" s="3">
        <v>57</v>
      </c>
      <c r="F8" s="3">
        <v>70</v>
      </c>
      <c r="G8" s="3">
        <v>7</v>
      </c>
      <c r="H8" s="3">
        <v>2236.044</v>
      </c>
      <c r="I8" s="3">
        <v>0.122807018</v>
      </c>
      <c r="J8" s="3">
        <v>756.177061</v>
      </c>
      <c r="K8" s="3">
        <v>13.026513</v>
      </c>
      <c r="L8" s="3">
        <v>30.902888</v>
      </c>
      <c r="M8" s="3">
        <v>2.372307002</v>
      </c>
      <c r="N8" s="3">
        <v>0.09503252</v>
      </c>
      <c r="O8" s="3">
        <v>319.532</v>
      </c>
      <c r="P8" s="3">
        <v>1</v>
      </c>
      <c r="Q8" s="3">
        <v>326.308661</v>
      </c>
      <c r="R8" s="3">
        <v>0.142825668</v>
      </c>
      <c r="S8" s="3">
        <v>0.074205959</v>
      </c>
      <c r="T8" s="3">
        <v>0.139561879</v>
      </c>
      <c r="U8" s="3">
        <v>127.772</v>
      </c>
      <c r="V8" s="3">
        <v>10.860796</v>
      </c>
    </row>
    <row r="9" customHeight="1" spans="1:22">
      <c r="A9" s="2" t="s">
        <v>231</v>
      </c>
      <c r="B9" s="2" t="s">
        <v>230</v>
      </c>
      <c r="C9" s="2" t="s">
        <v>1454</v>
      </c>
      <c r="D9" s="2" t="s">
        <v>1455</v>
      </c>
      <c r="E9" s="3">
        <v>191</v>
      </c>
      <c r="F9" s="3">
        <v>226</v>
      </c>
      <c r="G9" s="3">
        <v>12</v>
      </c>
      <c r="H9" s="3">
        <v>1807.984</v>
      </c>
      <c r="I9" s="3">
        <v>0.062827225</v>
      </c>
      <c r="J9" s="3">
        <v>2630.899967</v>
      </c>
      <c r="K9" s="3">
        <v>25.074295</v>
      </c>
      <c r="L9" s="3">
        <v>86.568905</v>
      </c>
      <c r="M9" s="3">
        <v>3.452496072</v>
      </c>
      <c r="N9" s="3">
        <v>0.502839648</v>
      </c>
      <c r="O9" s="3">
        <v>156.332</v>
      </c>
      <c r="P9" s="3">
        <v>1</v>
      </c>
      <c r="Q9" s="3">
        <v>-90.705655</v>
      </c>
      <c r="R9" s="3">
        <v>-0.049839586</v>
      </c>
      <c r="S9" s="3">
        <v>0.118678154</v>
      </c>
      <c r="T9" s="3">
        <v>0.164325213</v>
      </c>
      <c r="U9" s="3">
        <v>120.768</v>
      </c>
      <c r="V9" s="3">
        <v>8.651639</v>
      </c>
    </row>
    <row r="10" customHeight="1" spans="1:22">
      <c r="A10" s="2" t="s">
        <v>122</v>
      </c>
      <c r="B10" s="2" t="s">
        <v>121</v>
      </c>
      <c r="C10" s="2" t="s">
        <v>1454</v>
      </c>
      <c r="D10" s="2" t="s">
        <v>1455</v>
      </c>
      <c r="E10" s="3">
        <v>19</v>
      </c>
      <c r="F10" s="3">
        <v>26</v>
      </c>
      <c r="G10" s="3">
        <v>3</v>
      </c>
      <c r="H10" s="3">
        <v>815.116</v>
      </c>
      <c r="I10" s="3">
        <v>0.157894737</v>
      </c>
      <c r="J10" s="3">
        <v>212.286358</v>
      </c>
      <c r="K10" s="3">
        <v>5.019095</v>
      </c>
      <c r="L10" s="3">
        <v>22.238999</v>
      </c>
      <c r="M10" s="3">
        <v>4.430878276</v>
      </c>
      <c r="N10" s="3">
        <v>0.080576626</v>
      </c>
      <c r="O10" s="3">
        <v>271.932</v>
      </c>
      <c r="P10" s="3">
        <v>1</v>
      </c>
      <c r="Q10" s="3">
        <v>301.631461</v>
      </c>
      <c r="R10" s="3">
        <v>0.370047283</v>
      </c>
      <c r="S10" s="3">
        <v>0.112040344</v>
      </c>
      <c r="T10" s="3">
        <v>0</v>
      </c>
      <c r="U10" s="3">
        <v>65.212</v>
      </c>
      <c r="V10" s="3">
        <v>3.874878</v>
      </c>
    </row>
    <row r="11" customHeight="1" spans="1:22">
      <c r="A11" s="2" t="s">
        <v>185</v>
      </c>
      <c r="B11" s="2" t="s">
        <v>184</v>
      </c>
      <c r="C11" s="2" t="s">
        <v>1454</v>
      </c>
      <c r="D11" s="2" t="s">
        <v>1455</v>
      </c>
      <c r="E11" s="3">
        <v>166</v>
      </c>
      <c r="F11" s="3">
        <v>197</v>
      </c>
      <c r="G11" s="3">
        <v>4</v>
      </c>
      <c r="H11" s="3">
        <v>713.796</v>
      </c>
      <c r="I11" s="3">
        <v>0.024096386</v>
      </c>
      <c r="J11" s="3">
        <v>1449.099922</v>
      </c>
      <c r="K11" s="3">
        <v>11.025888</v>
      </c>
      <c r="L11" s="3">
        <v>30.152381</v>
      </c>
      <c r="M11" s="3">
        <v>2.734689578</v>
      </c>
      <c r="N11" s="3">
        <v>0.153960474</v>
      </c>
      <c r="O11" s="3">
        <v>190.332</v>
      </c>
      <c r="P11" s="3">
        <v>1</v>
      </c>
      <c r="Q11" s="3">
        <v>167.017136</v>
      </c>
      <c r="R11" s="3">
        <v>0.23398441</v>
      </c>
      <c r="S11" s="3">
        <v>0.110063328</v>
      </c>
      <c r="T11" s="3">
        <v>0</v>
      </c>
      <c r="U11" s="3">
        <v>45.696</v>
      </c>
      <c r="V11" s="3">
        <v>2.714382</v>
      </c>
    </row>
    <row r="12" customHeight="1" spans="1:22">
      <c r="A12" s="2" t="s">
        <v>134</v>
      </c>
      <c r="B12" s="2" t="s">
        <v>133</v>
      </c>
      <c r="C12" s="2" t="s">
        <v>1454</v>
      </c>
      <c r="D12" s="2" t="s">
        <v>1455</v>
      </c>
      <c r="E12" s="3">
        <v>29</v>
      </c>
      <c r="F12" s="3">
        <v>38</v>
      </c>
      <c r="G12" s="3">
        <v>0</v>
      </c>
      <c r="H12" s="3">
        <v>0</v>
      </c>
      <c r="I12" s="3">
        <v>0</v>
      </c>
      <c r="J12" s="3">
        <v>1095.548763</v>
      </c>
      <c r="K12" s="3">
        <v>9.029614</v>
      </c>
      <c r="L12" s="3">
        <v>34.518465</v>
      </c>
      <c r="M12" s="3">
        <v>3.822806268</v>
      </c>
      <c r="N12" s="3">
        <v>5.469384188</v>
      </c>
      <c r="O12" s="3">
        <v>0</v>
      </c>
      <c r="P12" s="3">
        <v>0</v>
      </c>
      <c r="Q12" s="3">
        <v>63.985607</v>
      </c>
      <c r="R12" s="3">
        <v>0.192112048</v>
      </c>
      <c r="S12" s="3">
        <v>0.150358301</v>
      </c>
      <c r="T12" s="3">
        <v>0</v>
      </c>
      <c r="U12" s="3">
        <v>14.688</v>
      </c>
      <c r="V12" s="3">
        <v>0.872472</v>
      </c>
    </row>
    <row r="13" customHeight="1" spans="1:22">
      <c r="A13" s="2" t="s">
        <v>161</v>
      </c>
      <c r="B13" s="2" t="s">
        <v>160</v>
      </c>
      <c r="C13" s="2" t="s">
        <v>1454</v>
      </c>
      <c r="D13" s="2" t="s">
        <v>1455</v>
      </c>
      <c r="E13" s="3">
        <v>37</v>
      </c>
      <c r="F13" s="3">
        <v>54</v>
      </c>
      <c r="G13" s="3">
        <v>7</v>
      </c>
      <c r="H13" s="3">
        <v>1295.944</v>
      </c>
      <c r="I13" s="3">
        <v>0.189189189</v>
      </c>
      <c r="J13" s="3">
        <v>942.928681</v>
      </c>
      <c r="K13" s="3">
        <v>6.016094</v>
      </c>
      <c r="L13" s="3">
        <v>18.759934</v>
      </c>
      <c r="M13" s="3">
        <v>3.11829137</v>
      </c>
      <c r="N13" s="3">
        <v>0.051581636</v>
      </c>
      <c r="O13" s="3">
        <v>360.264</v>
      </c>
      <c r="P13" s="3">
        <v>2</v>
      </c>
      <c r="Q13" s="3">
        <v>211.971045</v>
      </c>
      <c r="R13" s="3">
        <v>0.191722815</v>
      </c>
      <c r="S13" s="3">
        <v>0.074492472</v>
      </c>
      <c r="T13" s="3">
        <v>0.172150809</v>
      </c>
      <c r="U13" s="3">
        <v>58.344</v>
      </c>
      <c r="V13" s="3">
        <v>5.255837</v>
      </c>
    </row>
    <row r="14" customHeight="1" spans="1:22">
      <c r="A14" s="2" t="s">
        <v>206</v>
      </c>
      <c r="B14" s="2" t="s">
        <v>205</v>
      </c>
      <c r="C14" s="2" t="s">
        <v>1454</v>
      </c>
      <c r="D14" s="2" t="s">
        <v>1455</v>
      </c>
      <c r="E14" s="3">
        <v>10</v>
      </c>
      <c r="F14" s="3">
        <v>17</v>
      </c>
      <c r="G14" s="3">
        <v>1</v>
      </c>
      <c r="H14" s="3">
        <v>163.132</v>
      </c>
      <c r="I14" s="3">
        <v>0.1</v>
      </c>
      <c r="J14" s="3">
        <v>184.367607</v>
      </c>
      <c r="K14" s="3">
        <v>4.01141</v>
      </c>
      <c r="L14" s="3">
        <v>13.302696</v>
      </c>
      <c r="M14" s="3">
        <v>3.316214498</v>
      </c>
      <c r="N14" s="3">
        <v>0.0274228</v>
      </c>
      <c r="O14" s="3">
        <v>163.132</v>
      </c>
      <c r="P14" s="3">
        <v>1</v>
      </c>
      <c r="Q14" s="3">
        <v>-108.102633</v>
      </c>
      <c r="R14" s="3">
        <v>-0.662669697</v>
      </c>
      <c r="S14" s="3">
        <v>0.08629934</v>
      </c>
      <c r="T14" s="3">
        <v>1</v>
      </c>
      <c r="U14" s="3">
        <v>0</v>
      </c>
      <c r="V14" s="3">
        <v>0.775488</v>
      </c>
    </row>
    <row r="15" customHeight="1" spans="1:22">
      <c r="A15" s="2" t="s">
        <v>237</v>
      </c>
      <c r="B15" s="2" t="s">
        <v>236</v>
      </c>
      <c r="C15" s="2" t="s">
        <v>1454</v>
      </c>
      <c r="D15" s="2" t="s">
        <v>1455</v>
      </c>
      <c r="E15" s="3">
        <v>11</v>
      </c>
      <c r="F15" s="3">
        <v>11</v>
      </c>
      <c r="G15" s="3">
        <v>0</v>
      </c>
      <c r="H15" s="3">
        <v>0</v>
      </c>
      <c r="I15" s="3">
        <v>0</v>
      </c>
      <c r="J15" s="3">
        <v>12.999994</v>
      </c>
      <c r="K15" s="3">
        <v>0</v>
      </c>
      <c r="L15" s="3">
        <v>0</v>
      </c>
      <c r="M15" s="3"/>
      <c r="N15" s="3"/>
      <c r="O15" s="3">
        <v>0</v>
      </c>
      <c r="P15" s="3">
        <v>0</v>
      </c>
      <c r="Q15" s="3">
        <v>0</v>
      </c>
      <c r="R15" s="3"/>
      <c r="S15" s="3"/>
      <c r="T15" s="3"/>
      <c r="U15" s="3">
        <v>0</v>
      </c>
      <c r="V15" s="3">
        <v>0</v>
      </c>
    </row>
    <row r="16" customHeight="1" spans="1:22">
      <c r="A16" s="2" t="s">
        <v>234</v>
      </c>
      <c r="B16" s="2" t="s">
        <v>233</v>
      </c>
      <c r="C16" s="2" t="s">
        <v>1454</v>
      </c>
      <c r="D16" s="2" t="s">
        <v>1455</v>
      </c>
      <c r="E16" s="3">
        <v>75</v>
      </c>
      <c r="F16" s="3">
        <v>137</v>
      </c>
      <c r="G16" s="3">
        <v>8</v>
      </c>
      <c r="H16" s="3">
        <v>1740.256</v>
      </c>
      <c r="I16" s="3">
        <v>0.106666667</v>
      </c>
      <c r="J16" s="3">
        <v>2274.876585</v>
      </c>
      <c r="K16" s="3">
        <v>38.107474</v>
      </c>
      <c r="L16" s="3">
        <v>125.248696</v>
      </c>
      <c r="M16" s="3">
        <v>3.286722599</v>
      </c>
      <c r="N16" s="3">
        <v>0.140251685</v>
      </c>
      <c r="O16" s="3">
        <v>870.128</v>
      </c>
      <c r="P16" s="3">
        <v>4</v>
      </c>
      <c r="Q16" s="3">
        <v>314.364585</v>
      </c>
      <c r="R16" s="3">
        <v>0.206448828</v>
      </c>
      <c r="S16" s="3">
        <v>0.167031834</v>
      </c>
      <c r="T16" s="3">
        <v>0</v>
      </c>
      <c r="U16" s="3">
        <v>121.856</v>
      </c>
      <c r="V16" s="3">
        <v>7.238687</v>
      </c>
    </row>
    <row r="17" customHeight="1" spans="1:22">
      <c r="A17" s="2" t="s">
        <v>262</v>
      </c>
      <c r="B17" s="2" t="s">
        <v>261</v>
      </c>
      <c r="C17" s="2" t="s">
        <v>1454</v>
      </c>
      <c r="D17" s="2" t="s">
        <v>1455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>
        <v>0</v>
      </c>
      <c r="P17" s="3">
        <v>0</v>
      </c>
      <c r="Q17" s="3">
        <v>0</v>
      </c>
      <c r="R17" s="3"/>
      <c r="S17" s="3"/>
      <c r="T17" s="3"/>
      <c r="U17" s="3">
        <v>0</v>
      </c>
      <c r="V17" s="3">
        <v>0</v>
      </c>
    </row>
    <row r="18" customHeight="1" spans="1:22">
      <c r="A18" s="2" t="s">
        <v>197</v>
      </c>
      <c r="B18" s="2" t="s">
        <v>196</v>
      </c>
      <c r="C18" s="2" t="s">
        <v>1454</v>
      </c>
      <c r="D18" s="2" t="s">
        <v>1455</v>
      </c>
      <c r="E18" s="3">
        <v>27</v>
      </c>
      <c r="F18" s="3">
        <v>41</v>
      </c>
      <c r="G18" s="3">
        <v>1</v>
      </c>
      <c r="H18" s="3">
        <v>176.732</v>
      </c>
      <c r="I18" s="3">
        <v>0.037037037</v>
      </c>
      <c r="J18" s="3">
        <v>896.580927</v>
      </c>
      <c r="K18" s="3">
        <v>8.021543</v>
      </c>
      <c r="L18" s="3">
        <v>25.104194</v>
      </c>
      <c r="M18" s="3">
        <v>3.129596637</v>
      </c>
      <c r="N18" s="3">
        <v>0.138450837</v>
      </c>
      <c r="O18" s="3">
        <v>176.732</v>
      </c>
      <c r="P18" s="3">
        <v>1</v>
      </c>
      <c r="Q18" s="3">
        <v>-51.963867</v>
      </c>
      <c r="R18" s="3">
        <v>-0.142516694</v>
      </c>
      <c r="S18" s="3">
        <v>0.113888296</v>
      </c>
      <c r="T18" s="3">
        <v>0.466057441</v>
      </c>
      <c r="U18" s="3">
        <v>14.688</v>
      </c>
      <c r="V18" s="3">
        <v>1.733301</v>
      </c>
    </row>
    <row r="19" customHeight="1" spans="1:22">
      <c r="A19" s="2" t="s">
        <v>203</v>
      </c>
      <c r="B19" s="2" t="s">
        <v>202</v>
      </c>
      <c r="C19" s="2" t="s">
        <v>1454</v>
      </c>
      <c r="D19" s="2" t="s">
        <v>1455</v>
      </c>
      <c r="E19" s="3">
        <v>87</v>
      </c>
      <c r="F19" s="3">
        <v>112</v>
      </c>
      <c r="G19" s="3">
        <v>4</v>
      </c>
      <c r="H19" s="3">
        <v>815.728</v>
      </c>
      <c r="I19" s="3">
        <v>0.045977011</v>
      </c>
      <c r="J19" s="3">
        <v>395.141985</v>
      </c>
      <c r="K19" s="3">
        <v>8.026241</v>
      </c>
      <c r="L19" s="3">
        <v>30.561667</v>
      </c>
      <c r="M19" s="3">
        <v>3.807718582</v>
      </c>
      <c r="N19" s="3">
        <v>0.073918325</v>
      </c>
      <c r="O19" s="3">
        <v>407.864</v>
      </c>
      <c r="P19" s="3">
        <v>2</v>
      </c>
      <c r="Q19" s="3">
        <v>349.617778</v>
      </c>
      <c r="R19" s="3">
        <v>0.337276168</v>
      </c>
      <c r="S19" s="3">
        <v>0.112956124</v>
      </c>
      <c r="T19" s="3">
        <v>0</v>
      </c>
      <c r="U19" s="3">
        <v>81.6</v>
      </c>
      <c r="V19" s="3">
        <v>4.927748</v>
      </c>
    </row>
    <row r="20" customHeight="1" spans="1:22">
      <c r="A20" s="2" t="s">
        <v>200</v>
      </c>
      <c r="B20" s="2" t="s">
        <v>199</v>
      </c>
      <c r="C20" s="2" t="s">
        <v>1454</v>
      </c>
      <c r="D20" s="2" t="s">
        <v>1455</v>
      </c>
      <c r="E20" s="3">
        <v>25</v>
      </c>
      <c r="F20" s="3">
        <v>38</v>
      </c>
      <c r="G20" s="3">
        <v>5</v>
      </c>
      <c r="H20" s="3">
        <v>1155.66</v>
      </c>
      <c r="I20" s="3">
        <v>0.2</v>
      </c>
      <c r="J20" s="3">
        <v>1230.454686</v>
      </c>
      <c r="K20" s="3">
        <v>7.020467</v>
      </c>
      <c r="L20" s="3">
        <v>23.876501</v>
      </c>
      <c r="M20" s="3">
        <v>3.400984721</v>
      </c>
      <c r="N20" s="3">
        <v>5.469297124</v>
      </c>
      <c r="O20" s="3">
        <v>0</v>
      </c>
      <c r="P20" s="3">
        <v>0</v>
      </c>
      <c r="Q20" s="3">
        <v>620.710439</v>
      </c>
      <c r="R20" s="3">
        <v>0.378869161</v>
      </c>
      <c r="S20" s="3">
        <v>0.088061165</v>
      </c>
      <c r="T20" s="3">
        <v>0</v>
      </c>
      <c r="U20" s="3">
        <v>112.608</v>
      </c>
      <c r="V20" s="3">
        <v>7.788219</v>
      </c>
    </row>
    <row r="21" customHeight="1" spans="1:22">
      <c r="A21" s="2" t="s">
        <v>119</v>
      </c>
      <c r="B21" s="2" t="s">
        <v>118</v>
      </c>
      <c r="C21" s="2" t="s">
        <v>1454</v>
      </c>
      <c r="D21" s="2" t="s">
        <v>1455</v>
      </c>
      <c r="E21" s="3">
        <v>11</v>
      </c>
      <c r="F21" s="3">
        <v>17</v>
      </c>
      <c r="G21" s="3">
        <v>2</v>
      </c>
      <c r="H21" s="3">
        <v>339.864</v>
      </c>
      <c r="I21" s="3">
        <v>0.181818182</v>
      </c>
      <c r="J21" s="3">
        <v>738.111014</v>
      </c>
      <c r="K21" s="3">
        <v>7.017631</v>
      </c>
      <c r="L21" s="3">
        <v>20.533815</v>
      </c>
      <c r="M21" s="3">
        <v>2.926032303</v>
      </c>
      <c r="N21" s="3">
        <v>0.118223564</v>
      </c>
      <c r="O21" s="3">
        <v>169.932</v>
      </c>
      <c r="P21" s="3">
        <v>1</v>
      </c>
      <c r="Q21" s="3">
        <v>58.593932</v>
      </c>
      <c r="R21" s="3">
        <v>0.172404056</v>
      </c>
      <c r="S21" s="3">
        <v>0.14520349</v>
      </c>
      <c r="T21" s="3">
        <v>0</v>
      </c>
      <c r="U21" s="3">
        <v>27.2</v>
      </c>
      <c r="V21" s="3">
        <v>1.615624</v>
      </c>
    </row>
    <row r="22" customHeight="1" spans="1:22">
      <c r="A22" s="2" t="s">
        <v>194</v>
      </c>
      <c r="B22" s="2" t="s">
        <v>193</v>
      </c>
      <c r="C22" s="2" t="s">
        <v>1454</v>
      </c>
      <c r="D22" s="2" t="s">
        <v>1455</v>
      </c>
      <c r="E22" s="3">
        <v>10</v>
      </c>
      <c r="F22" s="3">
        <v>10</v>
      </c>
      <c r="G22" s="3">
        <v>1</v>
      </c>
      <c r="H22" s="3">
        <v>156.332</v>
      </c>
      <c r="I22" s="3">
        <v>0.1</v>
      </c>
      <c r="J22" s="3">
        <v>0</v>
      </c>
      <c r="K22" s="3">
        <v>0</v>
      </c>
      <c r="L22" s="3">
        <v>0</v>
      </c>
      <c r="M22" s="3"/>
      <c r="N22" s="3"/>
      <c r="O22" s="3">
        <v>0</v>
      </c>
      <c r="P22" s="3">
        <v>0</v>
      </c>
      <c r="Q22" s="3">
        <v>54.012078</v>
      </c>
      <c r="R22" s="3">
        <v>0.345495983</v>
      </c>
      <c r="S22" s="3">
        <v>0</v>
      </c>
      <c r="T22" s="3">
        <v>0</v>
      </c>
      <c r="U22" s="3">
        <v>0</v>
      </c>
      <c r="V22" s="3">
        <v>0</v>
      </c>
    </row>
    <row r="23" customHeight="1" spans="1:22">
      <c r="A23" s="2" t="s">
        <v>164</v>
      </c>
      <c r="B23" s="2" t="s">
        <v>163</v>
      </c>
      <c r="C23" s="2" t="s">
        <v>1454</v>
      </c>
      <c r="D23" s="2" t="s">
        <v>1455</v>
      </c>
      <c r="E23" s="3">
        <v>16</v>
      </c>
      <c r="F23" s="3">
        <v>21</v>
      </c>
      <c r="G23" s="3">
        <v>1</v>
      </c>
      <c r="H23" s="3">
        <v>203.932</v>
      </c>
      <c r="I23" s="3">
        <v>0.0625</v>
      </c>
      <c r="J23" s="3">
        <v>567.047908</v>
      </c>
      <c r="K23" s="3">
        <v>6.017097</v>
      </c>
      <c r="L23" s="3">
        <v>19.919727</v>
      </c>
      <c r="M23" s="3">
        <v>3.31052117</v>
      </c>
      <c r="N23" s="3">
        <v>5.469237042</v>
      </c>
      <c r="O23" s="3">
        <v>0</v>
      </c>
      <c r="P23" s="3">
        <v>0</v>
      </c>
      <c r="Q23" s="3">
        <v>27.247383</v>
      </c>
      <c r="R23" s="3">
        <v>0.13361014</v>
      </c>
      <c r="S23" s="3">
        <v>0.18245878</v>
      </c>
      <c r="T23" s="3">
        <v>0</v>
      </c>
      <c r="U23" s="3">
        <v>16.32</v>
      </c>
      <c r="V23" s="3">
        <v>0.969457</v>
      </c>
    </row>
    <row r="24" customHeight="1" spans="1:22">
      <c r="A24" s="2" t="s">
        <v>128</v>
      </c>
      <c r="B24" s="2" t="s">
        <v>127</v>
      </c>
      <c r="C24" s="2" t="s">
        <v>1454</v>
      </c>
      <c r="D24" s="2" t="s">
        <v>1455</v>
      </c>
      <c r="E24" s="3">
        <v>35</v>
      </c>
      <c r="F24" s="3">
        <v>64</v>
      </c>
      <c r="G24" s="3">
        <v>6</v>
      </c>
      <c r="H24" s="3">
        <v>2284.392</v>
      </c>
      <c r="I24" s="3">
        <v>0.171428571</v>
      </c>
      <c r="J24" s="3">
        <v>860.411407</v>
      </c>
      <c r="K24" s="3">
        <v>12.036827</v>
      </c>
      <c r="L24" s="3">
        <v>42.909326</v>
      </c>
      <c r="M24" s="3">
        <v>3.564836979</v>
      </c>
      <c r="N24" s="3">
        <v>0.037311119</v>
      </c>
      <c r="O24" s="3">
        <v>1142.196</v>
      </c>
      <c r="P24" s="3">
        <v>3</v>
      </c>
      <c r="Q24" s="3">
        <v>276.159772</v>
      </c>
      <c r="R24" s="3">
        <v>0.120889835</v>
      </c>
      <c r="S24" s="3">
        <v>0.060210691</v>
      </c>
      <c r="T24" s="3">
        <v>0.333333333</v>
      </c>
      <c r="U24" s="3">
        <v>83.776</v>
      </c>
      <c r="V24" s="3">
        <v>10.859494</v>
      </c>
    </row>
    <row r="25" customHeight="1" spans="1:22">
      <c r="A25" s="2" t="s">
        <v>188</v>
      </c>
      <c r="B25" s="2" t="s">
        <v>187</v>
      </c>
      <c r="C25" s="2" t="s">
        <v>1454</v>
      </c>
      <c r="D25" s="2" t="s">
        <v>1455</v>
      </c>
      <c r="E25" s="3">
        <v>47</v>
      </c>
      <c r="F25" s="3">
        <v>70</v>
      </c>
      <c r="G25" s="3">
        <v>9</v>
      </c>
      <c r="H25" s="3">
        <v>1651.788</v>
      </c>
      <c r="I25" s="3">
        <v>0.191489362</v>
      </c>
      <c r="J25" s="3">
        <v>1324.251832</v>
      </c>
      <c r="K25" s="3">
        <v>19.060534</v>
      </c>
      <c r="L25" s="3">
        <v>70.537716</v>
      </c>
      <c r="M25" s="3">
        <v>3.700720872</v>
      </c>
      <c r="N25" s="3">
        <v>0.125179439</v>
      </c>
      <c r="O25" s="3">
        <v>550.596</v>
      </c>
      <c r="P25" s="3">
        <v>3</v>
      </c>
      <c r="Q25" s="3">
        <v>433.72019</v>
      </c>
      <c r="R25" s="3">
        <v>0.262576184</v>
      </c>
      <c r="S25" s="3">
        <v>0.125264222</v>
      </c>
      <c r="T25" s="3">
        <v>0</v>
      </c>
      <c r="U25" s="3">
        <v>128.52</v>
      </c>
      <c r="V25" s="3">
        <v>7.852222</v>
      </c>
    </row>
    <row r="26" customHeight="1" spans="1:22">
      <c r="A26" s="2" t="s">
        <v>228</v>
      </c>
      <c r="B26" s="2" t="s">
        <v>227</v>
      </c>
      <c r="C26" s="2" t="s">
        <v>1454</v>
      </c>
      <c r="D26" s="2" t="s">
        <v>1455</v>
      </c>
      <c r="E26" s="3">
        <v>24</v>
      </c>
      <c r="F26" s="3">
        <v>42</v>
      </c>
      <c r="G26" s="3">
        <v>3</v>
      </c>
      <c r="H26" s="3">
        <v>652.596</v>
      </c>
      <c r="I26" s="3">
        <v>0.125</v>
      </c>
      <c r="J26" s="3">
        <v>578.057842</v>
      </c>
      <c r="K26" s="3">
        <v>10.025525</v>
      </c>
      <c r="L26" s="3">
        <v>29.7431</v>
      </c>
      <c r="M26" s="3">
        <v>2.966737403</v>
      </c>
      <c r="N26" s="3">
        <v>5.469451223</v>
      </c>
      <c r="O26" s="3">
        <v>0</v>
      </c>
      <c r="P26" s="3">
        <v>0</v>
      </c>
      <c r="Q26" s="3">
        <v>175.609906</v>
      </c>
      <c r="R26" s="3">
        <v>0.269094365</v>
      </c>
      <c r="S26" s="3">
        <v>0.130355378</v>
      </c>
      <c r="T26" s="3">
        <v>0</v>
      </c>
      <c r="U26" s="3">
        <v>52.224</v>
      </c>
      <c r="V26" s="3">
        <v>3.102298</v>
      </c>
    </row>
    <row r="27" customHeight="1" spans="1:22">
      <c r="A27" s="2" t="s">
        <v>173</v>
      </c>
      <c r="B27" s="2" t="s">
        <v>172</v>
      </c>
      <c r="C27" s="2" t="s">
        <v>1454</v>
      </c>
      <c r="D27" s="2" t="s">
        <v>1455</v>
      </c>
      <c r="E27" s="3">
        <v>27</v>
      </c>
      <c r="F27" s="3">
        <v>40</v>
      </c>
      <c r="G27" s="3">
        <v>8</v>
      </c>
      <c r="H27" s="3">
        <v>1577.056</v>
      </c>
      <c r="I27" s="3">
        <v>0.296296296</v>
      </c>
      <c r="J27" s="3">
        <v>530.96957</v>
      </c>
      <c r="K27" s="3">
        <v>10.033125</v>
      </c>
      <c r="L27" s="3">
        <v>38.611604</v>
      </c>
      <c r="M27" s="3">
        <v>3.848412533</v>
      </c>
      <c r="N27" s="3">
        <v>0.048532188</v>
      </c>
      <c r="O27" s="3">
        <v>788.528</v>
      </c>
      <c r="P27" s="3">
        <v>4</v>
      </c>
      <c r="Q27" s="3">
        <v>406.379829</v>
      </c>
      <c r="R27" s="3">
        <v>0.257682561</v>
      </c>
      <c r="S27" s="3">
        <v>0.094259551</v>
      </c>
      <c r="T27" s="3">
        <v>0</v>
      </c>
      <c r="U27" s="3">
        <v>102.544</v>
      </c>
      <c r="V27" s="3">
        <v>7.496986</v>
      </c>
    </row>
    <row r="28" customHeight="1" spans="1:22">
      <c r="A28" s="2" t="s">
        <v>253</v>
      </c>
      <c r="B28" s="2" t="s">
        <v>252</v>
      </c>
      <c r="C28" s="2" t="s">
        <v>1454</v>
      </c>
      <c r="D28" s="2" t="s">
        <v>1455</v>
      </c>
      <c r="E28" s="3">
        <v>20</v>
      </c>
      <c r="F28" s="3">
        <v>30</v>
      </c>
      <c r="G28" s="3">
        <v>2</v>
      </c>
      <c r="H28" s="3">
        <v>391.884</v>
      </c>
      <c r="I28" s="3">
        <v>0.1</v>
      </c>
      <c r="J28" s="3">
        <v>223.422541</v>
      </c>
      <c r="K28" s="3">
        <v>8.028579</v>
      </c>
      <c r="L28" s="3">
        <v>33.290441</v>
      </c>
      <c r="M28" s="3">
        <v>4.1464923</v>
      </c>
      <c r="N28" s="3">
        <v>0.083650475</v>
      </c>
      <c r="O28" s="3">
        <v>391.884</v>
      </c>
      <c r="P28" s="3">
        <v>2</v>
      </c>
      <c r="Q28" s="3">
        <v>173.854094</v>
      </c>
      <c r="R28" s="3">
        <v>0.295160223</v>
      </c>
      <c r="S28" s="3">
        <v>0.141277122</v>
      </c>
      <c r="T28" s="3">
        <v>0</v>
      </c>
      <c r="U28" s="3">
        <v>47.124</v>
      </c>
      <c r="V28" s="3">
        <v>2.800044</v>
      </c>
    </row>
    <row r="29" customHeight="1" spans="1:22">
      <c r="A29" s="2" t="s">
        <v>152</v>
      </c>
      <c r="B29" s="2" t="s">
        <v>151</v>
      </c>
      <c r="C29" s="2" t="s">
        <v>1454</v>
      </c>
      <c r="D29" s="2" t="s">
        <v>1455</v>
      </c>
      <c r="E29" s="3">
        <v>10</v>
      </c>
      <c r="F29" s="3">
        <v>13</v>
      </c>
      <c r="G29" s="3">
        <v>0</v>
      </c>
      <c r="H29" s="3">
        <v>0</v>
      </c>
      <c r="I29" s="3">
        <v>0</v>
      </c>
      <c r="J29" s="3">
        <v>650.918762</v>
      </c>
      <c r="K29" s="3">
        <v>3.00767</v>
      </c>
      <c r="L29" s="3">
        <v>8.936514</v>
      </c>
      <c r="M29" s="3">
        <v>2.971241526</v>
      </c>
      <c r="N29" s="3">
        <v>5.469394025</v>
      </c>
      <c r="O29" s="3">
        <v>0</v>
      </c>
      <c r="P29" s="3">
        <v>0</v>
      </c>
      <c r="Q29" s="3">
        <v>-18.551714</v>
      </c>
      <c r="R29" s="3"/>
      <c r="S29" s="3"/>
      <c r="T29" s="3"/>
      <c r="U29" s="3">
        <v>0</v>
      </c>
      <c r="V29" s="3">
        <v>0</v>
      </c>
    </row>
    <row r="30" customHeight="1" spans="1:22">
      <c r="A30" s="2" t="s">
        <v>140</v>
      </c>
      <c r="B30" s="2" t="s">
        <v>139</v>
      </c>
      <c r="C30" s="2" t="s">
        <v>1454</v>
      </c>
      <c r="D30" s="2" t="s">
        <v>1455</v>
      </c>
      <c r="E30" s="3">
        <v>42</v>
      </c>
      <c r="F30" s="3">
        <v>57</v>
      </c>
      <c r="G30" s="3">
        <v>2</v>
      </c>
      <c r="H30" s="3">
        <v>353.464</v>
      </c>
      <c r="I30" s="3">
        <v>0.047619048</v>
      </c>
      <c r="J30" s="3">
        <v>719.910564</v>
      </c>
      <c r="K30" s="3">
        <v>7.024307</v>
      </c>
      <c r="L30" s="3">
        <v>28.310595</v>
      </c>
      <c r="M30" s="3">
        <v>4.030375523</v>
      </c>
      <c r="N30" s="3">
        <v>5.469333737</v>
      </c>
      <c r="O30" s="3">
        <v>0</v>
      </c>
      <c r="P30" s="3">
        <v>0</v>
      </c>
      <c r="Q30" s="3">
        <v>61.180389</v>
      </c>
      <c r="R30" s="3">
        <v>0.173088034</v>
      </c>
      <c r="S30" s="3">
        <v>0.164879261</v>
      </c>
      <c r="T30" s="3">
        <v>0</v>
      </c>
      <c r="U30" s="3">
        <v>28.288</v>
      </c>
      <c r="V30" s="3">
        <v>1.680288</v>
      </c>
    </row>
    <row r="31" customHeight="1" spans="1:22">
      <c r="A31" s="2" t="s">
        <v>116</v>
      </c>
      <c r="B31" s="2" t="s">
        <v>115</v>
      </c>
      <c r="C31" s="2" t="s">
        <v>1454</v>
      </c>
      <c r="D31" s="2" t="s">
        <v>1455</v>
      </c>
      <c r="E31" s="3">
        <v>19</v>
      </c>
      <c r="F31" s="3">
        <v>30</v>
      </c>
      <c r="G31" s="3">
        <v>0</v>
      </c>
      <c r="H31" s="3">
        <v>0</v>
      </c>
      <c r="I31" s="3">
        <v>0</v>
      </c>
      <c r="J31" s="3">
        <v>510.524828</v>
      </c>
      <c r="K31" s="3">
        <v>9.021064</v>
      </c>
      <c r="L31" s="3">
        <v>24.558466</v>
      </c>
      <c r="M31" s="3">
        <v>2.722346943</v>
      </c>
      <c r="N31" s="3">
        <v>5.469450232</v>
      </c>
      <c r="O31" s="3">
        <v>0</v>
      </c>
      <c r="P31" s="3">
        <v>0</v>
      </c>
      <c r="Q31" s="3">
        <v>50.603754</v>
      </c>
      <c r="R31" s="3"/>
      <c r="S31" s="3"/>
      <c r="T31" s="3"/>
      <c r="U31" s="3">
        <v>0</v>
      </c>
      <c r="V31" s="3">
        <v>0</v>
      </c>
    </row>
    <row r="32" customHeight="1" spans="1:22">
      <c r="A32" s="2" t="s">
        <v>158</v>
      </c>
      <c r="B32" s="2" t="s">
        <v>157</v>
      </c>
      <c r="C32" s="2" t="s">
        <v>1454</v>
      </c>
      <c r="D32" s="2" t="s">
        <v>1455</v>
      </c>
      <c r="E32" s="3">
        <v>4</v>
      </c>
      <c r="F32" s="3">
        <v>5</v>
      </c>
      <c r="G32" s="3">
        <v>0</v>
      </c>
      <c r="H32" s="3">
        <v>0</v>
      </c>
      <c r="I32" s="3">
        <v>0</v>
      </c>
      <c r="J32" s="3">
        <v>122</v>
      </c>
      <c r="K32" s="3">
        <v>0</v>
      </c>
      <c r="L32" s="3">
        <v>0</v>
      </c>
      <c r="M32" s="3"/>
      <c r="N32" s="3"/>
      <c r="O32" s="3">
        <v>0</v>
      </c>
      <c r="P32" s="3">
        <v>0</v>
      </c>
      <c r="Q32" s="3">
        <v>79.3784</v>
      </c>
      <c r="R32" s="3">
        <v>0.220292397</v>
      </c>
      <c r="S32" s="3">
        <v>0.08476883</v>
      </c>
      <c r="T32" s="3">
        <v>0</v>
      </c>
      <c r="U32" s="3">
        <v>28.832</v>
      </c>
      <c r="V32" s="3">
        <v>1.712922</v>
      </c>
    </row>
  </sheetData>
  <mergeCells count="1">
    <mergeCell ref="A2:D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6.5" customHeight="1" outlineLevelCol="1"/>
  <cols>
    <col min="1" max="1" width="14.625" customWidth="1"/>
    <col min="2" max="2" width="39.375" customWidth="1"/>
  </cols>
  <sheetData>
    <row r="1" ht="22.5" customHeight="1" spans="1:2">
      <c r="A1" s="5" t="s">
        <v>0</v>
      </c>
      <c r="B1" s="5" t="s">
        <v>1456</v>
      </c>
    </row>
    <row r="2" ht="189.75" customHeight="1" spans="1:2">
      <c r="A2" s="6" t="s">
        <v>40</v>
      </c>
      <c r="B2" s="6" t="s">
        <v>1457</v>
      </c>
    </row>
    <row r="3" ht="108.75" customHeight="1" spans="1:2">
      <c r="A3" s="6" t="s">
        <v>49</v>
      </c>
      <c r="B3" s="6" t="s">
        <v>1458</v>
      </c>
    </row>
    <row r="4" ht="135.75" customHeight="1" spans="1:2">
      <c r="A4" s="6" t="s">
        <v>52</v>
      </c>
      <c r="B4" s="6" t="s">
        <v>1459</v>
      </c>
    </row>
    <row r="5" ht="284.25" customHeight="1" spans="1:2">
      <c r="A5" s="6" t="s">
        <v>57</v>
      </c>
      <c r="B5" s="6" t="s">
        <v>1460</v>
      </c>
    </row>
    <row r="6" ht="216.75" customHeight="1" spans="1:2">
      <c r="A6" s="6" t="s">
        <v>60</v>
      </c>
      <c r="B6" s="6" t="s">
        <v>1461</v>
      </c>
    </row>
    <row r="7" ht="230.25" customHeight="1" spans="1:2">
      <c r="A7" s="6" t="s">
        <v>63</v>
      </c>
      <c r="B7" s="6" t="s">
        <v>1462</v>
      </c>
    </row>
    <row r="8" ht="149.25" customHeight="1" spans="1:2">
      <c r="A8" s="6" t="s">
        <v>66</v>
      </c>
      <c r="B8" s="6" t="s">
        <v>1463</v>
      </c>
    </row>
    <row r="9" ht="81.75" customHeight="1" spans="1:2">
      <c r="A9" s="6" t="s">
        <v>70</v>
      </c>
      <c r="B9" s="6" t="s">
        <v>1464</v>
      </c>
    </row>
    <row r="10" ht="176.25" customHeight="1" spans="1:2">
      <c r="A10" s="6" t="s">
        <v>73</v>
      </c>
      <c r="B10" s="6" t="s">
        <v>1465</v>
      </c>
    </row>
    <row r="11" ht="315" customHeight="1" spans="1:2">
      <c r="A11" s="6" t="s">
        <v>76</v>
      </c>
      <c r="B11" s="6" t="s">
        <v>1466</v>
      </c>
    </row>
    <row r="12" ht="189.75" customHeight="1" spans="1:2">
      <c r="A12" s="6" t="s">
        <v>79</v>
      </c>
      <c r="B12" s="6" t="s">
        <v>1467</v>
      </c>
    </row>
    <row r="13" ht="176.25" customHeight="1" spans="1:2">
      <c r="A13" s="6" t="s">
        <v>82</v>
      </c>
      <c r="B13" s="6" t="s">
        <v>1468</v>
      </c>
    </row>
    <row r="14" ht="203.25" customHeight="1" spans="1:2">
      <c r="A14" s="6" t="s">
        <v>85</v>
      </c>
      <c r="B14" s="6" t="s">
        <v>1469</v>
      </c>
    </row>
    <row r="15" ht="41.25" customHeight="1" spans="1:2">
      <c r="A15" s="6" t="s">
        <v>88</v>
      </c>
      <c r="B15" s="6" t="s">
        <v>1470</v>
      </c>
    </row>
    <row r="16" ht="95.25" customHeight="1" spans="1:2">
      <c r="A16" s="6" t="s">
        <v>91</v>
      </c>
      <c r="B16" s="6" t="s">
        <v>1471</v>
      </c>
    </row>
    <row r="17" ht="149.25" customHeight="1" spans="1:2">
      <c r="A17" s="6" t="s">
        <v>94</v>
      </c>
      <c r="B17" s="6" t="s">
        <v>1472</v>
      </c>
    </row>
    <row r="18" ht="315" customHeight="1" spans="1:2">
      <c r="A18" s="6" t="s">
        <v>97</v>
      </c>
      <c r="B18" s="6" t="s">
        <v>1473</v>
      </c>
    </row>
    <row r="19" ht="122.25" customHeight="1" spans="1:2">
      <c r="A19" s="6" t="s">
        <v>100</v>
      </c>
      <c r="B19" s="6" t="s">
        <v>1474</v>
      </c>
    </row>
    <row r="20" ht="81.75" customHeight="1" spans="1:2">
      <c r="A20" s="6" t="s">
        <v>103</v>
      </c>
      <c r="B20" s="6" t="s">
        <v>1475</v>
      </c>
    </row>
    <row r="21" ht="216.75" customHeight="1" spans="1:2">
      <c r="A21" s="6" t="s">
        <v>106</v>
      </c>
      <c r="B21" s="6" t="s">
        <v>1476</v>
      </c>
    </row>
    <row r="22" ht="315" customHeight="1" spans="1:2">
      <c r="A22" s="6" t="s">
        <v>109</v>
      </c>
      <c r="B22" s="6" t="s">
        <v>1477</v>
      </c>
    </row>
    <row r="23" ht="270.75" customHeight="1" spans="1:2">
      <c r="A23" s="6" t="s">
        <v>112</v>
      </c>
      <c r="B23" s="6" t="s">
        <v>1478</v>
      </c>
    </row>
    <row r="24" ht="203.25" customHeight="1" spans="1:2">
      <c r="A24" s="6" t="s">
        <v>115</v>
      </c>
      <c r="B24" s="6" t="s">
        <v>1479</v>
      </c>
    </row>
    <row r="25" ht="216.75" customHeight="1" spans="1:2">
      <c r="A25" s="6" t="s">
        <v>118</v>
      </c>
      <c r="B25" s="6" t="s">
        <v>1480</v>
      </c>
    </row>
    <row r="26" ht="284.25" customHeight="1" spans="1:2">
      <c r="A26" s="6" t="s">
        <v>121</v>
      </c>
      <c r="B26" s="6" t="s">
        <v>1481</v>
      </c>
    </row>
    <row r="27" ht="315" customHeight="1" spans="1:2">
      <c r="A27" s="6" t="s">
        <v>124</v>
      </c>
      <c r="B27" s="6" t="s">
        <v>1482</v>
      </c>
    </row>
    <row r="28" ht="135.75" customHeight="1" spans="1:2">
      <c r="A28" s="6" t="s">
        <v>127</v>
      </c>
      <c r="B28" s="6" t="s">
        <v>1483</v>
      </c>
    </row>
    <row r="29" ht="270.75" customHeight="1" spans="1:2">
      <c r="A29" s="6" t="s">
        <v>130</v>
      </c>
      <c r="B29" s="6" t="s">
        <v>1484</v>
      </c>
    </row>
    <row r="30" ht="149.25" customHeight="1" spans="1:2">
      <c r="A30" s="6" t="s">
        <v>133</v>
      </c>
      <c r="B30" s="6" t="s">
        <v>1485</v>
      </c>
    </row>
    <row r="31" ht="149.25" customHeight="1" spans="1:2">
      <c r="A31" s="6" t="s">
        <v>136</v>
      </c>
      <c r="B31" s="6" t="s">
        <v>1486</v>
      </c>
    </row>
    <row r="32" ht="149.25" customHeight="1" spans="1:2">
      <c r="A32" s="6" t="s">
        <v>139</v>
      </c>
      <c r="B32" s="6" t="s">
        <v>1487</v>
      </c>
    </row>
    <row r="33" ht="297.75" customHeight="1" spans="1:2">
      <c r="A33" s="6" t="s">
        <v>142</v>
      </c>
      <c r="B33" s="6" t="s">
        <v>1488</v>
      </c>
    </row>
    <row r="34" ht="203.25" customHeight="1" spans="1:2">
      <c r="A34" s="6" t="s">
        <v>145</v>
      </c>
      <c r="B34" s="6" t="s">
        <v>1489</v>
      </c>
    </row>
    <row r="35" ht="149.25" customHeight="1" spans="1:2">
      <c r="A35" s="6" t="s">
        <v>148</v>
      </c>
      <c r="B35" s="6" t="s">
        <v>1490</v>
      </c>
    </row>
    <row r="36" ht="149.25" customHeight="1" spans="1:2">
      <c r="A36" s="6" t="s">
        <v>151</v>
      </c>
      <c r="B36" s="6" t="s">
        <v>1491</v>
      </c>
    </row>
    <row r="37" ht="95.25" customHeight="1" spans="1:2">
      <c r="A37" s="6" t="s">
        <v>154</v>
      </c>
      <c r="B37" s="6" t="s">
        <v>1492</v>
      </c>
    </row>
    <row r="38" ht="284.25" customHeight="1" spans="1:2">
      <c r="A38" s="6" t="s">
        <v>157</v>
      </c>
      <c r="B38" s="6" t="s">
        <v>1493</v>
      </c>
    </row>
    <row r="39" ht="189.75" customHeight="1" spans="1:2">
      <c r="A39" s="6" t="s">
        <v>160</v>
      </c>
      <c r="B39" s="6" t="s">
        <v>1494</v>
      </c>
    </row>
    <row r="40" ht="41.25" customHeight="1" spans="1:2">
      <c r="A40" s="6" t="s">
        <v>163</v>
      </c>
      <c r="B40" s="6" t="s">
        <v>1495</v>
      </c>
    </row>
    <row r="41" ht="257.25" customHeight="1" spans="1:2">
      <c r="A41" s="6" t="s">
        <v>166</v>
      </c>
      <c r="B41" s="6" t="s">
        <v>1496</v>
      </c>
    </row>
    <row r="42" ht="122.25" customHeight="1" spans="1:2">
      <c r="A42" s="6" t="s">
        <v>169</v>
      </c>
      <c r="B42" s="6" t="s">
        <v>1497</v>
      </c>
    </row>
    <row r="43" ht="149.25" customHeight="1" spans="1:2">
      <c r="A43" s="6" t="s">
        <v>172</v>
      </c>
      <c r="B43" s="6" t="s">
        <v>1498</v>
      </c>
    </row>
    <row r="44" ht="135.75" customHeight="1" spans="1:2">
      <c r="A44" s="6" t="s">
        <v>175</v>
      </c>
      <c r="B44" s="6" t="s">
        <v>1499</v>
      </c>
    </row>
    <row r="45" ht="297.75" customHeight="1" spans="1:2">
      <c r="A45" s="6" t="s">
        <v>178</v>
      </c>
      <c r="B45" s="6" t="s">
        <v>1500</v>
      </c>
    </row>
    <row r="46" ht="315" customHeight="1" spans="1:2">
      <c r="A46" s="6" t="s">
        <v>181</v>
      </c>
      <c r="B46" s="6" t="s">
        <v>1501</v>
      </c>
    </row>
    <row r="47" ht="315" customHeight="1" spans="1:2">
      <c r="A47" s="6" t="s">
        <v>184</v>
      </c>
      <c r="B47" s="6" t="s">
        <v>1502</v>
      </c>
    </row>
    <row r="48" ht="176.25" customHeight="1" spans="1:2">
      <c r="A48" s="6" t="s">
        <v>187</v>
      </c>
      <c r="B48" s="6" t="s">
        <v>1503</v>
      </c>
    </row>
    <row r="49" ht="122.25" customHeight="1" spans="1:2">
      <c r="A49" s="6" t="s">
        <v>190</v>
      </c>
      <c r="B49" s="6" t="s">
        <v>1504</v>
      </c>
    </row>
    <row r="50" ht="149.25" customHeight="1" spans="1:2">
      <c r="A50" s="6" t="s">
        <v>193</v>
      </c>
      <c r="B50" s="6" t="s">
        <v>1505</v>
      </c>
    </row>
    <row r="51" ht="230.25" customHeight="1" spans="1:2">
      <c r="A51" s="6" t="s">
        <v>196</v>
      </c>
      <c r="B51" s="6" t="s">
        <v>1506</v>
      </c>
    </row>
    <row r="52" ht="243.75" customHeight="1" spans="1:2">
      <c r="A52" s="6" t="s">
        <v>199</v>
      </c>
      <c r="B52" s="6" t="s">
        <v>1507</v>
      </c>
    </row>
    <row r="53" ht="162.75" customHeight="1" spans="1:2">
      <c r="A53" s="6" t="s">
        <v>202</v>
      </c>
      <c r="B53" s="6" t="s">
        <v>1508</v>
      </c>
    </row>
    <row r="54" ht="95.25" customHeight="1" spans="1:2">
      <c r="A54" s="6" t="s">
        <v>205</v>
      </c>
      <c r="B54" s="6" t="s">
        <v>1509</v>
      </c>
    </row>
    <row r="55" ht="176.25" customHeight="1" spans="1:2">
      <c r="A55" s="6" t="s">
        <v>208</v>
      </c>
      <c r="B55" s="6" t="s">
        <v>1510</v>
      </c>
    </row>
    <row r="56" ht="189.75" customHeight="1" spans="1:2">
      <c r="A56" s="6" t="s">
        <v>212</v>
      </c>
      <c r="B56" s="6" t="s">
        <v>1511</v>
      </c>
    </row>
    <row r="57" ht="230.25" customHeight="1" spans="1:2">
      <c r="A57" s="6" t="s">
        <v>215</v>
      </c>
      <c r="B57" s="6" t="s">
        <v>1512</v>
      </c>
    </row>
    <row r="58" ht="257.25" customHeight="1" spans="1:2">
      <c r="A58" s="6" t="s">
        <v>218</v>
      </c>
      <c r="B58" s="6" t="s">
        <v>1513</v>
      </c>
    </row>
    <row r="59" ht="176.25" customHeight="1" spans="1:2">
      <c r="A59" s="6" t="s">
        <v>221</v>
      </c>
      <c r="B59" s="6" t="s">
        <v>1514</v>
      </c>
    </row>
    <row r="60" ht="108.75" customHeight="1" spans="1:2">
      <c r="A60" s="6" t="s">
        <v>224</v>
      </c>
      <c r="B60" s="6" t="s">
        <v>1515</v>
      </c>
    </row>
    <row r="61" ht="68.25" customHeight="1" spans="1:2">
      <c r="A61" s="6" t="s">
        <v>227</v>
      </c>
      <c r="B61" s="6" t="s">
        <v>1516</v>
      </c>
    </row>
    <row r="62" ht="315" customHeight="1" spans="1:2">
      <c r="A62" s="6" t="s">
        <v>230</v>
      </c>
      <c r="B62" s="6" t="s">
        <v>1517</v>
      </c>
    </row>
    <row r="63" ht="108.75" customHeight="1" spans="1:2">
      <c r="A63" s="6" t="s">
        <v>233</v>
      </c>
      <c r="B63" s="6" t="s">
        <v>1518</v>
      </c>
    </row>
    <row r="64" ht="81.75" customHeight="1" spans="1:2">
      <c r="A64" s="6" t="s">
        <v>236</v>
      </c>
      <c r="B64" s="6" t="s">
        <v>1519</v>
      </c>
    </row>
    <row r="65" ht="189.75" customHeight="1" spans="1:2">
      <c r="A65" s="6" t="s">
        <v>240</v>
      </c>
      <c r="B65" s="6" t="s">
        <v>1520</v>
      </c>
    </row>
    <row r="66" ht="149.25" customHeight="1" spans="1:2">
      <c r="A66" s="6" t="s">
        <v>243</v>
      </c>
      <c r="B66" s="6" t="s">
        <v>1521</v>
      </c>
    </row>
    <row r="67" ht="189.75" customHeight="1" spans="1:2">
      <c r="A67" s="6" t="s">
        <v>246</v>
      </c>
      <c r="B67" s="6" t="s">
        <v>1522</v>
      </c>
    </row>
    <row r="68" ht="122.25" customHeight="1" spans="1:2">
      <c r="A68" s="6" t="s">
        <v>249</v>
      </c>
      <c r="B68" s="6" t="s">
        <v>1523</v>
      </c>
    </row>
    <row r="69" ht="81.75" customHeight="1" spans="1:2">
      <c r="A69" s="6" t="s">
        <v>252</v>
      </c>
      <c r="B69" s="6" t="s">
        <v>1524</v>
      </c>
    </row>
    <row r="70" ht="95.25" customHeight="1" spans="1:2">
      <c r="A70" s="6" t="s">
        <v>255</v>
      </c>
      <c r="B70" s="6" t="s">
        <v>1525</v>
      </c>
    </row>
    <row r="71" ht="149.25" customHeight="1" spans="1:2">
      <c r="A71" s="6" t="s">
        <v>258</v>
      </c>
      <c r="B71" s="6" t="s">
        <v>1526</v>
      </c>
    </row>
    <row r="72" ht="95.25" customHeight="1" spans="1:2">
      <c r="A72" s="6" t="s">
        <v>261</v>
      </c>
      <c r="B72" s="6" t="s">
        <v>1527</v>
      </c>
    </row>
    <row r="73" ht="135.75" customHeight="1" spans="1:2">
      <c r="A73" s="6" t="s">
        <v>264</v>
      </c>
      <c r="B73" s="6" t="s">
        <v>1528</v>
      </c>
    </row>
    <row r="74" ht="27.75" customHeight="1" spans="1:2">
      <c r="A74" s="6" t="s">
        <v>267</v>
      </c>
      <c r="B74" s="6" t="s">
        <v>1529</v>
      </c>
    </row>
    <row r="75" ht="176.25" customHeight="1" spans="1:2">
      <c r="A75" s="6" t="s">
        <v>270</v>
      </c>
      <c r="B75" s="6" t="s">
        <v>1530</v>
      </c>
    </row>
    <row r="76" ht="95.25" customHeight="1" spans="1:2">
      <c r="A76" s="6" t="s">
        <v>273</v>
      </c>
      <c r="B76" s="6" t="s">
        <v>1531</v>
      </c>
    </row>
    <row r="77" ht="122.25" customHeight="1" spans="1:2">
      <c r="A77" s="6" t="s">
        <v>276</v>
      </c>
      <c r="B77" s="6" t="s">
        <v>1532</v>
      </c>
    </row>
    <row r="78" ht="81.75" customHeight="1" spans="1:2">
      <c r="A78" s="6" t="s">
        <v>279</v>
      </c>
      <c r="B78" s="6" t="s">
        <v>1533</v>
      </c>
    </row>
    <row r="79" ht="41.25" customHeight="1" spans="1:2">
      <c r="A79" s="6" t="s">
        <v>282</v>
      </c>
      <c r="B79" s="6" t="s">
        <v>1534</v>
      </c>
    </row>
    <row r="80" customHeight="1" spans="1:2">
      <c r="A80" s="6" t="s">
        <v>285</v>
      </c>
      <c r="B80" s="6" t="s">
        <v>239</v>
      </c>
    </row>
    <row r="81" customHeight="1" spans="1:2">
      <c r="A81" s="6" t="s">
        <v>289</v>
      </c>
      <c r="B81" s="6" t="s">
        <v>239</v>
      </c>
    </row>
    <row r="82" ht="257.25" customHeight="1" spans="1:2">
      <c r="A82" s="6" t="s">
        <v>292</v>
      </c>
      <c r="B82" s="6" t="s">
        <v>1535</v>
      </c>
    </row>
    <row r="83" customHeight="1" spans="1:2">
      <c r="A83" s="6" t="s">
        <v>295</v>
      </c>
      <c r="B83" s="6" t="s">
        <v>239</v>
      </c>
    </row>
    <row r="84" ht="311.25" customHeight="1" spans="1:2">
      <c r="A84" s="6" t="s">
        <v>298</v>
      </c>
      <c r="B84" s="6" t="s">
        <v>1536</v>
      </c>
    </row>
    <row r="85" ht="122.25" customHeight="1" spans="1:2">
      <c r="A85" s="6" t="s">
        <v>301</v>
      </c>
      <c r="B85" s="6" t="s">
        <v>1537</v>
      </c>
    </row>
    <row r="86" ht="122.25" customHeight="1" spans="1:2">
      <c r="A86" s="6" t="s">
        <v>304</v>
      </c>
      <c r="B86" s="6" t="s">
        <v>1538</v>
      </c>
    </row>
    <row r="87" ht="243.75" customHeight="1" spans="1:2">
      <c r="A87" s="6" t="s">
        <v>307</v>
      </c>
      <c r="B87" s="6" t="s">
        <v>1539</v>
      </c>
    </row>
    <row r="88" ht="216.75" customHeight="1" spans="1:2">
      <c r="A88" s="6" t="s">
        <v>310</v>
      </c>
      <c r="B88" s="6" t="s">
        <v>1540</v>
      </c>
    </row>
    <row r="89" customHeight="1" spans="1:2">
      <c r="A89" s="6" t="s">
        <v>313</v>
      </c>
      <c r="B89" s="6" t="s">
        <v>239</v>
      </c>
    </row>
    <row r="90" ht="81.75" customHeight="1" spans="1:2">
      <c r="A90" s="6" t="s">
        <v>316</v>
      </c>
      <c r="B90" s="6" t="s">
        <v>1541</v>
      </c>
    </row>
    <row r="91" ht="81.75" customHeight="1" spans="1:2">
      <c r="A91" s="6" t="s">
        <v>319</v>
      </c>
      <c r="B91" s="6" t="s">
        <v>1542</v>
      </c>
    </row>
    <row r="92" ht="315" customHeight="1" spans="1:2">
      <c r="A92" s="6" t="s">
        <v>322</v>
      </c>
      <c r="B92" s="6" t="s">
        <v>1543</v>
      </c>
    </row>
    <row r="93" customHeight="1" spans="1:2">
      <c r="A93" s="6" t="s">
        <v>325</v>
      </c>
      <c r="B93" s="6" t="s">
        <v>239</v>
      </c>
    </row>
    <row r="94" ht="81.75" customHeight="1" spans="1:2">
      <c r="A94" s="6" t="s">
        <v>328</v>
      </c>
      <c r="B94" s="6" t="s">
        <v>1544</v>
      </c>
    </row>
    <row r="95" ht="270.75" customHeight="1" spans="1:2">
      <c r="A95" s="6" t="s">
        <v>331</v>
      </c>
      <c r="B95" s="6" t="s">
        <v>1545</v>
      </c>
    </row>
    <row r="96" ht="243.75" customHeight="1" spans="1:2">
      <c r="A96" s="6" t="s">
        <v>334</v>
      </c>
      <c r="B96" s="6" t="s">
        <v>1546</v>
      </c>
    </row>
    <row r="97" ht="315" customHeight="1" spans="1:2">
      <c r="A97" s="6" t="s">
        <v>337</v>
      </c>
      <c r="B97" s="6" t="s">
        <v>1547</v>
      </c>
    </row>
    <row r="98" ht="122.25" customHeight="1" spans="1:2">
      <c r="A98" s="6" t="s">
        <v>340</v>
      </c>
      <c r="B98" s="6" t="s">
        <v>1548</v>
      </c>
    </row>
    <row r="99" ht="311.25" customHeight="1" spans="1:2">
      <c r="A99" s="6" t="s">
        <v>346</v>
      </c>
      <c r="B99" s="6" t="s">
        <v>1549</v>
      </c>
    </row>
    <row r="100" customHeight="1" spans="1:2">
      <c r="A100" s="6" t="s">
        <v>349</v>
      </c>
      <c r="B100" s="6" t="s">
        <v>239</v>
      </c>
    </row>
    <row r="101" ht="162.75" customHeight="1" spans="1:2">
      <c r="A101" s="6" t="s">
        <v>352</v>
      </c>
      <c r="B101" s="6" t="s">
        <v>1550</v>
      </c>
    </row>
    <row r="102" ht="176.25" customHeight="1" spans="1:2">
      <c r="A102" s="6" t="s">
        <v>356</v>
      </c>
      <c r="B102" s="6" t="s">
        <v>1551</v>
      </c>
    </row>
    <row r="103" ht="176.25" customHeight="1" spans="1:2">
      <c r="A103" s="6" t="s">
        <v>359</v>
      </c>
      <c r="B103" s="6" t="s">
        <v>1552</v>
      </c>
    </row>
    <row r="104" ht="122.25" customHeight="1" spans="1:2">
      <c r="A104" s="6" t="s">
        <v>362</v>
      </c>
      <c r="B104" s="6" t="s">
        <v>1553</v>
      </c>
    </row>
    <row r="105" ht="135.75" customHeight="1" spans="1:2">
      <c r="A105" s="6" t="s">
        <v>365</v>
      </c>
      <c r="B105" s="6" t="s">
        <v>1554</v>
      </c>
    </row>
    <row r="106" ht="95.25" customHeight="1" spans="1:2">
      <c r="A106" s="6" t="s">
        <v>368</v>
      </c>
      <c r="B106" s="6" t="s">
        <v>1555</v>
      </c>
    </row>
    <row r="107" ht="176.25" customHeight="1" spans="1:2">
      <c r="A107" s="6" t="s">
        <v>371</v>
      </c>
      <c r="B107" s="6" t="s">
        <v>1556</v>
      </c>
    </row>
    <row r="108" ht="68.25" customHeight="1" spans="1:2">
      <c r="A108" s="6" t="s">
        <v>374</v>
      </c>
      <c r="B108" s="6" t="s">
        <v>1557</v>
      </c>
    </row>
    <row r="109" ht="68.25" customHeight="1" spans="1:2">
      <c r="A109" s="6" t="s">
        <v>377</v>
      </c>
      <c r="B109" s="6" t="s">
        <v>1558</v>
      </c>
    </row>
    <row r="110" ht="149.25" customHeight="1" spans="1:2">
      <c r="A110" s="6" t="s">
        <v>380</v>
      </c>
      <c r="B110" s="6" t="s">
        <v>1559</v>
      </c>
    </row>
    <row r="111" ht="81.75" customHeight="1" spans="1:2">
      <c r="A111" s="6" t="s">
        <v>383</v>
      </c>
      <c r="B111" s="6" t="s">
        <v>1560</v>
      </c>
    </row>
    <row r="112" ht="68.25" customHeight="1" spans="1:2">
      <c r="A112" s="6" t="s">
        <v>386</v>
      </c>
      <c r="B112" s="6" t="s">
        <v>1561</v>
      </c>
    </row>
    <row r="113" ht="95.25" customHeight="1" spans="1:2">
      <c r="A113" s="6" t="s">
        <v>389</v>
      </c>
      <c r="B113" s="6" t="s">
        <v>1562</v>
      </c>
    </row>
    <row r="114" ht="122.25" customHeight="1" spans="1:2">
      <c r="A114" s="6" t="s">
        <v>392</v>
      </c>
      <c r="B114" s="6" t="s">
        <v>1563</v>
      </c>
    </row>
    <row r="115" ht="81.75" customHeight="1" spans="1:2">
      <c r="A115" s="6" t="s">
        <v>395</v>
      </c>
      <c r="B115" s="6" t="s">
        <v>1564</v>
      </c>
    </row>
    <row r="116" ht="108.75" customHeight="1" spans="1:2">
      <c r="A116" s="6" t="s">
        <v>398</v>
      </c>
      <c r="B116" s="6" t="s">
        <v>1565</v>
      </c>
    </row>
    <row r="117" ht="81.75" customHeight="1" spans="1:2">
      <c r="A117" s="6" t="s">
        <v>401</v>
      </c>
      <c r="B117" s="6" t="s">
        <v>1566</v>
      </c>
    </row>
    <row r="118" ht="135.75" customHeight="1" spans="1:2">
      <c r="A118" s="6" t="s">
        <v>404</v>
      </c>
      <c r="B118" s="6" t="s">
        <v>1567</v>
      </c>
    </row>
    <row r="119" ht="54.75" customHeight="1" spans="1:2">
      <c r="A119" s="6" t="s">
        <v>407</v>
      </c>
      <c r="B119" s="6" t="s">
        <v>1568</v>
      </c>
    </row>
    <row r="120" ht="54.75" customHeight="1" spans="1:2">
      <c r="A120" s="6" t="s">
        <v>410</v>
      </c>
      <c r="B120" s="6" t="s">
        <v>1569</v>
      </c>
    </row>
    <row r="121" ht="81.75" customHeight="1" spans="1:2">
      <c r="A121" s="6" t="s">
        <v>413</v>
      </c>
      <c r="B121" s="6" t="s">
        <v>1570</v>
      </c>
    </row>
    <row r="122" ht="81.75" customHeight="1" spans="1:2">
      <c r="A122" s="6" t="s">
        <v>416</v>
      </c>
      <c r="B122" s="6" t="s">
        <v>1571</v>
      </c>
    </row>
    <row r="123" ht="95.25" customHeight="1" spans="1:2">
      <c r="A123" s="6" t="s">
        <v>419</v>
      </c>
      <c r="B123" s="6" t="s">
        <v>1572</v>
      </c>
    </row>
    <row r="124" ht="68.25" customHeight="1" spans="1:2">
      <c r="A124" s="6" t="s">
        <v>422</v>
      </c>
      <c r="B124" s="6" t="s">
        <v>1573</v>
      </c>
    </row>
    <row r="125" ht="41.25" customHeight="1" spans="1:2">
      <c r="A125" s="6" t="s">
        <v>425</v>
      </c>
      <c r="B125" s="6" t="s">
        <v>1574</v>
      </c>
    </row>
    <row r="126" ht="68.25" customHeight="1" spans="1:2">
      <c r="A126" s="6" t="s">
        <v>428</v>
      </c>
      <c r="B126" s="6" t="s">
        <v>1575</v>
      </c>
    </row>
    <row r="127" ht="122.25" customHeight="1" spans="1:2">
      <c r="A127" s="6" t="s">
        <v>431</v>
      </c>
      <c r="B127" s="6" t="s">
        <v>1576</v>
      </c>
    </row>
    <row r="128" ht="149.25" customHeight="1" spans="1:2">
      <c r="A128" s="6" t="s">
        <v>434</v>
      </c>
      <c r="B128" s="6" t="s">
        <v>1577</v>
      </c>
    </row>
    <row r="129" ht="108.75" customHeight="1" spans="1:2">
      <c r="A129" s="6" t="s">
        <v>437</v>
      </c>
      <c r="B129" s="6" t="s">
        <v>1578</v>
      </c>
    </row>
    <row r="130" ht="54.75" customHeight="1" spans="1:2">
      <c r="A130" s="6" t="s">
        <v>440</v>
      </c>
      <c r="B130" s="6" t="s">
        <v>1579</v>
      </c>
    </row>
    <row r="131" ht="41.25" customHeight="1" spans="1:2">
      <c r="A131" s="6" t="s">
        <v>443</v>
      </c>
      <c r="B131" s="6" t="s">
        <v>1580</v>
      </c>
    </row>
    <row r="132" ht="135.75" customHeight="1" spans="1:2">
      <c r="A132" s="6" t="s">
        <v>446</v>
      </c>
      <c r="B132" s="6" t="s">
        <v>1581</v>
      </c>
    </row>
    <row r="133" ht="315" customHeight="1" spans="1:2">
      <c r="A133" s="6" t="s">
        <v>449</v>
      </c>
      <c r="B133" s="6" t="s">
        <v>1582</v>
      </c>
    </row>
    <row r="134" ht="122.25" customHeight="1" spans="1:2">
      <c r="A134" s="6" t="s">
        <v>452</v>
      </c>
      <c r="B134" s="6" t="s">
        <v>1583</v>
      </c>
    </row>
    <row r="135" customHeight="1" spans="1:2">
      <c r="A135" s="6" t="s">
        <v>455</v>
      </c>
      <c r="B135" s="6" t="s">
        <v>239</v>
      </c>
    </row>
    <row r="136" ht="230.25" customHeight="1" spans="1:2">
      <c r="A136" s="6" t="s">
        <v>458</v>
      </c>
      <c r="B136" s="6" t="s">
        <v>1584</v>
      </c>
    </row>
    <row r="137" ht="95.25" customHeight="1" spans="1:2">
      <c r="A137" s="6" t="s">
        <v>461</v>
      </c>
      <c r="B137" s="6" t="s">
        <v>1585</v>
      </c>
    </row>
    <row r="138" ht="203.25" customHeight="1" spans="1:2">
      <c r="A138" s="6" t="s">
        <v>464</v>
      </c>
      <c r="B138" s="6" t="s">
        <v>1586</v>
      </c>
    </row>
    <row r="139" ht="122.25" customHeight="1" spans="1:2">
      <c r="A139" s="6" t="s">
        <v>467</v>
      </c>
      <c r="B139" s="6" t="s">
        <v>1587</v>
      </c>
    </row>
    <row r="140" ht="270.75" customHeight="1" spans="1:2">
      <c r="A140" s="6" t="s">
        <v>470</v>
      </c>
      <c r="B140" s="6" t="s">
        <v>1588</v>
      </c>
    </row>
    <row r="141" customHeight="1" spans="1:2">
      <c r="A141" s="6" t="s">
        <v>473</v>
      </c>
      <c r="B141" s="6" t="s">
        <v>239</v>
      </c>
    </row>
    <row r="142" ht="315" customHeight="1" spans="1:2">
      <c r="A142" s="6" t="s">
        <v>476</v>
      </c>
      <c r="B142" s="6" t="s">
        <v>1589</v>
      </c>
    </row>
    <row r="143" ht="315" customHeight="1" spans="1:2">
      <c r="A143" s="6" t="s">
        <v>479</v>
      </c>
      <c r="B143" s="6" t="s">
        <v>1590</v>
      </c>
    </row>
    <row r="144" ht="257.25" customHeight="1" spans="1:2">
      <c r="A144" s="6" t="s">
        <v>482</v>
      </c>
      <c r="B144" s="6" t="s">
        <v>1591</v>
      </c>
    </row>
    <row r="145" ht="315" customHeight="1" spans="1:2">
      <c r="A145" s="6" t="s">
        <v>485</v>
      </c>
      <c r="B145" s="6" t="s">
        <v>1592</v>
      </c>
    </row>
    <row r="146" ht="311.25" customHeight="1" spans="1:2">
      <c r="A146" s="6" t="s">
        <v>488</v>
      </c>
      <c r="B146" s="6" t="s">
        <v>1593</v>
      </c>
    </row>
    <row r="147" ht="41.25" customHeight="1" spans="1:2">
      <c r="A147" s="6" t="s">
        <v>491</v>
      </c>
      <c r="B147" s="6" t="s">
        <v>1594</v>
      </c>
    </row>
    <row r="148" ht="95.25" customHeight="1" spans="1:2">
      <c r="A148" s="6" t="s">
        <v>494</v>
      </c>
      <c r="B148" s="6" t="s">
        <v>1595</v>
      </c>
    </row>
    <row r="149" ht="230.25" customHeight="1" spans="1:2">
      <c r="A149" s="6" t="s">
        <v>497</v>
      </c>
      <c r="B149" s="6" t="s">
        <v>1596</v>
      </c>
    </row>
    <row r="150" ht="315" customHeight="1" spans="1:2">
      <c r="A150" s="6" t="s">
        <v>500</v>
      </c>
      <c r="B150" s="6" t="s">
        <v>1597</v>
      </c>
    </row>
    <row r="151" ht="135.75" customHeight="1" spans="1:2">
      <c r="A151" s="6" t="s">
        <v>503</v>
      </c>
      <c r="B151" s="6" t="s">
        <v>1598</v>
      </c>
    </row>
    <row r="152" ht="149.25" customHeight="1" spans="1:2">
      <c r="A152" s="6" t="s">
        <v>506</v>
      </c>
      <c r="B152" s="6" t="s">
        <v>1599</v>
      </c>
    </row>
    <row r="153" ht="95.25" customHeight="1" spans="1:2">
      <c r="A153" s="6" t="s">
        <v>509</v>
      </c>
      <c r="B153" s="6" t="s">
        <v>1600</v>
      </c>
    </row>
    <row r="154" ht="297.75" customHeight="1" spans="1:2">
      <c r="A154" s="6" t="s">
        <v>512</v>
      </c>
      <c r="B154" s="6" t="s">
        <v>1601</v>
      </c>
    </row>
    <row r="155" ht="315" customHeight="1" spans="1:2">
      <c r="A155" s="6" t="s">
        <v>515</v>
      </c>
      <c r="B155" s="6" t="s">
        <v>1602</v>
      </c>
    </row>
    <row r="156" ht="149.25" customHeight="1" spans="1:2">
      <c r="A156" s="6" t="s">
        <v>518</v>
      </c>
      <c r="B156" s="6" t="s">
        <v>1603</v>
      </c>
    </row>
    <row r="157" ht="95.25" customHeight="1" spans="1:2">
      <c r="A157" s="6" t="s">
        <v>521</v>
      </c>
      <c r="B157" s="6" t="s">
        <v>1604</v>
      </c>
    </row>
    <row r="158" ht="81.75" customHeight="1" spans="1:2">
      <c r="A158" s="6" t="s">
        <v>524</v>
      </c>
      <c r="B158" s="6" t="s">
        <v>1605</v>
      </c>
    </row>
    <row r="159" ht="108.75" customHeight="1" spans="1:2">
      <c r="A159" s="6" t="s">
        <v>527</v>
      </c>
      <c r="B159" s="6" t="s">
        <v>1606</v>
      </c>
    </row>
    <row r="160" ht="27.75" customHeight="1" spans="1:2">
      <c r="A160" s="6" t="s">
        <v>530</v>
      </c>
      <c r="B160" s="6" t="s">
        <v>1607</v>
      </c>
    </row>
    <row r="161" ht="122.25" customHeight="1" spans="1:2">
      <c r="A161" s="6" t="s">
        <v>533</v>
      </c>
      <c r="B161" s="6" t="s">
        <v>1608</v>
      </c>
    </row>
    <row r="162" ht="149.25" customHeight="1" spans="1:2">
      <c r="A162" s="6" t="s">
        <v>536</v>
      </c>
      <c r="B162" s="6" t="s">
        <v>1609</v>
      </c>
    </row>
    <row r="163" ht="108.75" customHeight="1" spans="1:2">
      <c r="A163" s="6" t="s">
        <v>539</v>
      </c>
      <c r="B163" s="6" t="s">
        <v>1610</v>
      </c>
    </row>
    <row r="164" ht="162.75" customHeight="1" spans="1:2">
      <c r="A164" s="6" t="s">
        <v>542</v>
      </c>
      <c r="B164" s="6" t="s">
        <v>1611</v>
      </c>
    </row>
    <row r="165" ht="68.25" customHeight="1" spans="1:2">
      <c r="A165" s="6" t="s">
        <v>545</v>
      </c>
      <c r="B165" s="6" t="s">
        <v>1612</v>
      </c>
    </row>
    <row r="166" ht="122.25" customHeight="1" spans="1:2">
      <c r="A166" s="6" t="s">
        <v>548</v>
      </c>
      <c r="B166" s="6" t="s">
        <v>1613</v>
      </c>
    </row>
    <row r="167" ht="135.75" customHeight="1" spans="1:2">
      <c r="A167" s="6" t="s">
        <v>551</v>
      </c>
      <c r="B167" s="6" t="s">
        <v>1614</v>
      </c>
    </row>
    <row r="168" ht="108.75" customHeight="1" spans="1:2">
      <c r="A168" s="6" t="s">
        <v>554</v>
      </c>
      <c r="B168" s="6" t="s">
        <v>1615</v>
      </c>
    </row>
    <row r="169" ht="95.25" customHeight="1" spans="1:2">
      <c r="A169" s="6" t="s">
        <v>557</v>
      </c>
      <c r="B169" s="6" t="s">
        <v>1616</v>
      </c>
    </row>
    <row r="170" ht="95.25" customHeight="1" spans="1:2">
      <c r="A170" s="6" t="s">
        <v>560</v>
      </c>
      <c r="B170" s="6" t="s">
        <v>1617</v>
      </c>
    </row>
    <row r="171" ht="68.25" customHeight="1" spans="1:2">
      <c r="A171" s="6" t="s">
        <v>563</v>
      </c>
      <c r="B171" s="6" t="s">
        <v>1618</v>
      </c>
    </row>
    <row r="172" ht="108.75" customHeight="1" spans="1:2">
      <c r="A172" s="6" t="s">
        <v>566</v>
      </c>
      <c r="B172" s="6" t="s">
        <v>1619</v>
      </c>
    </row>
    <row r="173" ht="95.25" customHeight="1" spans="1:2">
      <c r="A173" s="6" t="s">
        <v>569</v>
      </c>
      <c r="B173" s="6" t="s">
        <v>1620</v>
      </c>
    </row>
    <row r="174" ht="108.75" customHeight="1" spans="1:2">
      <c r="A174" s="6" t="s">
        <v>572</v>
      </c>
      <c r="B174" s="6" t="s">
        <v>1621</v>
      </c>
    </row>
    <row r="175" ht="68.25" customHeight="1" spans="1:2">
      <c r="A175" s="6" t="s">
        <v>575</v>
      </c>
      <c r="B175" s="6" t="s">
        <v>1622</v>
      </c>
    </row>
    <row r="176" ht="95.25" customHeight="1" spans="1:2">
      <c r="A176" s="6" t="s">
        <v>578</v>
      </c>
      <c r="B176" s="6" t="s">
        <v>1623</v>
      </c>
    </row>
    <row r="177" ht="95.25" customHeight="1" spans="1:2">
      <c r="A177" s="6" t="s">
        <v>581</v>
      </c>
      <c r="B177" s="6" t="s">
        <v>1624</v>
      </c>
    </row>
    <row r="178" ht="81.75" customHeight="1" spans="1:2">
      <c r="A178" s="6" t="s">
        <v>584</v>
      </c>
      <c r="B178" s="6" t="s">
        <v>1625</v>
      </c>
    </row>
    <row r="179" ht="68.25" customHeight="1" spans="1:2">
      <c r="A179" s="6" t="s">
        <v>587</v>
      </c>
      <c r="B179" s="6" t="s">
        <v>1626</v>
      </c>
    </row>
    <row r="180" ht="95.25" customHeight="1" spans="1:2">
      <c r="A180" s="6" t="s">
        <v>590</v>
      </c>
      <c r="B180" s="6" t="s">
        <v>1627</v>
      </c>
    </row>
    <row r="181" ht="81.75" customHeight="1" spans="1:2">
      <c r="A181" s="6" t="s">
        <v>593</v>
      </c>
      <c r="B181" s="6" t="s">
        <v>1628</v>
      </c>
    </row>
    <row r="182" ht="95.25" customHeight="1" spans="1:2">
      <c r="A182" s="6" t="s">
        <v>596</v>
      </c>
      <c r="B182" s="6" t="s">
        <v>1629</v>
      </c>
    </row>
    <row r="183" ht="81.75" customHeight="1" spans="1:2">
      <c r="A183" s="6" t="s">
        <v>599</v>
      </c>
      <c r="B183" s="6" t="s">
        <v>1630</v>
      </c>
    </row>
    <row r="184" ht="41.25" customHeight="1" spans="1:2">
      <c r="A184" s="6" t="s">
        <v>602</v>
      </c>
      <c r="B184" s="6" t="s">
        <v>1631</v>
      </c>
    </row>
    <row r="185" ht="41.25" customHeight="1" spans="1:2">
      <c r="A185" s="6" t="s">
        <v>605</v>
      </c>
      <c r="B185" s="6" t="s">
        <v>1632</v>
      </c>
    </row>
    <row r="186" ht="108.75" customHeight="1" spans="1:2">
      <c r="A186" s="7" t="s">
        <v>608</v>
      </c>
      <c r="B186" s="7" t="s">
        <v>1633</v>
      </c>
    </row>
    <row r="187" ht="108.75" customHeight="1" spans="1:2">
      <c r="A187" s="7" t="s">
        <v>611</v>
      </c>
      <c r="B187" s="7" t="s">
        <v>1634</v>
      </c>
    </row>
    <row r="188" ht="41.25" customHeight="1" spans="1:2">
      <c r="A188" s="7" t="s">
        <v>614</v>
      </c>
      <c r="B188" s="7" t="s">
        <v>1635</v>
      </c>
    </row>
    <row r="189" ht="54.75" customHeight="1" spans="1:2">
      <c r="A189" s="7" t="s">
        <v>617</v>
      </c>
      <c r="B189" s="7" t="s">
        <v>1636</v>
      </c>
    </row>
    <row r="190" ht="149.25" customHeight="1" spans="1:2">
      <c r="A190" s="7" t="s">
        <v>620</v>
      </c>
      <c r="B190" s="7" t="s">
        <v>1637</v>
      </c>
    </row>
    <row r="191" ht="68.25" customHeight="1" spans="1:2">
      <c r="A191" s="7" t="s">
        <v>623</v>
      </c>
      <c r="B191" s="7" t="s">
        <v>1638</v>
      </c>
    </row>
    <row r="192" ht="27.75" customHeight="1" spans="1:2">
      <c r="A192" s="7" t="s">
        <v>626</v>
      </c>
      <c r="B192" s="7" t="s">
        <v>1639</v>
      </c>
    </row>
    <row r="193" ht="41.25" customHeight="1" spans="1:2">
      <c r="A193" s="7" t="s">
        <v>629</v>
      </c>
      <c r="B193" s="7" t="s">
        <v>1640</v>
      </c>
    </row>
    <row r="194" ht="135.75" customHeight="1" spans="1:2">
      <c r="A194" s="7" t="s">
        <v>632</v>
      </c>
      <c r="B194" s="7" t="s">
        <v>1641</v>
      </c>
    </row>
    <row r="195" ht="135.75" customHeight="1" spans="1:2">
      <c r="A195" s="7" t="s">
        <v>635</v>
      </c>
      <c r="B195" s="7" t="s">
        <v>1642</v>
      </c>
    </row>
    <row r="196" ht="68.25" customHeight="1" spans="1:2">
      <c r="A196" s="7" t="s">
        <v>638</v>
      </c>
      <c r="B196" s="7" t="s">
        <v>1643</v>
      </c>
    </row>
    <row r="197" ht="81.75" customHeight="1" spans="1:2">
      <c r="A197" s="7" t="s">
        <v>641</v>
      </c>
      <c r="B197" s="7" t="s">
        <v>1644</v>
      </c>
    </row>
    <row r="198" ht="81.75" customHeight="1" spans="1:2">
      <c r="A198" s="7" t="s">
        <v>644</v>
      </c>
      <c r="B198" s="7" t="s">
        <v>1645</v>
      </c>
    </row>
    <row r="199" ht="81.75" customHeight="1" spans="1:2">
      <c r="A199" s="7" t="s">
        <v>647</v>
      </c>
      <c r="B199" s="7" t="s">
        <v>1646</v>
      </c>
    </row>
    <row r="200" ht="162.75" customHeight="1" spans="1:2">
      <c r="A200" s="7" t="s">
        <v>650</v>
      </c>
      <c r="B200" s="7" t="s">
        <v>1647</v>
      </c>
    </row>
    <row r="201" ht="41.25" customHeight="1" spans="1:2">
      <c r="A201" s="7" t="s">
        <v>653</v>
      </c>
      <c r="B201" s="7" t="s">
        <v>1648</v>
      </c>
    </row>
    <row r="202" ht="162.75" customHeight="1" spans="1:2">
      <c r="A202" s="7" t="s">
        <v>656</v>
      </c>
      <c r="B202" s="7" t="s">
        <v>1649</v>
      </c>
    </row>
    <row r="203" ht="81.75" customHeight="1" spans="1:2">
      <c r="A203" s="7" t="s">
        <v>659</v>
      </c>
      <c r="B203" s="7" t="s">
        <v>1650</v>
      </c>
    </row>
    <row r="204" ht="54.75" customHeight="1" spans="1:2">
      <c r="A204" s="7" t="s">
        <v>662</v>
      </c>
      <c r="B204" s="7" t="s">
        <v>1651</v>
      </c>
    </row>
    <row r="205" ht="216.75" customHeight="1" spans="1:2">
      <c r="A205" s="7" t="s">
        <v>665</v>
      </c>
      <c r="B205" s="7" t="s">
        <v>1652</v>
      </c>
    </row>
    <row r="206" ht="81.75" customHeight="1" spans="1:2">
      <c r="A206" s="7" t="s">
        <v>668</v>
      </c>
      <c r="B206" s="7" t="s">
        <v>1653</v>
      </c>
    </row>
    <row r="207" ht="54.75" customHeight="1" spans="1:2">
      <c r="A207" s="7" t="s">
        <v>671</v>
      </c>
      <c r="B207" s="7" t="s">
        <v>1654</v>
      </c>
    </row>
    <row r="208" ht="135.75" customHeight="1" spans="1:2">
      <c r="A208" s="7" t="s">
        <v>674</v>
      </c>
      <c r="B208" s="7" t="s">
        <v>1655</v>
      </c>
    </row>
    <row r="209" ht="122.25" customHeight="1" spans="1:2">
      <c r="A209" s="7" t="s">
        <v>677</v>
      </c>
      <c r="B209" s="7" t="s">
        <v>1656</v>
      </c>
    </row>
    <row r="210" ht="176.25" customHeight="1" spans="1:2">
      <c r="A210" s="7" t="s">
        <v>680</v>
      </c>
      <c r="B210" s="7" t="s">
        <v>1657</v>
      </c>
    </row>
    <row r="211" ht="68.25" customHeight="1" spans="1:2">
      <c r="A211" s="7" t="s">
        <v>683</v>
      </c>
      <c r="B211" s="7" t="s">
        <v>1658</v>
      </c>
    </row>
    <row r="212" ht="81.75" customHeight="1" spans="1:2">
      <c r="A212" s="7" t="s">
        <v>686</v>
      </c>
      <c r="B212" s="7" t="s">
        <v>1659</v>
      </c>
    </row>
    <row r="213" customHeight="1" spans="1:2">
      <c r="A213" s="7" t="s">
        <v>689</v>
      </c>
      <c r="B213" s="7" t="s">
        <v>239</v>
      </c>
    </row>
    <row r="214" ht="315" customHeight="1" spans="1:2">
      <c r="A214" s="7" t="s">
        <v>692</v>
      </c>
      <c r="B214" s="7" t="s">
        <v>1660</v>
      </c>
    </row>
    <row r="215" ht="68.25" customHeight="1" spans="1:2">
      <c r="A215" s="7" t="s">
        <v>695</v>
      </c>
      <c r="B215" s="7" t="s">
        <v>1661</v>
      </c>
    </row>
  </sheetData>
  <autoFilter xmlns:etc="http://www.wps.cn/officeDocument/2017/etCustomData" ref="A1:XFD1048576" etc:filterBottomFollowUsedRange="0">
    <extLst/>
  </autoFilter>
  <conditionalFormatting sqref="A1">
    <cfRule type="duplicateValues" dxfId="1" priority="51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33"/>
  <sheetViews>
    <sheetView workbookViewId="0">
      <selection activeCell="A1" sqref="A1"/>
    </sheetView>
  </sheetViews>
  <sheetFormatPr defaultColWidth="10" defaultRowHeight="16.5" customHeight="1"/>
  <sheetData>
    <row r="1" customHeight="1" spans="1:30">
      <c r="A1" s="1" t="s">
        <v>1662</v>
      </c>
      <c r="B1" s="1" t="s">
        <v>1663</v>
      </c>
      <c r="C1" s="1" t="s">
        <v>1664</v>
      </c>
      <c r="D1" s="1" t="s">
        <v>1665</v>
      </c>
      <c r="E1" s="1" t="s">
        <v>1666</v>
      </c>
      <c r="F1" s="1" t="s">
        <v>1667</v>
      </c>
      <c r="G1" s="1" t="s">
        <v>1434</v>
      </c>
      <c r="H1" s="1" t="s">
        <v>1668</v>
      </c>
      <c r="I1" s="1" t="s">
        <v>1669</v>
      </c>
      <c r="J1" s="1" t="s">
        <v>1670</v>
      </c>
      <c r="K1" s="1" t="s">
        <v>1671</v>
      </c>
      <c r="L1" s="1" t="s">
        <v>700</v>
      </c>
      <c r="M1" s="1" t="s">
        <v>1672</v>
      </c>
      <c r="N1" s="1" t="s">
        <v>1673</v>
      </c>
      <c r="O1" s="1" t="s">
        <v>1674</v>
      </c>
      <c r="P1" s="1" t="s">
        <v>1675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1683</v>
      </c>
      <c r="Y1" s="1" t="s">
        <v>1684</v>
      </c>
      <c r="Z1" s="1" t="s">
        <v>1685</v>
      </c>
      <c r="AA1" s="1" t="s">
        <v>1686</v>
      </c>
      <c r="AB1" s="1" t="s">
        <v>1687</v>
      </c>
      <c r="AC1" s="1" t="s">
        <v>1688</v>
      </c>
      <c r="AD1" s="1" t="s">
        <v>1689</v>
      </c>
    </row>
    <row r="2" customHeight="1" spans="1:30">
      <c r="A2" s="2" t="s">
        <v>1251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>
        <v>1287</v>
      </c>
      <c r="Q2" s="3">
        <v>1029</v>
      </c>
      <c r="R2" s="3">
        <v>1</v>
      </c>
      <c r="S2" s="3">
        <v>391</v>
      </c>
      <c r="T2" s="3">
        <v>682</v>
      </c>
      <c r="U2" s="3">
        <v>0</v>
      </c>
      <c r="V2" s="3">
        <v>1969</v>
      </c>
      <c r="W2" s="3">
        <v>142640.93</v>
      </c>
      <c r="X2" s="3"/>
      <c r="Y2" s="2"/>
      <c r="Z2" s="2"/>
      <c r="AA2" s="2"/>
      <c r="AB2" s="2"/>
      <c r="AC2" s="2"/>
      <c r="AD2" s="3"/>
    </row>
    <row r="3" customHeight="1" spans="1:30">
      <c r="A3" s="4">
        <v>46311</v>
      </c>
      <c r="B3" s="2" t="s">
        <v>1690</v>
      </c>
      <c r="C3" s="2" t="s">
        <v>43</v>
      </c>
      <c r="D3" s="2" t="s">
        <v>1691</v>
      </c>
      <c r="E3" s="2" t="s">
        <v>1690</v>
      </c>
      <c r="F3" s="2" t="s">
        <v>1692</v>
      </c>
      <c r="G3" s="2" t="s">
        <v>1454</v>
      </c>
      <c r="H3" s="2"/>
      <c r="I3" s="2"/>
      <c r="J3" s="2" t="s">
        <v>44</v>
      </c>
      <c r="K3" s="2" t="s">
        <v>177</v>
      </c>
      <c r="L3" s="2" t="s">
        <v>176</v>
      </c>
      <c r="M3" s="2" t="s">
        <v>175</v>
      </c>
      <c r="N3" s="2" t="s">
        <v>1693</v>
      </c>
      <c r="O3" s="2" t="s">
        <v>43</v>
      </c>
      <c r="P3" s="3">
        <v>6</v>
      </c>
      <c r="Q3" s="3">
        <v>1</v>
      </c>
      <c r="R3" s="3">
        <v>0</v>
      </c>
      <c r="S3" s="3">
        <v>0</v>
      </c>
      <c r="T3" s="3">
        <v>7</v>
      </c>
      <c r="U3" s="3">
        <v>0</v>
      </c>
      <c r="V3" s="3">
        <v>13</v>
      </c>
      <c r="W3" s="3">
        <v>866.06</v>
      </c>
      <c r="X3" s="3">
        <v>66.62</v>
      </c>
      <c r="Y3" s="2" t="s">
        <v>1694</v>
      </c>
      <c r="Z3" s="2" t="s">
        <v>1454</v>
      </c>
      <c r="AA3" s="2" t="s">
        <v>1695</v>
      </c>
      <c r="AB3" s="2" t="s">
        <v>1691</v>
      </c>
      <c r="AC3" s="2" t="s">
        <v>1696</v>
      </c>
      <c r="AD3" s="3">
        <v>1</v>
      </c>
    </row>
    <row r="4" customHeight="1" spans="1:30">
      <c r="A4" s="4">
        <v>46311</v>
      </c>
      <c r="B4" s="2" t="s">
        <v>1690</v>
      </c>
      <c r="C4" s="2" t="s">
        <v>43</v>
      </c>
      <c r="D4" s="2" t="s">
        <v>1691</v>
      </c>
      <c r="E4" s="2" t="s">
        <v>1690</v>
      </c>
      <c r="F4" s="2" t="s">
        <v>1692</v>
      </c>
      <c r="G4" s="2" t="s">
        <v>1454</v>
      </c>
      <c r="H4" s="2"/>
      <c r="I4" s="2"/>
      <c r="J4" s="2" t="s">
        <v>44</v>
      </c>
      <c r="K4" s="2" t="s">
        <v>321</v>
      </c>
      <c r="L4" s="2" t="s">
        <v>320</v>
      </c>
      <c r="M4" s="2" t="s">
        <v>319</v>
      </c>
      <c r="N4" s="2" t="s">
        <v>1697</v>
      </c>
      <c r="O4" s="2" t="s">
        <v>43</v>
      </c>
      <c r="P4" s="3">
        <v>9</v>
      </c>
      <c r="Q4" s="3">
        <v>9</v>
      </c>
      <c r="R4" s="3">
        <v>0</v>
      </c>
      <c r="S4" s="3">
        <v>0</v>
      </c>
      <c r="T4" s="3">
        <v>0</v>
      </c>
      <c r="U4" s="3">
        <v>0</v>
      </c>
      <c r="V4" s="3">
        <v>9</v>
      </c>
      <c r="W4" s="3">
        <v>350.91</v>
      </c>
      <c r="X4" s="3">
        <v>38.99</v>
      </c>
      <c r="Y4" s="2" t="s">
        <v>1694</v>
      </c>
      <c r="Z4" s="2" t="s">
        <v>1454</v>
      </c>
      <c r="AA4" s="2" t="s">
        <v>1695</v>
      </c>
      <c r="AB4" s="2" t="s">
        <v>1691</v>
      </c>
      <c r="AC4" s="2" t="s">
        <v>1696</v>
      </c>
      <c r="AD4" s="3">
        <v>1</v>
      </c>
    </row>
    <row r="5" customHeight="1" spans="1:30">
      <c r="A5" s="4">
        <v>46311</v>
      </c>
      <c r="B5" s="2" t="s">
        <v>1690</v>
      </c>
      <c r="C5" s="2" t="s">
        <v>43</v>
      </c>
      <c r="D5" s="2" t="s">
        <v>1691</v>
      </c>
      <c r="E5" s="2" t="s">
        <v>1690</v>
      </c>
      <c r="F5" s="2" t="s">
        <v>1692</v>
      </c>
      <c r="G5" s="2" t="s">
        <v>1454</v>
      </c>
      <c r="H5" s="2"/>
      <c r="I5" s="2"/>
      <c r="J5" s="2" t="s">
        <v>1698</v>
      </c>
      <c r="K5" s="2" t="s">
        <v>1699</v>
      </c>
      <c r="L5" s="2" t="s">
        <v>1700</v>
      </c>
      <c r="M5" s="2" t="s">
        <v>692</v>
      </c>
      <c r="N5" s="2" t="s">
        <v>1701</v>
      </c>
      <c r="O5" s="2" t="s">
        <v>43</v>
      </c>
      <c r="P5" s="3">
        <v>1</v>
      </c>
      <c r="Q5" s="3">
        <v>1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231.86</v>
      </c>
      <c r="X5" s="3">
        <v>231.86</v>
      </c>
      <c r="Y5" s="2" t="s">
        <v>1694</v>
      </c>
      <c r="Z5" s="2" t="s">
        <v>1454</v>
      </c>
      <c r="AA5" s="2" t="s">
        <v>1695</v>
      </c>
      <c r="AB5" s="2" t="s">
        <v>1691</v>
      </c>
      <c r="AC5" s="2" t="s">
        <v>1696</v>
      </c>
      <c r="AD5" s="3">
        <v>1</v>
      </c>
    </row>
    <row r="6" customHeight="1" spans="1:30">
      <c r="A6" s="4">
        <v>46311</v>
      </c>
      <c r="B6" s="2" t="s">
        <v>1690</v>
      </c>
      <c r="C6" s="2" t="s">
        <v>43</v>
      </c>
      <c r="D6" s="2" t="s">
        <v>1691</v>
      </c>
      <c r="E6" s="2" t="s">
        <v>1690</v>
      </c>
      <c r="F6" s="2" t="s">
        <v>1692</v>
      </c>
      <c r="G6" s="2" t="s">
        <v>1454</v>
      </c>
      <c r="H6" s="2"/>
      <c r="I6" s="2"/>
      <c r="J6" s="2" t="s">
        <v>44</v>
      </c>
      <c r="K6" s="2" t="s">
        <v>204</v>
      </c>
      <c r="L6" s="2" t="s">
        <v>203</v>
      </c>
      <c r="M6" s="2" t="s">
        <v>202</v>
      </c>
      <c r="N6" s="2" t="s">
        <v>1702</v>
      </c>
      <c r="O6" s="2" t="s">
        <v>43</v>
      </c>
      <c r="P6" s="3">
        <v>23</v>
      </c>
      <c r="Q6" s="3">
        <v>3</v>
      </c>
      <c r="R6" s="3">
        <v>0</v>
      </c>
      <c r="S6" s="3">
        <v>20</v>
      </c>
      <c r="T6" s="3">
        <v>20</v>
      </c>
      <c r="U6" s="3">
        <v>0</v>
      </c>
      <c r="V6" s="3">
        <v>43</v>
      </c>
      <c r="W6" s="3">
        <v>1712.26</v>
      </c>
      <c r="X6" s="3">
        <v>39.82</v>
      </c>
      <c r="Y6" s="2" t="s">
        <v>1694</v>
      </c>
      <c r="Z6" s="2" t="s">
        <v>1454</v>
      </c>
      <c r="AA6" s="2" t="s">
        <v>1695</v>
      </c>
      <c r="AB6" s="2" t="s">
        <v>1691</v>
      </c>
      <c r="AC6" s="2" t="s">
        <v>1696</v>
      </c>
      <c r="AD6" s="3">
        <v>1</v>
      </c>
    </row>
    <row r="7" customHeight="1" spans="1:30">
      <c r="A7" s="4">
        <v>46311</v>
      </c>
      <c r="B7" s="2" t="s">
        <v>1690</v>
      </c>
      <c r="C7" s="2" t="s">
        <v>43</v>
      </c>
      <c r="D7" s="2" t="s">
        <v>1691</v>
      </c>
      <c r="E7" s="2" t="s">
        <v>1690</v>
      </c>
      <c r="F7" s="2" t="s">
        <v>1692</v>
      </c>
      <c r="G7" s="2" t="s">
        <v>1454</v>
      </c>
      <c r="H7" s="2"/>
      <c r="I7" s="2"/>
      <c r="J7" s="2" t="s">
        <v>55</v>
      </c>
      <c r="K7" s="2" t="s">
        <v>1703</v>
      </c>
      <c r="L7" s="2" t="s">
        <v>1704</v>
      </c>
      <c r="M7" s="2" t="s">
        <v>70</v>
      </c>
      <c r="N7" s="2" t="s">
        <v>1705</v>
      </c>
      <c r="O7" s="2" t="s">
        <v>43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1</v>
      </c>
      <c r="W7" s="3">
        <v>53.98</v>
      </c>
      <c r="X7" s="3">
        <v>53.98</v>
      </c>
      <c r="Y7" s="2" t="s">
        <v>1694</v>
      </c>
      <c r="Z7" s="2" t="s">
        <v>1454</v>
      </c>
      <c r="AA7" s="2" t="s">
        <v>1695</v>
      </c>
      <c r="AB7" s="2" t="s">
        <v>1691</v>
      </c>
      <c r="AC7" s="2" t="s">
        <v>1696</v>
      </c>
      <c r="AD7" s="3">
        <v>1</v>
      </c>
    </row>
    <row r="8" customHeight="1" spans="1:30">
      <c r="A8" s="4">
        <v>46311</v>
      </c>
      <c r="B8" s="2" t="s">
        <v>1690</v>
      </c>
      <c r="C8" s="2" t="s">
        <v>43</v>
      </c>
      <c r="D8" s="2" t="s">
        <v>1691</v>
      </c>
      <c r="E8" s="2" t="s">
        <v>1690</v>
      </c>
      <c r="F8" s="2" t="s">
        <v>1692</v>
      </c>
      <c r="G8" s="2" t="s">
        <v>1454</v>
      </c>
      <c r="H8" s="2"/>
      <c r="I8" s="2"/>
      <c r="J8" s="2" t="s">
        <v>44</v>
      </c>
      <c r="K8" s="2" t="s">
        <v>1706</v>
      </c>
      <c r="L8" s="2" t="s">
        <v>1707</v>
      </c>
      <c r="M8" s="2" t="s">
        <v>82</v>
      </c>
      <c r="N8" s="2" t="s">
        <v>1708</v>
      </c>
      <c r="O8" s="2" t="s">
        <v>43</v>
      </c>
      <c r="P8" s="3">
        <v>3</v>
      </c>
      <c r="Q8" s="3">
        <v>3</v>
      </c>
      <c r="R8" s="3">
        <v>0</v>
      </c>
      <c r="S8" s="3">
        <v>0</v>
      </c>
      <c r="T8" s="3">
        <v>0</v>
      </c>
      <c r="U8" s="3">
        <v>0</v>
      </c>
      <c r="V8" s="3">
        <v>3</v>
      </c>
      <c r="W8" s="3">
        <v>241.77</v>
      </c>
      <c r="X8" s="3">
        <v>80.59</v>
      </c>
      <c r="Y8" s="2" t="s">
        <v>1694</v>
      </c>
      <c r="Z8" s="2" t="s">
        <v>1454</v>
      </c>
      <c r="AA8" s="2" t="s">
        <v>1695</v>
      </c>
      <c r="AB8" s="2" t="s">
        <v>1691</v>
      </c>
      <c r="AC8" s="2" t="s">
        <v>1696</v>
      </c>
      <c r="AD8" s="3">
        <v>1</v>
      </c>
    </row>
    <row r="9" customHeight="1" spans="1:30">
      <c r="A9" s="4">
        <v>46311</v>
      </c>
      <c r="B9" s="2" t="s">
        <v>1690</v>
      </c>
      <c r="C9" s="2" t="s">
        <v>43</v>
      </c>
      <c r="D9" s="2" t="s">
        <v>1691</v>
      </c>
      <c r="E9" s="2" t="s">
        <v>1690</v>
      </c>
      <c r="F9" s="2" t="s">
        <v>1692</v>
      </c>
      <c r="G9" s="2" t="s">
        <v>1454</v>
      </c>
      <c r="H9" s="2"/>
      <c r="I9" s="2"/>
      <c r="J9" s="2" t="s">
        <v>343</v>
      </c>
      <c r="K9" s="2" t="s">
        <v>424</v>
      </c>
      <c r="L9" s="2" t="s">
        <v>423</v>
      </c>
      <c r="M9" s="2" t="s">
        <v>422</v>
      </c>
      <c r="N9" s="2" t="s">
        <v>1709</v>
      </c>
      <c r="O9" s="2" t="s">
        <v>43</v>
      </c>
      <c r="P9" s="3">
        <v>0</v>
      </c>
      <c r="Q9" s="3">
        <v>0</v>
      </c>
      <c r="R9" s="3">
        <v>0</v>
      </c>
      <c r="S9" s="3">
        <v>6</v>
      </c>
      <c r="T9" s="3">
        <v>6</v>
      </c>
      <c r="U9" s="3">
        <v>0</v>
      </c>
      <c r="V9" s="3">
        <v>6</v>
      </c>
      <c r="W9" s="3">
        <v>235.14</v>
      </c>
      <c r="X9" s="3">
        <v>39.19</v>
      </c>
      <c r="Y9" s="2" t="s">
        <v>1710</v>
      </c>
      <c r="Z9" s="2" t="s">
        <v>1454</v>
      </c>
      <c r="AA9" s="2" t="s">
        <v>1695</v>
      </c>
      <c r="AB9" s="2" t="s">
        <v>1691</v>
      </c>
      <c r="AC9" s="2" t="s">
        <v>1696</v>
      </c>
      <c r="AD9" s="3">
        <v>1</v>
      </c>
    </row>
    <row r="10" customHeight="1" spans="1:30">
      <c r="A10" s="4">
        <v>46311</v>
      </c>
      <c r="B10" s="2" t="s">
        <v>1690</v>
      </c>
      <c r="C10" s="2" t="s">
        <v>43</v>
      </c>
      <c r="D10" s="2" t="s">
        <v>1691</v>
      </c>
      <c r="E10" s="2" t="s">
        <v>1690</v>
      </c>
      <c r="F10" s="2" t="s">
        <v>1692</v>
      </c>
      <c r="G10" s="2" t="s">
        <v>1454</v>
      </c>
      <c r="H10" s="2"/>
      <c r="I10" s="2"/>
      <c r="J10" s="2" t="s">
        <v>44</v>
      </c>
      <c r="K10" s="2" t="s">
        <v>257</v>
      </c>
      <c r="L10" s="2" t="s">
        <v>256</v>
      </c>
      <c r="M10" s="2" t="s">
        <v>255</v>
      </c>
      <c r="N10" s="2" t="s">
        <v>1711</v>
      </c>
      <c r="O10" s="2" t="s">
        <v>43</v>
      </c>
      <c r="P10" s="3">
        <v>2</v>
      </c>
      <c r="Q10" s="3">
        <v>2</v>
      </c>
      <c r="R10" s="3">
        <v>0</v>
      </c>
      <c r="S10" s="3">
        <v>0</v>
      </c>
      <c r="T10" s="3">
        <v>0</v>
      </c>
      <c r="U10" s="3">
        <v>0</v>
      </c>
      <c r="V10" s="3">
        <v>2</v>
      </c>
      <c r="W10" s="3">
        <v>103.54</v>
      </c>
      <c r="X10" s="3">
        <v>51.77</v>
      </c>
      <c r="Y10" s="2" t="s">
        <v>1694</v>
      </c>
      <c r="Z10" s="2" t="s">
        <v>1454</v>
      </c>
      <c r="AA10" s="2" t="s">
        <v>1695</v>
      </c>
      <c r="AB10" s="2" t="s">
        <v>1691</v>
      </c>
      <c r="AC10" s="2" t="s">
        <v>1696</v>
      </c>
      <c r="AD10" s="3">
        <v>1</v>
      </c>
    </row>
    <row r="11" customHeight="1" spans="1:30">
      <c r="A11" s="4">
        <v>46311</v>
      </c>
      <c r="B11" s="2" t="s">
        <v>1690</v>
      </c>
      <c r="C11" s="2" t="s">
        <v>43</v>
      </c>
      <c r="D11" s="2" t="s">
        <v>1691</v>
      </c>
      <c r="E11" s="2" t="s">
        <v>1690</v>
      </c>
      <c r="F11" s="2" t="s">
        <v>1692</v>
      </c>
      <c r="G11" s="2" t="s">
        <v>1454</v>
      </c>
      <c r="H11" s="2"/>
      <c r="I11" s="2"/>
      <c r="J11" s="2" t="s">
        <v>44</v>
      </c>
      <c r="K11" s="2" t="s">
        <v>75</v>
      </c>
      <c r="L11" s="2" t="s">
        <v>74</v>
      </c>
      <c r="M11" s="2" t="s">
        <v>73</v>
      </c>
      <c r="N11" s="2" t="s">
        <v>1712</v>
      </c>
      <c r="O11" s="2" t="s">
        <v>43</v>
      </c>
      <c r="P11" s="3">
        <v>19</v>
      </c>
      <c r="Q11" s="3">
        <v>19</v>
      </c>
      <c r="R11" s="3">
        <v>0</v>
      </c>
      <c r="S11" s="3">
        <v>0</v>
      </c>
      <c r="T11" s="3">
        <v>0</v>
      </c>
      <c r="U11" s="3">
        <v>0</v>
      </c>
      <c r="V11" s="3">
        <v>19</v>
      </c>
      <c r="W11" s="3">
        <v>1950.73</v>
      </c>
      <c r="X11" s="3">
        <v>102.67</v>
      </c>
      <c r="Y11" s="2" t="s">
        <v>1694</v>
      </c>
      <c r="Z11" s="2" t="s">
        <v>1454</v>
      </c>
      <c r="AA11" s="2" t="s">
        <v>1695</v>
      </c>
      <c r="AB11" s="2" t="s">
        <v>1691</v>
      </c>
      <c r="AC11" s="2" t="s">
        <v>1696</v>
      </c>
      <c r="AD11" s="3">
        <v>1</v>
      </c>
    </row>
    <row r="12" customHeight="1" spans="1:30">
      <c r="A12" s="4">
        <v>46311</v>
      </c>
      <c r="B12" s="2" t="s">
        <v>1690</v>
      </c>
      <c r="C12" s="2" t="s">
        <v>43</v>
      </c>
      <c r="D12" s="2" t="s">
        <v>1691</v>
      </c>
      <c r="E12" s="2" t="s">
        <v>1690</v>
      </c>
      <c r="F12" s="2" t="s">
        <v>1692</v>
      </c>
      <c r="G12" s="2" t="s">
        <v>1454</v>
      </c>
      <c r="H12" s="2"/>
      <c r="I12" s="2"/>
      <c r="J12" s="2" t="s">
        <v>44</v>
      </c>
      <c r="K12" s="2" t="s">
        <v>336</v>
      </c>
      <c r="L12" s="2" t="s">
        <v>335</v>
      </c>
      <c r="M12" s="2" t="s">
        <v>334</v>
      </c>
      <c r="N12" s="2" t="s">
        <v>1713</v>
      </c>
      <c r="O12" s="2" t="s">
        <v>43</v>
      </c>
      <c r="P12" s="3">
        <v>12</v>
      </c>
      <c r="Q12" s="3">
        <v>3</v>
      </c>
      <c r="R12" s="3">
        <v>0</v>
      </c>
      <c r="S12" s="3">
        <v>3</v>
      </c>
      <c r="T12" s="3">
        <v>6</v>
      </c>
      <c r="U12" s="3">
        <v>0</v>
      </c>
      <c r="V12" s="3">
        <v>18</v>
      </c>
      <c r="W12" s="3">
        <v>2813.22</v>
      </c>
      <c r="X12" s="3">
        <v>156.29</v>
      </c>
      <c r="Y12" s="2" t="s">
        <v>1714</v>
      </c>
      <c r="Z12" s="2" t="s">
        <v>1454</v>
      </c>
      <c r="AA12" s="2" t="s">
        <v>1695</v>
      </c>
      <c r="AB12" s="2" t="s">
        <v>1691</v>
      </c>
      <c r="AC12" s="2" t="s">
        <v>1696</v>
      </c>
      <c r="AD12" s="3">
        <v>1</v>
      </c>
    </row>
    <row r="13" customHeight="1" spans="1:30">
      <c r="A13" s="4">
        <v>46311</v>
      </c>
      <c r="B13" s="2" t="s">
        <v>1690</v>
      </c>
      <c r="C13" s="2" t="s">
        <v>43</v>
      </c>
      <c r="D13" s="2" t="s">
        <v>1691</v>
      </c>
      <c r="E13" s="2" t="s">
        <v>1690</v>
      </c>
      <c r="F13" s="2" t="s">
        <v>1692</v>
      </c>
      <c r="G13" s="2" t="s">
        <v>1454</v>
      </c>
      <c r="H13" s="2"/>
      <c r="I13" s="2"/>
      <c r="J13" s="2" t="s">
        <v>55</v>
      </c>
      <c r="K13" s="2" t="s">
        <v>281</v>
      </c>
      <c r="L13" s="2" t="s">
        <v>280</v>
      </c>
      <c r="M13" s="2" t="s">
        <v>279</v>
      </c>
      <c r="N13" s="2" t="s">
        <v>1715</v>
      </c>
      <c r="O13" s="2" t="s">
        <v>43</v>
      </c>
      <c r="P13" s="3">
        <v>14</v>
      </c>
      <c r="Q13" s="3">
        <v>14</v>
      </c>
      <c r="R13" s="3">
        <v>0</v>
      </c>
      <c r="S13" s="3">
        <v>0</v>
      </c>
      <c r="T13" s="3">
        <v>0</v>
      </c>
      <c r="U13" s="3">
        <v>0</v>
      </c>
      <c r="V13" s="3">
        <v>14</v>
      </c>
      <c r="W13" s="3">
        <v>596.12</v>
      </c>
      <c r="X13" s="3">
        <v>42.58</v>
      </c>
      <c r="Y13" s="2" t="s">
        <v>1694</v>
      </c>
      <c r="Z13" s="2" t="s">
        <v>1454</v>
      </c>
      <c r="AA13" s="2" t="s">
        <v>1695</v>
      </c>
      <c r="AB13" s="2" t="s">
        <v>1691</v>
      </c>
      <c r="AC13" s="2" t="s">
        <v>1696</v>
      </c>
      <c r="AD13" s="3">
        <v>1</v>
      </c>
    </row>
    <row r="14" customHeight="1" spans="1:30">
      <c r="A14" s="4">
        <v>46311</v>
      </c>
      <c r="B14" s="2" t="s">
        <v>1690</v>
      </c>
      <c r="C14" s="2" t="s">
        <v>43</v>
      </c>
      <c r="D14" s="2" t="s">
        <v>1691</v>
      </c>
      <c r="E14" s="2" t="s">
        <v>1690</v>
      </c>
      <c r="F14" s="2" t="s">
        <v>1692</v>
      </c>
      <c r="G14" s="2" t="s">
        <v>1454</v>
      </c>
      <c r="H14" s="2"/>
      <c r="I14" s="2"/>
      <c r="J14" s="2" t="s">
        <v>44</v>
      </c>
      <c r="K14" s="2" t="s">
        <v>135</v>
      </c>
      <c r="L14" s="2" t="s">
        <v>134</v>
      </c>
      <c r="M14" s="2" t="s">
        <v>133</v>
      </c>
      <c r="N14" s="2" t="s">
        <v>1716</v>
      </c>
      <c r="O14" s="2" t="s">
        <v>43</v>
      </c>
      <c r="P14" s="3">
        <v>5</v>
      </c>
      <c r="Q14" s="3">
        <v>1</v>
      </c>
      <c r="R14" s="3">
        <v>0</v>
      </c>
      <c r="S14" s="3">
        <v>0</v>
      </c>
      <c r="T14" s="3">
        <v>0</v>
      </c>
      <c r="U14" s="3">
        <v>0</v>
      </c>
      <c r="V14" s="3">
        <v>5</v>
      </c>
      <c r="W14" s="3">
        <v>243.6</v>
      </c>
      <c r="X14" s="3">
        <v>48.72</v>
      </c>
      <c r="Y14" s="2" t="s">
        <v>1694</v>
      </c>
      <c r="Z14" s="2" t="s">
        <v>1454</v>
      </c>
      <c r="AA14" s="2" t="s">
        <v>1695</v>
      </c>
      <c r="AB14" s="2" t="s">
        <v>1691</v>
      </c>
      <c r="AC14" s="2" t="s">
        <v>1696</v>
      </c>
      <c r="AD14" s="3">
        <v>1</v>
      </c>
    </row>
    <row r="15" customHeight="1" spans="1:30">
      <c r="A15" s="4">
        <v>46311</v>
      </c>
      <c r="B15" s="2" t="s">
        <v>1690</v>
      </c>
      <c r="C15" s="2" t="s">
        <v>43</v>
      </c>
      <c r="D15" s="2" t="s">
        <v>1691</v>
      </c>
      <c r="E15" s="2" t="s">
        <v>1690</v>
      </c>
      <c r="F15" s="2" t="s">
        <v>1692</v>
      </c>
      <c r="G15" s="2" t="s">
        <v>1454</v>
      </c>
      <c r="H15" s="2"/>
      <c r="I15" s="2"/>
      <c r="J15" s="2" t="s">
        <v>44</v>
      </c>
      <c r="K15" s="2" t="s">
        <v>207</v>
      </c>
      <c r="L15" s="2" t="s">
        <v>206</v>
      </c>
      <c r="M15" s="2" t="s">
        <v>205</v>
      </c>
      <c r="N15" s="2" t="s">
        <v>1717</v>
      </c>
      <c r="O15" s="2" t="s">
        <v>43</v>
      </c>
      <c r="P15" s="3">
        <v>10</v>
      </c>
      <c r="Q15" s="3">
        <v>9</v>
      </c>
      <c r="R15" s="3">
        <v>0</v>
      </c>
      <c r="S15" s="3">
        <v>0</v>
      </c>
      <c r="T15" s="3">
        <v>0</v>
      </c>
      <c r="U15" s="3">
        <v>0</v>
      </c>
      <c r="V15" s="3">
        <v>10</v>
      </c>
      <c r="W15" s="3">
        <v>377.7</v>
      </c>
      <c r="X15" s="3">
        <v>37.77</v>
      </c>
      <c r="Y15" s="2" t="s">
        <v>1694</v>
      </c>
      <c r="Z15" s="2" t="s">
        <v>1454</v>
      </c>
      <c r="AA15" s="2" t="s">
        <v>1695</v>
      </c>
      <c r="AB15" s="2" t="s">
        <v>1691</v>
      </c>
      <c r="AC15" s="2" t="s">
        <v>1696</v>
      </c>
      <c r="AD15" s="3">
        <v>1</v>
      </c>
    </row>
    <row r="16" customHeight="1" spans="1:30">
      <c r="A16" s="4">
        <v>46311</v>
      </c>
      <c r="B16" s="2" t="s">
        <v>1690</v>
      </c>
      <c r="C16" s="2" t="s">
        <v>43</v>
      </c>
      <c r="D16" s="2" t="s">
        <v>1691</v>
      </c>
      <c r="E16" s="2" t="s">
        <v>1690</v>
      </c>
      <c r="F16" s="2" t="s">
        <v>1692</v>
      </c>
      <c r="G16" s="2" t="s">
        <v>1454</v>
      </c>
      <c r="H16" s="2"/>
      <c r="I16" s="2"/>
      <c r="J16" s="2" t="s">
        <v>55</v>
      </c>
      <c r="K16" s="2" t="s">
        <v>284</v>
      </c>
      <c r="L16" s="2" t="s">
        <v>283</v>
      </c>
      <c r="M16" s="2" t="s">
        <v>282</v>
      </c>
      <c r="N16" s="2" t="s">
        <v>1718</v>
      </c>
      <c r="O16" s="2" t="s">
        <v>43</v>
      </c>
      <c r="P16" s="3">
        <v>3</v>
      </c>
      <c r="Q16" s="3">
        <v>0</v>
      </c>
      <c r="R16" s="3">
        <v>0</v>
      </c>
      <c r="S16" s="3">
        <v>9</v>
      </c>
      <c r="T16" s="3">
        <v>9</v>
      </c>
      <c r="U16" s="3">
        <v>0</v>
      </c>
      <c r="V16" s="3">
        <v>12</v>
      </c>
      <c r="W16" s="3">
        <v>1225.2</v>
      </c>
      <c r="X16" s="3">
        <v>102.1</v>
      </c>
      <c r="Y16" s="2" t="s">
        <v>1694</v>
      </c>
      <c r="Z16" s="2" t="s">
        <v>1454</v>
      </c>
      <c r="AA16" s="2" t="s">
        <v>1695</v>
      </c>
      <c r="AB16" s="2" t="s">
        <v>1691</v>
      </c>
      <c r="AC16" s="2" t="s">
        <v>1696</v>
      </c>
      <c r="AD16" s="3">
        <v>1</v>
      </c>
    </row>
    <row r="17" customHeight="1" spans="1:30">
      <c r="A17" s="4">
        <v>46311</v>
      </c>
      <c r="B17" s="2" t="s">
        <v>1690</v>
      </c>
      <c r="C17" s="2" t="s">
        <v>43</v>
      </c>
      <c r="D17" s="2" t="s">
        <v>1691</v>
      </c>
      <c r="E17" s="2" t="s">
        <v>1690</v>
      </c>
      <c r="F17" s="2" t="s">
        <v>1692</v>
      </c>
      <c r="G17" s="2" t="s">
        <v>1454</v>
      </c>
      <c r="H17" s="2"/>
      <c r="I17" s="2"/>
      <c r="J17" s="2" t="s">
        <v>55</v>
      </c>
      <c r="K17" s="2" t="s">
        <v>1719</v>
      </c>
      <c r="L17" s="2" t="s">
        <v>1720</v>
      </c>
      <c r="M17" s="2" t="s">
        <v>479</v>
      </c>
      <c r="N17" s="2" t="s">
        <v>1721</v>
      </c>
      <c r="O17" s="2" t="s">
        <v>43</v>
      </c>
      <c r="P17" s="3">
        <v>5</v>
      </c>
      <c r="Q17" s="3">
        <v>5</v>
      </c>
      <c r="R17" s="3">
        <v>0</v>
      </c>
      <c r="S17" s="3">
        <v>0</v>
      </c>
      <c r="T17" s="3">
        <v>0</v>
      </c>
      <c r="U17" s="3">
        <v>0</v>
      </c>
      <c r="V17" s="3">
        <v>5</v>
      </c>
      <c r="W17" s="3">
        <v>293.85</v>
      </c>
      <c r="X17" s="3">
        <v>58.77</v>
      </c>
      <c r="Y17" s="2" t="s">
        <v>1694</v>
      </c>
      <c r="Z17" s="2" t="s">
        <v>1454</v>
      </c>
      <c r="AA17" s="2" t="s">
        <v>1695</v>
      </c>
      <c r="AB17" s="2" t="s">
        <v>1691</v>
      </c>
      <c r="AC17" s="2" t="s">
        <v>1696</v>
      </c>
      <c r="AD17" s="3">
        <v>1</v>
      </c>
    </row>
    <row r="18" customHeight="1" spans="1:30">
      <c r="A18" s="4">
        <v>46311</v>
      </c>
      <c r="B18" s="2" t="s">
        <v>1690</v>
      </c>
      <c r="C18" s="2" t="s">
        <v>43</v>
      </c>
      <c r="D18" s="2" t="s">
        <v>1691</v>
      </c>
      <c r="E18" s="2" t="s">
        <v>1690</v>
      </c>
      <c r="F18" s="2" t="s">
        <v>1692</v>
      </c>
      <c r="G18" s="2" t="s">
        <v>1454</v>
      </c>
      <c r="H18" s="2"/>
      <c r="I18" s="2"/>
      <c r="J18" s="2" t="s">
        <v>44</v>
      </c>
      <c r="K18" s="2" t="s">
        <v>248</v>
      </c>
      <c r="L18" s="2" t="s">
        <v>247</v>
      </c>
      <c r="M18" s="2" t="s">
        <v>246</v>
      </c>
      <c r="N18" s="2" t="s">
        <v>1722</v>
      </c>
      <c r="O18" s="2" t="s">
        <v>43</v>
      </c>
      <c r="P18" s="3">
        <v>22</v>
      </c>
      <c r="Q18" s="3">
        <v>9</v>
      </c>
      <c r="R18" s="3">
        <v>0</v>
      </c>
      <c r="S18" s="3">
        <v>0</v>
      </c>
      <c r="T18" s="3">
        <v>21</v>
      </c>
      <c r="U18" s="3">
        <v>0</v>
      </c>
      <c r="V18" s="3">
        <v>43</v>
      </c>
      <c r="W18" s="3">
        <v>4186.48</v>
      </c>
      <c r="X18" s="3">
        <v>97.36</v>
      </c>
      <c r="Y18" s="2" t="s">
        <v>1694</v>
      </c>
      <c r="Z18" s="2" t="s">
        <v>1454</v>
      </c>
      <c r="AA18" s="2" t="s">
        <v>1695</v>
      </c>
      <c r="AB18" s="2" t="s">
        <v>1691</v>
      </c>
      <c r="AC18" s="2" t="s">
        <v>1696</v>
      </c>
      <c r="AD18" s="3">
        <v>1</v>
      </c>
    </row>
    <row r="19" customHeight="1" spans="1:30">
      <c r="A19" s="4">
        <v>46311</v>
      </c>
      <c r="B19" s="2" t="s">
        <v>1690</v>
      </c>
      <c r="C19" s="2" t="s">
        <v>43</v>
      </c>
      <c r="D19" s="2" t="s">
        <v>1691</v>
      </c>
      <c r="E19" s="2" t="s">
        <v>1690</v>
      </c>
      <c r="F19" s="2" t="s">
        <v>1692</v>
      </c>
      <c r="G19" s="2" t="s">
        <v>1454</v>
      </c>
      <c r="H19" s="2"/>
      <c r="I19" s="2"/>
      <c r="J19" s="2" t="s">
        <v>343</v>
      </c>
      <c r="K19" s="2" t="s">
        <v>469</v>
      </c>
      <c r="L19" s="2" t="s">
        <v>468</v>
      </c>
      <c r="M19" s="2" t="s">
        <v>467</v>
      </c>
      <c r="N19" s="2" t="s">
        <v>1723</v>
      </c>
      <c r="O19" s="2" t="s">
        <v>43</v>
      </c>
      <c r="P19" s="3">
        <v>8</v>
      </c>
      <c r="Q19" s="3">
        <v>8</v>
      </c>
      <c r="R19" s="3">
        <v>0</v>
      </c>
      <c r="S19" s="3">
        <v>0</v>
      </c>
      <c r="T19" s="3">
        <v>0</v>
      </c>
      <c r="U19" s="3">
        <v>0</v>
      </c>
      <c r="V19" s="3">
        <v>8</v>
      </c>
      <c r="W19" s="3">
        <v>361.04</v>
      </c>
      <c r="X19" s="3">
        <v>45.13</v>
      </c>
      <c r="Y19" s="2" t="s">
        <v>1710</v>
      </c>
      <c r="Z19" s="2" t="s">
        <v>1454</v>
      </c>
      <c r="AA19" s="2" t="s">
        <v>1695</v>
      </c>
      <c r="AB19" s="2" t="s">
        <v>1691</v>
      </c>
      <c r="AC19" s="2" t="s">
        <v>1696</v>
      </c>
      <c r="AD19" s="3">
        <v>1</v>
      </c>
    </row>
    <row r="20" customHeight="1" spans="1:30">
      <c r="A20" s="4">
        <v>46311</v>
      </c>
      <c r="B20" s="2" t="s">
        <v>1690</v>
      </c>
      <c r="C20" s="2" t="s">
        <v>43</v>
      </c>
      <c r="D20" s="2" t="s">
        <v>1691</v>
      </c>
      <c r="E20" s="2" t="s">
        <v>1690</v>
      </c>
      <c r="F20" s="2" t="s">
        <v>1692</v>
      </c>
      <c r="G20" s="2" t="s">
        <v>1454</v>
      </c>
      <c r="H20" s="2"/>
      <c r="I20" s="2"/>
      <c r="J20" s="2" t="s">
        <v>44</v>
      </c>
      <c r="K20" s="2" t="s">
        <v>162</v>
      </c>
      <c r="L20" s="2" t="s">
        <v>161</v>
      </c>
      <c r="M20" s="2" t="s">
        <v>160</v>
      </c>
      <c r="N20" s="2" t="s">
        <v>1724</v>
      </c>
      <c r="O20" s="2" t="s">
        <v>43</v>
      </c>
      <c r="P20" s="3">
        <v>15</v>
      </c>
      <c r="Q20" s="3">
        <v>14</v>
      </c>
      <c r="R20" s="3">
        <v>0</v>
      </c>
      <c r="S20" s="3">
        <v>20</v>
      </c>
      <c r="T20" s="3">
        <v>20</v>
      </c>
      <c r="U20" s="3">
        <v>0</v>
      </c>
      <c r="V20" s="3">
        <v>35</v>
      </c>
      <c r="W20" s="3">
        <v>1486.8</v>
      </c>
      <c r="X20" s="3">
        <v>42.48</v>
      </c>
      <c r="Y20" s="2" t="s">
        <v>1694</v>
      </c>
      <c r="Z20" s="2" t="s">
        <v>1454</v>
      </c>
      <c r="AA20" s="2" t="s">
        <v>1695</v>
      </c>
      <c r="AB20" s="2" t="s">
        <v>1691</v>
      </c>
      <c r="AC20" s="2" t="s">
        <v>1696</v>
      </c>
      <c r="AD20" s="3">
        <v>1</v>
      </c>
    </row>
    <row r="21" customHeight="1" spans="1:30">
      <c r="A21" s="4">
        <v>46311</v>
      </c>
      <c r="B21" s="2" t="s">
        <v>1690</v>
      </c>
      <c r="C21" s="2" t="s">
        <v>43</v>
      </c>
      <c r="D21" s="2" t="s">
        <v>1691</v>
      </c>
      <c r="E21" s="2" t="s">
        <v>1690</v>
      </c>
      <c r="F21" s="2" t="s">
        <v>1692</v>
      </c>
      <c r="G21" s="2" t="s">
        <v>1454</v>
      </c>
      <c r="H21" s="2"/>
      <c r="I21" s="2"/>
      <c r="J21" s="2" t="s">
        <v>343</v>
      </c>
      <c r="K21" s="2" t="s">
        <v>415</v>
      </c>
      <c r="L21" s="2" t="s">
        <v>414</v>
      </c>
      <c r="M21" s="2" t="s">
        <v>413</v>
      </c>
      <c r="N21" s="2" t="s">
        <v>1725</v>
      </c>
      <c r="O21" s="2" t="s">
        <v>43</v>
      </c>
      <c r="P21" s="3">
        <v>0</v>
      </c>
      <c r="Q21" s="3">
        <v>0</v>
      </c>
      <c r="R21" s="3">
        <v>0</v>
      </c>
      <c r="S21" s="3">
        <v>6</v>
      </c>
      <c r="T21" s="3">
        <v>6</v>
      </c>
      <c r="U21" s="3">
        <v>0</v>
      </c>
      <c r="V21" s="3">
        <v>6</v>
      </c>
      <c r="W21" s="3">
        <v>732.72</v>
      </c>
      <c r="X21" s="3">
        <v>122.12</v>
      </c>
      <c r="Y21" s="2" t="s">
        <v>1710</v>
      </c>
      <c r="Z21" s="2" t="s">
        <v>1454</v>
      </c>
      <c r="AA21" s="2" t="s">
        <v>1695</v>
      </c>
      <c r="AB21" s="2" t="s">
        <v>1691</v>
      </c>
      <c r="AC21" s="2" t="s">
        <v>1696</v>
      </c>
      <c r="AD21" s="3">
        <v>1</v>
      </c>
    </row>
    <row r="22" customHeight="1" spans="1:30">
      <c r="A22" s="4">
        <v>46311</v>
      </c>
      <c r="B22" s="2" t="s">
        <v>1690</v>
      </c>
      <c r="C22" s="2" t="s">
        <v>43</v>
      </c>
      <c r="D22" s="2" t="s">
        <v>1691</v>
      </c>
      <c r="E22" s="2" t="s">
        <v>1690</v>
      </c>
      <c r="F22" s="2" t="s">
        <v>1692</v>
      </c>
      <c r="G22" s="2" t="s">
        <v>1454</v>
      </c>
      <c r="H22" s="2"/>
      <c r="I22" s="2"/>
      <c r="J22" s="2" t="s">
        <v>44</v>
      </c>
      <c r="K22" s="2" t="s">
        <v>144</v>
      </c>
      <c r="L22" s="2" t="s">
        <v>143</v>
      </c>
      <c r="M22" s="2" t="s">
        <v>142</v>
      </c>
      <c r="N22" s="2" t="s">
        <v>1726</v>
      </c>
      <c r="O22" s="2" t="s">
        <v>43</v>
      </c>
      <c r="P22" s="3">
        <v>19</v>
      </c>
      <c r="Q22" s="3">
        <v>18</v>
      </c>
      <c r="R22" s="3">
        <v>0</v>
      </c>
      <c r="S22" s="3">
        <v>0</v>
      </c>
      <c r="T22" s="3">
        <v>0</v>
      </c>
      <c r="U22" s="3">
        <v>0</v>
      </c>
      <c r="V22" s="3">
        <v>19</v>
      </c>
      <c r="W22" s="3">
        <v>3578.65</v>
      </c>
      <c r="X22" s="3">
        <v>188.35</v>
      </c>
      <c r="Y22" s="2" t="s">
        <v>1694</v>
      </c>
      <c r="Z22" s="2" t="s">
        <v>1454</v>
      </c>
      <c r="AA22" s="2" t="s">
        <v>1695</v>
      </c>
      <c r="AB22" s="2" t="s">
        <v>1691</v>
      </c>
      <c r="AC22" s="2" t="s">
        <v>1696</v>
      </c>
      <c r="AD22" s="3">
        <v>1</v>
      </c>
    </row>
    <row r="23" customHeight="1" spans="1:30">
      <c r="A23" s="4">
        <v>46311</v>
      </c>
      <c r="B23" s="2" t="s">
        <v>1690</v>
      </c>
      <c r="C23" s="2" t="s">
        <v>43</v>
      </c>
      <c r="D23" s="2" t="s">
        <v>1691</v>
      </c>
      <c r="E23" s="2" t="s">
        <v>1690</v>
      </c>
      <c r="F23" s="2" t="s">
        <v>1692</v>
      </c>
      <c r="G23" s="2" t="s">
        <v>1454</v>
      </c>
      <c r="H23" s="2"/>
      <c r="I23" s="2"/>
      <c r="J23" s="2" t="s">
        <v>343</v>
      </c>
      <c r="K23" s="2" t="s">
        <v>361</v>
      </c>
      <c r="L23" s="2" t="s">
        <v>360</v>
      </c>
      <c r="M23" s="2" t="s">
        <v>359</v>
      </c>
      <c r="N23" s="2" t="s">
        <v>1727</v>
      </c>
      <c r="O23" s="2" t="s">
        <v>43</v>
      </c>
      <c r="P23" s="3">
        <v>0</v>
      </c>
      <c r="Q23" s="3">
        <v>0</v>
      </c>
      <c r="R23" s="3">
        <v>0</v>
      </c>
      <c r="S23" s="3">
        <v>5</v>
      </c>
      <c r="T23" s="3">
        <v>18</v>
      </c>
      <c r="U23" s="3">
        <v>0</v>
      </c>
      <c r="V23" s="3">
        <v>18</v>
      </c>
      <c r="W23" s="3">
        <v>1033.56</v>
      </c>
      <c r="X23" s="3">
        <v>57.42</v>
      </c>
      <c r="Y23" s="2" t="s">
        <v>1710</v>
      </c>
      <c r="Z23" s="2" t="s">
        <v>1454</v>
      </c>
      <c r="AA23" s="2" t="s">
        <v>1695</v>
      </c>
      <c r="AB23" s="2" t="s">
        <v>1691</v>
      </c>
      <c r="AC23" s="2" t="s">
        <v>1696</v>
      </c>
      <c r="AD23" s="3">
        <v>1</v>
      </c>
    </row>
    <row r="24" customHeight="1" spans="1:30">
      <c r="A24" s="4">
        <v>46311</v>
      </c>
      <c r="B24" s="2" t="s">
        <v>1690</v>
      </c>
      <c r="C24" s="2" t="s">
        <v>43</v>
      </c>
      <c r="D24" s="2" t="s">
        <v>1691</v>
      </c>
      <c r="E24" s="2" t="s">
        <v>1690</v>
      </c>
      <c r="F24" s="2" t="s">
        <v>1692</v>
      </c>
      <c r="G24" s="2" t="s">
        <v>1454</v>
      </c>
      <c r="H24" s="2"/>
      <c r="I24" s="2"/>
      <c r="J24" s="2" t="s">
        <v>44</v>
      </c>
      <c r="K24" s="2" t="s">
        <v>51</v>
      </c>
      <c r="L24" s="2" t="s">
        <v>50</v>
      </c>
      <c r="M24" s="2" t="s">
        <v>49</v>
      </c>
      <c r="N24" s="2" t="s">
        <v>1728</v>
      </c>
      <c r="O24" s="2" t="s">
        <v>43</v>
      </c>
      <c r="P24" s="3">
        <v>4</v>
      </c>
      <c r="Q24" s="3">
        <v>4</v>
      </c>
      <c r="R24" s="3">
        <v>0</v>
      </c>
      <c r="S24" s="3">
        <v>0</v>
      </c>
      <c r="T24" s="3">
        <v>0</v>
      </c>
      <c r="U24" s="3">
        <v>0</v>
      </c>
      <c r="V24" s="3">
        <v>4</v>
      </c>
      <c r="W24" s="3">
        <v>488.52</v>
      </c>
      <c r="X24" s="3">
        <v>122.13</v>
      </c>
      <c r="Y24" s="2" t="s">
        <v>1694</v>
      </c>
      <c r="Z24" s="2" t="s">
        <v>1454</v>
      </c>
      <c r="AA24" s="2" t="s">
        <v>1695</v>
      </c>
      <c r="AB24" s="2" t="s">
        <v>1691</v>
      </c>
      <c r="AC24" s="2" t="s">
        <v>1696</v>
      </c>
      <c r="AD24" s="3">
        <v>1</v>
      </c>
    </row>
    <row r="25" customHeight="1" spans="1:30">
      <c r="A25" s="4">
        <v>46311</v>
      </c>
      <c r="B25" s="2" t="s">
        <v>1690</v>
      </c>
      <c r="C25" s="2" t="s">
        <v>43</v>
      </c>
      <c r="D25" s="2" t="s">
        <v>1691</v>
      </c>
      <c r="E25" s="2" t="s">
        <v>1690</v>
      </c>
      <c r="F25" s="2" t="s">
        <v>1692</v>
      </c>
      <c r="G25" s="2" t="s">
        <v>1454</v>
      </c>
      <c r="H25" s="2"/>
      <c r="I25" s="2"/>
      <c r="J25" s="2" t="s">
        <v>44</v>
      </c>
      <c r="K25" s="2" t="s">
        <v>1729</v>
      </c>
      <c r="L25" s="2" t="s">
        <v>1730</v>
      </c>
      <c r="M25" s="2" t="s">
        <v>181</v>
      </c>
      <c r="N25" s="2" t="s">
        <v>1731</v>
      </c>
      <c r="O25" s="2" t="s">
        <v>43</v>
      </c>
      <c r="P25" s="3">
        <v>1</v>
      </c>
      <c r="Q25" s="3">
        <v>1</v>
      </c>
      <c r="R25" s="3">
        <v>0</v>
      </c>
      <c r="S25" s="3">
        <v>0</v>
      </c>
      <c r="T25" s="3">
        <v>0</v>
      </c>
      <c r="U25" s="3">
        <v>0</v>
      </c>
      <c r="V25" s="3">
        <v>1</v>
      </c>
      <c r="W25" s="3">
        <v>83.21</v>
      </c>
      <c r="X25" s="3">
        <v>83.21</v>
      </c>
      <c r="Y25" s="2" t="s">
        <v>1694</v>
      </c>
      <c r="Z25" s="2" t="s">
        <v>1454</v>
      </c>
      <c r="AA25" s="2" t="s">
        <v>1695</v>
      </c>
      <c r="AB25" s="2" t="s">
        <v>1691</v>
      </c>
      <c r="AC25" s="2" t="s">
        <v>1696</v>
      </c>
      <c r="AD25" s="3">
        <v>1</v>
      </c>
    </row>
    <row r="26" customHeight="1" spans="1:30">
      <c r="A26" s="4">
        <v>46311</v>
      </c>
      <c r="B26" s="2" t="s">
        <v>1690</v>
      </c>
      <c r="C26" s="2" t="s">
        <v>43</v>
      </c>
      <c r="D26" s="2" t="s">
        <v>1691</v>
      </c>
      <c r="E26" s="2" t="s">
        <v>1690</v>
      </c>
      <c r="F26" s="2" t="s">
        <v>1692</v>
      </c>
      <c r="G26" s="2" t="s">
        <v>1454</v>
      </c>
      <c r="H26" s="2"/>
      <c r="I26" s="2"/>
      <c r="J26" s="2" t="s">
        <v>55</v>
      </c>
      <c r="K26" s="2" t="s">
        <v>168</v>
      </c>
      <c r="L26" s="2" t="s">
        <v>167</v>
      </c>
      <c r="M26" s="2" t="s">
        <v>166</v>
      </c>
      <c r="N26" s="2" t="s">
        <v>1732</v>
      </c>
      <c r="O26" s="2" t="s">
        <v>43</v>
      </c>
      <c r="P26" s="3">
        <v>0</v>
      </c>
      <c r="Q26" s="3">
        <v>0</v>
      </c>
      <c r="R26" s="3">
        <v>0</v>
      </c>
      <c r="S26" s="3">
        <v>15</v>
      </c>
      <c r="T26" s="3">
        <v>15</v>
      </c>
      <c r="U26" s="3">
        <v>0</v>
      </c>
      <c r="V26" s="3">
        <v>15</v>
      </c>
      <c r="W26" s="3">
        <v>518.55</v>
      </c>
      <c r="X26" s="3">
        <v>34.57</v>
      </c>
      <c r="Y26" s="2" t="s">
        <v>1694</v>
      </c>
      <c r="Z26" s="2" t="s">
        <v>1454</v>
      </c>
      <c r="AA26" s="2" t="s">
        <v>1695</v>
      </c>
      <c r="AB26" s="2" t="s">
        <v>1691</v>
      </c>
      <c r="AC26" s="2" t="s">
        <v>1696</v>
      </c>
      <c r="AD26" s="3">
        <v>1</v>
      </c>
    </row>
    <row r="27" customHeight="1" spans="1:30">
      <c r="A27" s="4">
        <v>46311</v>
      </c>
      <c r="B27" s="2" t="s">
        <v>1690</v>
      </c>
      <c r="C27" s="2" t="s">
        <v>43</v>
      </c>
      <c r="D27" s="2" t="s">
        <v>1691</v>
      </c>
      <c r="E27" s="2" t="s">
        <v>1690</v>
      </c>
      <c r="F27" s="2" t="s">
        <v>1692</v>
      </c>
      <c r="G27" s="2" t="s">
        <v>1454</v>
      </c>
      <c r="H27" s="2"/>
      <c r="I27" s="2"/>
      <c r="J27" s="2" t="s">
        <v>44</v>
      </c>
      <c r="K27" s="2" t="s">
        <v>272</v>
      </c>
      <c r="L27" s="2" t="s">
        <v>271</v>
      </c>
      <c r="M27" s="2" t="s">
        <v>270</v>
      </c>
      <c r="N27" s="2" t="s">
        <v>1733</v>
      </c>
      <c r="O27" s="2" t="s">
        <v>43</v>
      </c>
      <c r="P27" s="3">
        <v>24</v>
      </c>
      <c r="Q27" s="3">
        <v>23</v>
      </c>
      <c r="R27" s="3">
        <v>0</v>
      </c>
      <c r="S27" s="3">
        <v>0</v>
      </c>
      <c r="T27" s="3">
        <v>0</v>
      </c>
      <c r="U27" s="3">
        <v>0</v>
      </c>
      <c r="V27" s="3">
        <v>24</v>
      </c>
      <c r="W27" s="3">
        <v>2084.64</v>
      </c>
      <c r="X27" s="3">
        <v>86.86</v>
      </c>
      <c r="Y27" s="2" t="s">
        <v>1694</v>
      </c>
      <c r="Z27" s="2" t="s">
        <v>1454</v>
      </c>
      <c r="AA27" s="2" t="s">
        <v>1695</v>
      </c>
      <c r="AB27" s="2" t="s">
        <v>1691</v>
      </c>
      <c r="AC27" s="2" t="s">
        <v>1696</v>
      </c>
      <c r="AD27" s="3">
        <v>1</v>
      </c>
    </row>
    <row r="28" customHeight="1" spans="1:30">
      <c r="A28" s="4">
        <v>46311</v>
      </c>
      <c r="B28" s="2" t="s">
        <v>1690</v>
      </c>
      <c r="C28" s="2" t="s">
        <v>43</v>
      </c>
      <c r="D28" s="2" t="s">
        <v>1691</v>
      </c>
      <c r="E28" s="2" t="s">
        <v>1690</v>
      </c>
      <c r="F28" s="2" t="s">
        <v>1692</v>
      </c>
      <c r="G28" s="2" t="s">
        <v>1454</v>
      </c>
      <c r="H28" s="2"/>
      <c r="I28" s="2"/>
      <c r="J28" s="2" t="s">
        <v>343</v>
      </c>
      <c r="K28" s="2" t="s">
        <v>370</v>
      </c>
      <c r="L28" s="2" t="s">
        <v>369</v>
      </c>
      <c r="M28" s="2" t="s">
        <v>368</v>
      </c>
      <c r="N28" s="2" t="s">
        <v>1734</v>
      </c>
      <c r="O28" s="2" t="s">
        <v>43</v>
      </c>
      <c r="P28" s="3">
        <v>0</v>
      </c>
      <c r="Q28" s="3">
        <v>0</v>
      </c>
      <c r="R28" s="3">
        <v>0</v>
      </c>
      <c r="S28" s="3">
        <v>1</v>
      </c>
      <c r="T28" s="3">
        <v>8</v>
      </c>
      <c r="U28" s="3">
        <v>0</v>
      </c>
      <c r="V28" s="3">
        <v>8</v>
      </c>
      <c r="W28" s="3">
        <v>290.24</v>
      </c>
      <c r="X28" s="3">
        <v>36.28</v>
      </c>
      <c r="Y28" s="2" t="s">
        <v>1710</v>
      </c>
      <c r="Z28" s="2" t="s">
        <v>1454</v>
      </c>
      <c r="AA28" s="2" t="s">
        <v>1695</v>
      </c>
      <c r="AB28" s="2" t="s">
        <v>1691</v>
      </c>
      <c r="AC28" s="2" t="s">
        <v>1696</v>
      </c>
      <c r="AD28" s="3">
        <v>1</v>
      </c>
    </row>
    <row r="29" customHeight="1" spans="1:30">
      <c r="A29" s="4">
        <v>46311</v>
      </c>
      <c r="B29" s="2" t="s">
        <v>1690</v>
      </c>
      <c r="C29" s="2" t="s">
        <v>43</v>
      </c>
      <c r="D29" s="2" t="s">
        <v>1691</v>
      </c>
      <c r="E29" s="2" t="s">
        <v>1690</v>
      </c>
      <c r="F29" s="2" t="s">
        <v>1692</v>
      </c>
      <c r="G29" s="2" t="s">
        <v>1454</v>
      </c>
      <c r="H29" s="2"/>
      <c r="I29" s="2"/>
      <c r="J29" s="2" t="s">
        <v>343</v>
      </c>
      <c r="K29" s="2" t="s">
        <v>409</v>
      </c>
      <c r="L29" s="2" t="s">
        <v>408</v>
      </c>
      <c r="M29" s="2" t="s">
        <v>407</v>
      </c>
      <c r="N29" s="2" t="s">
        <v>1735</v>
      </c>
      <c r="O29" s="2" t="s">
        <v>43</v>
      </c>
      <c r="P29" s="3">
        <v>0</v>
      </c>
      <c r="Q29" s="3">
        <v>0</v>
      </c>
      <c r="R29" s="3">
        <v>0</v>
      </c>
      <c r="S29" s="3">
        <v>2</v>
      </c>
      <c r="T29" s="3">
        <v>10</v>
      </c>
      <c r="U29" s="3">
        <v>0</v>
      </c>
      <c r="V29" s="3">
        <v>10</v>
      </c>
      <c r="W29" s="3">
        <v>699.1</v>
      </c>
      <c r="X29" s="3">
        <v>69.91</v>
      </c>
      <c r="Y29" s="2" t="s">
        <v>1710</v>
      </c>
      <c r="Z29" s="2" t="s">
        <v>1454</v>
      </c>
      <c r="AA29" s="2" t="s">
        <v>1695</v>
      </c>
      <c r="AB29" s="2" t="s">
        <v>1691</v>
      </c>
      <c r="AC29" s="2" t="s">
        <v>1696</v>
      </c>
      <c r="AD29" s="3">
        <v>1</v>
      </c>
    </row>
    <row r="30" customHeight="1" spans="1:30">
      <c r="A30" s="4">
        <v>46311</v>
      </c>
      <c r="B30" s="2" t="s">
        <v>1690</v>
      </c>
      <c r="C30" s="2" t="s">
        <v>43</v>
      </c>
      <c r="D30" s="2" t="s">
        <v>1691</v>
      </c>
      <c r="E30" s="2" t="s">
        <v>1690</v>
      </c>
      <c r="F30" s="2" t="s">
        <v>1692</v>
      </c>
      <c r="G30" s="2" t="s">
        <v>1454</v>
      </c>
      <c r="H30" s="2"/>
      <c r="I30" s="2"/>
      <c r="J30" s="2" t="s">
        <v>44</v>
      </c>
      <c r="K30" s="2" t="s">
        <v>138</v>
      </c>
      <c r="L30" s="2" t="s">
        <v>137</v>
      </c>
      <c r="M30" s="2" t="s">
        <v>136</v>
      </c>
      <c r="N30" s="2" t="s">
        <v>1736</v>
      </c>
      <c r="O30" s="2" t="s">
        <v>43</v>
      </c>
      <c r="P30" s="3">
        <v>8</v>
      </c>
      <c r="Q30" s="3">
        <v>8</v>
      </c>
      <c r="R30" s="3">
        <v>0</v>
      </c>
      <c r="S30" s="3">
        <v>0</v>
      </c>
      <c r="T30" s="3">
        <v>0</v>
      </c>
      <c r="U30" s="3">
        <v>0</v>
      </c>
      <c r="V30" s="3">
        <v>8</v>
      </c>
      <c r="W30" s="3">
        <v>341.36</v>
      </c>
      <c r="X30" s="3">
        <v>42.67</v>
      </c>
      <c r="Y30" s="2" t="s">
        <v>1694</v>
      </c>
      <c r="Z30" s="2" t="s">
        <v>1454</v>
      </c>
      <c r="AA30" s="2" t="s">
        <v>1695</v>
      </c>
      <c r="AB30" s="2" t="s">
        <v>1691</v>
      </c>
      <c r="AC30" s="2" t="s">
        <v>1696</v>
      </c>
      <c r="AD30" s="3">
        <v>1</v>
      </c>
    </row>
    <row r="31" customHeight="1" spans="1:30">
      <c r="A31" s="4">
        <v>46311</v>
      </c>
      <c r="B31" s="2" t="s">
        <v>1690</v>
      </c>
      <c r="C31" s="2" t="s">
        <v>43</v>
      </c>
      <c r="D31" s="2" t="s">
        <v>1691</v>
      </c>
      <c r="E31" s="2" t="s">
        <v>1690</v>
      </c>
      <c r="F31" s="2" t="s">
        <v>1692</v>
      </c>
      <c r="G31" s="2" t="s">
        <v>1454</v>
      </c>
      <c r="H31" s="2"/>
      <c r="I31" s="2"/>
      <c r="J31" s="2" t="s">
        <v>44</v>
      </c>
      <c r="K31" s="2" t="s">
        <v>303</v>
      </c>
      <c r="L31" s="2" t="s">
        <v>302</v>
      </c>
      <c r="M31" s="2" t="s">
        <v>301</v>
      </c>
      <c r="N31" s="2" t="s">
        <v>1737</v>
      </c>
      <c r="O31" s="2" t="s">
        <v>43</v>
      </c>
      <c r="P31" s="3">
        <v>2</v>
      </c>
      <c r="Q31" s="3">
        <v>2</v>
      </c>
      <c r="R31" s="3">
        <v>0</v>
      </c>
      <c r="S31" s="3">
        <v>1</v>
      </c>
      <c r="T31" s="3">
        <v>2</v>
      </c>
      <c r="U31" s="3">
        <v>0</v>
      </c>
      <c r="V31" s="3">
        <v>4</v>
      </c>
      <c r="W31" s="3">
        <v>152.28</v>
      </c>
      <c r="X31" s="3">
        <v>38.07</v>
      </c>
      <c r="Y31" s="2" t="s">
        <v>1694</v>
      </c>
      <c r="Z31" s="2" t="s">
        <v>1454</v>
      </c>
      <c r="AA31" s="2" t="s">
        <v>1695</v>
      </c>
      <c r="AB31" s="2" t="s">
        <v>1691</v>
      </c>
      <c r="AC31" s="2" t="s">
        <v>1696</v>
      </c>
      <c r="AD31" s="3">
        <v>1</v>
      </c>
    </row>
    <row r="32" customHeight="1" spans="1:30">
      <c r="A32" s="4">
        <v>46311</v>
      </c>
      <c r="B32" s="2" t="s">
        <v>1690</v>
      </c>
      <c r="C32" s="2" t="s">
        <v>43</v>
      </c>
      <c r="D32" s="2" t="s">
        <v>1691</v>
      </c>
      <c r="E32" s="2" t="s">
        <v>1690</v>
      </c>
      <c r="F32" s="2" t="s">
        <v>1692</v>
      </c>
      <c r="G32" s="2" t="s">
        <v>1454</v>
      </c>
      <c r="H32" s="2"/>
      <c r="I32" s="2"/>
      <c r="J32" s="2" t="s">
        <v>44</v>
      </c>
      <c r="K32" s="2" t="s">
        <v>1738</v>
      </c>
      <c r="L32" s="2" t="s">
        <v>1739</v>
      </c>
      <c r="M32" s="2" t="s">
        <v>112</v>
      </c>
      <c r="N32" s="2" t="s">
        <v>1740</v>
      </c>
      <c r="O32" s="2" t="s">
        <v>43</v>
      </c>
      <c r="P32" s="3">
        <v>1</v>
      </c>
      <c r="Q32" s="3">
        <v>1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38.26</v>
      </c>
      <c r="X32" s="3">
        <v>38.26</v>
      </c>
      <c r="Y32" s="2" t="s">
        <v>1694</v>
      </c>
      <c r="Z32" s="2" t="s">
        <v>1454</v>
      </c>
      <c r="AA32" s="2" t="s">
        <v>1695</v>
      </c>
      <c r="AB32" s="2" t="s">
        <v>1691</v>
      </c>
      <c r="AC32" s="2" t="s">
        <v>1696</v>
      </c>
      <c r="AD32" s="3">
        <v>1</v>
      </c>
    </row>
    <row r="33" customHeight="1" spans="1:30">
      <c r="A33" s="4">
        <v>46311</v>
      </c>
      <c r="B33" s="2" t="s">
        <v>1690</v>
      </c>
      <c r="C33" s="2" t="s">
        <v>43</v>
      </c>
      <c r="D33" s="2" t="s">
        <v>1691</v>
      </c>
      <c r="E33" s="2" t="s">
        <v>1690</v>
      </c>
      <c r="F33" s="2" t="s">
        <v>1692</v>
      </c>
      <c r="G33" s="2" t="s">
        <v>1454</v>
      </c>
      <c r="H33" s="2"/>
      <c r="I33" s="2"/>
      <c r="J33" s="2" t="s">
        <v>343</v>
      </c>
      <c r="K33" s="2" t="s">
        <v>430</v>
      </c>
      <c r="L33" s="2" t="s">
        <v>429</v>
      </c>
      <c r="M33" s="2" t="s">
        <v>428</v>
      </c>
      <c r="N33" s="2" t="s">
        <v>1741</v>
      </c>
      <c r="O33" s="2" t="s">
        <v>43</v>
      </c>
      <c r="P33" s="3">
        <v>0</v>
      </c>
      <c r="Q33" s="3">
        <v>0</v>
      </c>
      <c r="R33" s="3">
        <v>0</v>
      </c>
      <c r="S33" s="3">
        <v>0</v>
      </c>
      <c r="T33" s="3">
        <v>9</v>
      </c>
      <c r="U33" s="3">
        <v>0</v>
      </c>
      <c r="V33" s="3">
        <v>9</v>
      </c>
      <c r="W33" s="3">
        <v>374.31</v>
      </c>
      <c r="X33" s="3">
        <v>41.59</v>
      </c>
      <c r="Y33" s="2" t="s">
        <v>1710</v>
      </c>
      <c r="Z33" s="2" t="s">
        <v>1454</v>
      </c>
      <c r="AA33" s="2" t="s">
        <v>1695</v>
      </c>
      <c r="AB33" s="2" t="s">
        <v>1691</v>
      </c>
      <c r="AC33" s="2" t="s">
        <v>1696</v>
      </c>
      <c r="AD33" s="3">
        <v>1</v>
      </c>
    </row>
    <row r="34" customHeight="1" spans="1:30">
      <c r="A34" s="4">
        <v>46311</v>
      </c>
      <c r="B34" s="2" t="s">
        <v>1690</v>
      </c>
      <c r="C34" s="2" t="s">
        <v>43</v>
      </c>
      <c r="D34" s="2" t="s">
        <v>1691</v>
      </c>
      <c r="E34" s="2" t="s">
        <v>1690</v>
      </c>
      <c r="F34" s="2" t="s">
        <v>1692</v>
      </c>
      <c r="G34" s="2" t="s">
        <v>1454</v>
      </c>
      <c r="H34" s="2"/>
      <c r="I34" s="2"/>
      <c r="J34" s="2" t="s">
        <v>44</v>
      </c>
      <c r="K34" s="2" t="s">
        <v>266</v>
      </c>
      <c r="L34" s="2" t="s">
        <v>265</v>
      </c>
      <c r="M34" s="2" t="s">
        <v>264</v>
      </c>
      <c r="N34" s="2" t="s">
        <v>1742</v>
      </c>
      <c r="O34" s="2" t="s">
        <v>43</v>
      </c>
      <c r="P34" s="3">
        <v>2</v>
      </c>
      <c r="Q34" s="3">
        <v>1</v>
      </c>
      <c r="R34" s="3">
        <v>0</v>
      </c>
      <c r="S34" s="3">
        <v>0</v>
      </c>
      <c r="T34" s="3">
        <v>0</v>
      </c>
      <c r="U34" s="3">
        <v>0</v>
      </c>
      <c r="V34" s="3">
        <v>2</v>
      </c>
      <c r="W34" s="3">
        <v>171.2</v>
      </c>
      <c r="X34" s="3">
        <v>85.6</v>
      </c>
      <c r="Y34" s="2" t="s">
        <v>1694</v>
      </c>
      <c r="Z34" s="2" t="s">
        <v>1454</v>
      </c>
      <c r="AA34" s="2" t="s">
        <v>1695</v>
      </c>
      <c r="AB34" s="2" t="s">
        <v>1691</v>
      </c>
      <c r="AC34" s="2" t="s">
        <v>1696</v>
      </c>
      <c r="AD34" s="3">
        <v>1</v>
      </c>
    </row>
    <row r="35" customHeight="1" spans="1:30">
      <c r="A35" s="4">
        <v>46311</v>
      </c>
      <c r="B35" s="2" t="s">
        <v>1690</v>
      </c>
      <c r="C35" s="2" t="s">
        <v>43</v>
      </c>
      <c r="D35" s="2" t="s">
        <v>1691</v>
      </c>
      <c r="E35" s="2" t="s">
        <v>1690</v>
      </c>
      <c r="F35" s="2" t="s">
        <v>1692</v>
      </c>
      <c r="G35" s="2" t="s">
        <v>1454</v>
      </c>
      <c r="H35" s="2"/>
      <c r="I35" s="2"/>
      <c r="J35" s="2" t="s">
        <v>44</v>
      </c>
      <c r="K35" s="2" t="s">
        <v>117</v>
      </c>
      <c r="L35" s="2" t="s">
        <v>116</v>
      </c>
      <c r="M35" s="2" t="s">
        <v>115</v>
      </c>
      <c r="N35" s="2" t="s">
        <v>1743</v>
      </c>
      <c r="O35" s="2" t="s">
        <v>43</v>
      </c>
      <c r="P35" s="3">
        <v>9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9</v>
      </c>
      <c r="W35" s="3">
        <v>734.85</v>
      </c>
      <c r="X35" s="3">
        <v>81.65</v>
      </c>
      <c r="Y35" s="2" t="s">
        <v>1694</v>
      </c>
      <c r="Z35" s="2" t="s">
        <v>1454</v>
      </c>
      <c r="AA35" s="2" t="s">
        <v>1695</v>
      </c>
      <c r="AB35" s="2" t="s">
        <v>1691</v>
      </c>
      <c r="AC35" s="2" t="s">
        <v>1696</v>
      </c>
      <c r="AD35" s="3">
        <v>1</v>
      </c>
    </row>
    <row r="36" customHeight="1" spans="1:30">
      <c r="A36" s="4">
        <v>46311</v>
      </c>
      <c r="B36" s="2" t="s">
        <v>1690</v>
      </c>
      <c r="C36" s="2" t="s">
        <v>43</v>
      </c>
      <c r="D36" s="2" t="s">
        <v>1691</v>
      </c>
      <c r="E36" s="2" t="s">
        <v>1690</v>
      </c>
      <c r="F36" s="2" t="s">
        <v>1692</v>
      </c>
      <c r="G36" s="2" t="s">
        <v>1454</v>
      </c>
      <c r="H36" s="2"/>
      <c r="I36" s="2"/>
      <c r="J36" s="2" t="s">
        <v>55</v>
      </c>
      <c r="K36" s="2" t="s">
        <v>318</v>
      </c>
      <c r="L36" s="2" t="s">
        <v>317</v>
      </c>
      <c r="M36" s="2" t="s">
        <v>316</v>
      </c>
      <c r="N36" s="2" t="s">
        <v>1744</v>
      </c>
      <c r="O36" s="2" t="s">
        <v>43</v>
      </c>
      <c r="P36" s="3">
        <v>16</v>
      </c>
      <c r="Q36" s="3">
        <v>16</v>
      </c>
      <c r="R36" s="3">
        <v>0</v>
      </c>
      <c r="S36" s="3">
        <v>0</v>
      </c>
      <c r="T36" s="3">
        <v>0</v>
      </c>
      <c r="U36" s="3">
        <v>0</v>
      </c>
      <c r="V36" s="3">
        <v>16</v>
      </c>
      <c r="W36" s="3">
        <v>609.28</v>
      </c>
      <c r="X36" s="3">
        <v>38.08</v>
      </c>
      <c r="Y36" s="2" t="s">
        <v>1694</v>
      </c>
      <c r="Z36" s="2" t="s">
        <v>1454</v>
      </c>
      <c r="AA36" s="2" t="s">
        <v>1695</v>
      </c>
      <c r="AB36" s="2" t="s">
        <v>1691</v>
      </c>
      <c r="AC36" s="2" t="s">
        <v>1696</v>
      </c>
      <c r="AD36" s="3">
        <v>1</v>
      </c>
    </row>
    <row r="37" customHeight="1" spans="1:30">
      <c r="A37" s="4">
        <v>46311</v>
      </c>
      <c r="B37" s="2" t="s">
        <v>1690</v>
      </c>
      <c r="C37" s="2" t="s">
        <v>43</v>
      </c>
      <c r="D37" s="2" t="s">
        <v>1691</v>
      </c>
      <c r="E37" s="2" t="s">
        <v>1690</v>
      </c>
      <c r="F37" s="2" t="s">
        <v>1692</v>
      </c>
      <c r="G37" s="2" t="s">
        <v>1454</v>
      </c>
      <c r="H37" s="2"/>
      <c r="I37" s="2"/>
      <c r="J37" s="2" t="s">
        <v>44</v>
      </c>
      <c r="K37" s="2" t="s">
        <v>186</v>
      </c>
      <c r="L37" s="2" t="s">
        <v>185</v>
      </c>
      <c r="M37" s="2" t="s">
        <v>184</v>
      </c>
      <c r="N37" s="2" t="s">
        <v>1745</v>
      </c>
      <c r="O37" s="2" t="s">
        <v>43</v>
      </c>
      <c r="P37" s="3">
        <v>47</v>
      </c>
      <c r="Q37" s="3">
        <v>46</v>
      </c>
      <c r="R37" s="3">
        <v>0</v>
      </c>
      <c r="S37" s="3">
        <v>40</v>
      </c>
      <c r="T37" s="3">
        <v>60</v>
      </c>
      <c r="U37" s="3">
        <v>0</v>
      </c>
      <c r="V37" s="3">
        <v>107</v>
      </c>
      <c r="W37" s="3">
        <v>4832.12</v>
      </c>
      <c r="X37" s="3">
        <v>45.16</v>
      </c>
      <c r="Y37" s="2" t="s">
        <v>1694</v>
      </c>
      <c r="Z37" s="2" t="s">
        <v>1454</v>
      </c>
      <c r="AA37" s="2" t="s">
        <v>1695</v>
      </c>
      <c r="AB37" s="2" t="s">
        <v>1691</v>
      </c>
      <c r="AC37" s="2" t="s">
        <v>1696</v>
      </c>
      <c r="AD37" s="3">
        <v>1</v>
      </c>
    </row>
    <row r="38" customHeight="1" spans="1:30">
      <c r="A38" s="4">
        <v>46311</v>
      </c>
      <c r="B38" s="2" t="s">
        <v>1690</v>
      </c>
      <c r="C38" s="2" t="s">
        <v>43</v>
      </c>
      <c r="D38" s="2" t="s">
        <v>1691</v>
      </c>
      <c r="E38" s="2" t="s">
        <v>1690</v>
      </c>
      <c r="F38" s="2" t="s">
        <v>1692</v>
      </c>
      <c r="G38" s="2" t="s">
        <v>1454</v>
      </c>
      <c r="H38" s="2"/>
      <c r="I38" s="2"/>
      <c r="J38" s="2" t="s">
        <v>44</v>
      </c>
      <c r="K38" s="2" t="s">
        <v>1746</v>
      </c>
      <c r="L38" s="2" t="s">
        <v>1747</v>
      </c>
      <c r="M38" s="2" t="s">
        <v>76</v>
      </c>
      <c r="N38" s="2" t="s">
        <v>1748</v>
      </c>
      <c r="O38" s="2" t="s">
        <v>43</v>
      </c>
      <c r="P38" s="3">
        <v>1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45.38</v>
      </c>
      <c r="X38" s="3">
        <v>45.38</v>
      </c>
      <c r="Y38" s="2" t="s">
        <v>1694</v>
      </c>
      <c r="Z38" s="2" t="s">
        <v>1454</v>
      </c>
      <c r="AA38" s="2" t="s">
        <v>1695</v>
      </c>
      <c r="AB38" s="2" t="s">
        <v>1691</v>
      </c>
      <c r="AC38" s="2" t="s">
        <v>1696</v>
      </c>
      <c r="AD38" s="3">
        <v>1</v>
      </c>
    </row>
    <row r="39" customHeight="1" spans="1:30">
      <c r="A39" s="4">
        <v>46311</v>
      </c>
      <c r="B39" s="2" t="s">
        <v>1690</v>
      </c>
      <c r="C39" s="2" t="s">
        <v>43</v>
      </c>
      <c r="D39" s="2" t="s">
        <v>1691</v>
      </c>
      <c r="E39" s="2" t="s">
        <v>1690</v>
      </c>
      <c r="F39" s="2" t="s">
        <v>1692</v>
      </c>
      <c r="G39" s="2" t="s">
        <v>1454</v>
      </c>
      <c r="H39" s="2"/>
      <c r="I39" s="2"/>
      <c r="J39" s="2" t="s">
        <v>44</v>
      </c>
      <c r="K39" s="2" t="s">
        <v>123</v>
      </c>
      <c r="L39" s="2" t="s">
        <v>122</v>
      </c>
      <c r="M39" s="2" t="s">
        <v>121</v>
      </c>
      <c r="N39" s="2" t="s">
        <v>1749</v>
      </c>
      <c r="O39" s="2" t="s">
        <v>43</v>
      </c>
      <c r="P39" s="3">
        <v>15</v>
      </c>
      <c r="Q39" s="3">
        <v>14</v>
      </c>
      <c r="R39" s="3">
        <v>0</v>
      </c>
      <c r="S39" s="3">
        <v>0</v>
      </c>
      <c r="T39" s="3">
        <v>0</v>
      </c>
      <c r="U39" s="3">
        <v>0</v>
      </c>
      <c r="V39" s="3">
        <v>15</v>
      </c>
      <c r="W39" s="3">
        <v>877.5</v>
      </c>
      <c r="X39" s="3">
        <v>58.5</v>
      </c>
      <c r="Y39" s="2" t="s">
        <v>1714</v>
      </c>
      <c r="Z39" s="2" t="s">
        <v>1454</v>
      </c>
      <c r="AA39" s="2" t="s">
        <v>1695</v>
      </c>
      <c r="AB39" s="2" t="s">
        <v>1691</v>
      </c>
      <c r="AC39" s="2" t="s">
        <v>1696</v>
      </c>
      <c r="AD39" s="3">
        <v>1</v>
      </c>
    </row>
    <row r="40" customHeight="1" spans="1:30">
      <c r="A40" s="4">
        <v>46311</v>
      </c>
      <c r="B40" s="2" t="s">
        <v>1690</v>
      </c>
      <c r="C40" s="2" t="s">
        <v>43</v>
      </c>
      <c r="D40" s="2" t="s">
        <v>1691</v>
      </c>
      <c r="E40" s="2" t="s">
        <v>1690</v>
      </c>
      <c r="F40" s="2" t="s">
        <v>1692</v>
      </c>
      <c r="G40" s="2" t="s">
        <v>1454</v>
      </c>
      <c r="H40" s="2"/>
      <c r="I40" s="2"/>
      <c r="J40" s="2" t="s">
        <v>44</v>
      </c>
      <c r="K40" s="2" t="s">
        <v>99</v>
      </c>
      <c r="L40" s="2" t="s">
        <v>98</v>
      </c>
      <c r="M40" s="2" t="s">
        <v>97</v>
      </c>
      <c r="N40" s="2" t="s">
        <v>1750</v>
      </c>
      <c r="O40" s="2" t="s">
        <v>43</v>
      </c>
      <c r="P40" s="3">
        <v>12</v>
      </c>
      <c r="Q40" s="3">
        <v>12</v>
      </c>
      <c r="R40" s="3">
        <v>0</v>
      </c>
      <c r="S40" s="3">
        <v>0</v>
      </c>
      <c r="T40" s="3">
        <v>0</v>
      </c>
      <c r="U40" s="3">
        <v>0</v>
      </c>
      <c r="V40" s="3">
        <v>12</v>
      </c>
      <c r="W40" s="3">
        <v>627.96</v>
      </c>
      <c r="X40" s="3">
        <v>52.33</v>
      </c>
      <c r="Y40" s="2" t="s">
        <v>1694</v>
      </c>
      <c r="Z40" s="2" t="s">
        <v>1454</v>
      </c>
      <c r="AA40" s="2" t="s">
        <v>1695</v>
      </c>
      <c r="AB40" s="2" t="s">
        <v>1691</v>
      </c>
      <c r="AC40" s="2" t="s">
        <v>1696</v>
      </c>
      <c r="AD40" s="3">
        <v>1</v>
      </c>
    </row>
    <row r="41" customHeight="1" spans="1:30">
      <c r="A41" s="4">
        <v>46311</v>
      </c>
      <c r="B41" s="2" t="s">
        <v>1690</v>
      </c>
      <c r="C41" s="2" t="s">
        <v>43</v>
      </c>
      <c r="D41" s="2" t="s">
        <v>1691</v>
      </c>
      <c r="E41" s="2" t="s">
        <v>1690</v>
      </c>
      <c r="F41" s="2" t="s">
        <v>1692</v>
      </c>
      <c r="G41" s="2" t="s">
        <v>1454</v>
      </c>
      <c r="H41" s="2"/>
      <c r="I41" s="2"/>
      <c r="J41" s="2" t="s">
        <v>44</v>
      </c>
      <c r="K41" s="2" t="s">
        <v>68</v>
      </c>
      <c r="L41" s="2" t="s">
        <v>67</v>
      </c>
      <c r="M41" s="2" t="s">
        <v>66</v>
      </c>
      <c r="N41" s="2" t="s">
        <v>1751</v>
      </c>
      <c r="O41" s="2" t="s">
        <v>43</v>
      </c>
      <c r="P41" s="3">
        <v>19</v>
      </c>
      <c r="Q41" s="3">
        <v>19</v>
      </c>
      <c r="R41" s="3">
        <v>0</v>
      </c>
      <c r="S41" s="3">
        <v>0</v>
      </c>
      <c r="T41" s="3">
        <v>0</v>
      </c>
      <c r="U41" s="3">
        <v>0</v>
      </c>
      <c r="V41" s="3">
        <v>19</v>
      </c>
      <c r="W41" s="3">
        <v>1250.01</v>
      </c>
      <c r="X41" s="3">
        <v>65.79</v>
      </c>
      <c r="Y41" s="2" t="s">
        <v>1694</v>
      </c>
      <c r="Z41" s="2" t="s">
        <v>1454</v>
      </c>
      <c r="AA41" s="2" t="s">
        <v>1695</v>
      </c>
      <c r="AB41" s="2" t="s">
        <v>1691</v>
      </c>
      <c r="AC41" s="2" t="s">
        <v>1696</v>
      </c>
      <c r="AD41" s="3">
        <v>1</v>
      </c>
    </row>
    <row r="42" customHeight="1" spans="1:30">
      <c r="A42" s="4">
        <v>46311</v>
      </c>
      <c r="B42" s="2" t="s">
        <v>1690</v>
      </c>
      <c r="C42" s="2" t="s">
        <v>43</v>
      </c>
      <c r="D42" s="2" t="s">
        <v>1691</v>
      </c>
      <c r="E42" s="2" t="s">
        <v>1690</v>
      </c>
      <c r="F42" s="2" t="s">
        <v>1692</v>
      </c>
      <c r="G42" s="2" t="s">
        <v>1454</v>
      </c>
      <c r="H42" s="2"/>
      <c r="I42" s="2"/>
      <c r="J42" s="2" t="s">
        <v>44</v>
      </c>
      <c r="K42" s="2" t="s">
        <v>102</v>
      </c>
      <c r="L42" s="2" t="s">
        <v>101</v>
      </c>
      <c r="M42" s="2" t="s">
        <v>100</v>
      </c>
      <c r="N42" s="2" t="s">
        <v>1752</v>
      </c>
      <c r="O42" s="2" t="s">
        <v>43</v>
      </c>
      <c r="P42" s="3">
        <v>5</v>
      </c>
      <c r="Q42" s="3">
        <v>5</v>
      </c>
      <c r="R42" s="3">
        <v>0</v>
      </c>
      <c r="S42" s="3">
        <v>0</v>
      </c>
      <c r="T42" s="3">
        <v>0</v>
      </c>
      <c r="U42" s="3">
        <v>0</v>
      </c>
      <c r="V42" s="3">
        <v>5</v>
      </c>
      <c r="W42" s="3">
        <v>407.15</v>
      </c>
      <c r="X42" s="3">
        <v>81.43</v>
      </c>
      <c r="Y42" s="2" t="s">
        <v>1694</v>
      </c>
      <c r="Z42" s="2" t="s">
        <v>1454</v>
      </c>
      <c r="AA42" s="2" t="s">
        <v>1695</v>
      </c>
      <c r="AB42" s="2" t="s">
        <v>1691</v>
      </c>
      <c r="AC42" s="2" t="s">
        <v>1696</v>
      </c>
      <c r="AD42" s="3">
        <v>1</v>
      </c>
    </row>
    <row r="43" customHeight="1" spans="1:30">
      <c r="A43" s="4">
        <v>46311</v>
      </c>
      <c r="B43" s="2" t="s">
        <v>1690</v>
      </c>
      <c r="C43" s="2" t="s">
        <v>43</v>
      </c>
      <c r="D43" s="2" t="s">
        <v>1691</v>
      </c>
      <c r="E43" s="2" t="s">
        <v>1690</v>
      </c>
      <c r="F43" s="2" t="s">
        <v>1692</v>
      </c>
      <c r="G43" s="2" t="s">
        <v>1454</v>
      </c>
      <c r="H43" s="2"/>
      <c r="I43" s="2"/>
      <c r="J43" s="2" t="s">
        <v>44</v>
      </c>
      <c r="K43" s="2" t="s">
        <v>174</v>
      </c>
      <c r="L43" s="2" t="s">
        <v>173</v>
      </c>
      <c r="M43" s="2" t="s">
        <v>172</v>
      </c>
      <c r="N43" s="2" t="s">
        <v>1753</v>
      </c>
      <c r="O43" s="2" t="s">
        <v>43</v>
      </c>
      <c r="P43" s="3">
        <v>11</v>
      </c>
      <c r="Q43" s="3">
        <v>11</v>
      </c>
      <c r="R43" s="3">
        <v>0</v>
      </c>
      <c r="S43" s="3">
        <v>0</v>
      </c>
      <c r="T43" s="3">
        <v>0</v>
      </c>
      <c r="U43" s="3">
        <v>0</v>
      </c>
      <c r="V43" s="3">
        <v>11</v>
      </c>
      <c r="W43" s="3">
        <v>603.57</v>
      </c>
      <c r="X43" s="3">
        <v>54.87</v>
      </c>
      <c r="Y43" s="2" t="s">
        <v>1694</v>
      </c>
      <c r="Z43" s="2" t="s">
        <v>1454</v>
      </c>
      <c r="AA43" s="2" t="s">
        <v>1695</v>
      </c>
      <c r="AB43" s="2" t="s">
        <v>1691</v>
      </c>
      <c r="AC43" s="2" t="s">
        <v>1696</v>
      </c>
      <c r="AD43" s="3">
        <v>1</v>
      </c>
    </row>
    <row r="44" customHeight="1" spans="1:30">
      <c r="A44" s="4">
        <v>46311</v>
      </c>
      <c r="B44" s="2" t="s">
        <v>1690</v>
      </c>
      <c r="C44" s="2" t="s">
        <v>43</v>
      </c>
      <c r="D44" s="2" t="s">
        <v>1691</v>
      </c>
      <c r="E44" s="2" t="s">
        <v>1690</v>
      </c>
      <c r="F44" s="2" t="s">
        <v>1692</v>
      </c>
      <c r="G44" s="2" t="s">
        <v>1454</v>
      </c>
      <c r="H44" s="2"/>
      <c r="I44" s="2"/>
      <c r="J44" s="2" t="s">
        <v>44</v>
      </c>
      <c r="K44" s="2" t="s">
        <v>294</v>
      </c>
      <c r="L44" s="2" t="s">
        <v>293</v>
      </c>
      <c r="M44" s="2" t="s">
        <v>292</v>
      </c>
      <c r="N44" s="2" t="s">
        <v>1754</v>
      </c>
      <c r="O44" s="2" t="s">
        <v>43</v>
      </c>
      <c r="P44" s="3">
        <v>16</v>
      </c>
      <c r="Q44" s="3">
        <v>16</v>
      </c>
      <c r="R44" s="3">
        <v>0</v>
      </c>
      <c r="S44" s="3">
        <v>0</v>
      </c>
      <c r="T44" s="3">
        <v>0</v>
      </c>
      <c r="U44" s="3">
        <v>0</v>
      </c>
      <c r="V44" s="3">
        <v>16</v>
      </c>
      <c r="W44" s="3">
        <v>992.96</v>
      </c>
      <c r="X44" s="3">
        <v>62.06</v>
      </c>
      <c r="Y44" s="2" t="s">
        <v>1694</v>
      </c>
      <c r="Z44" s="2" t="s">
        <v>1454</v>
      </c>
      <c r="AA44" s="2" t="s">
        <v>1695</v>
      </c>
      <c r="AB44" s="2" t="s">
        <v>1691</v>
      </c>
      <c r="AC44" s="2" t="s">
        <v>1696</v>
      </c>
      <c r="AD44" s="3">
        <v>1</v>
      </c>
    </row>
    <row r="45" customHeight="1" spans="1:30">
      <c r="A45" s="4">
        <v>46311</v>
      </c>
      <c r="B45" s="2" t="s">
        <v>1690</v>
      </c>
      <c r="C45" s="2" t="s">
        <v>43</v>
      </c>
      <c r="D45" s="2" t="s">
        <v>1691</v>
      </c>
      <c r="E45" s="2" t="s">
        <v>1690</v>
      </c>
      <c r="F45" s="2" t="s">
        <v>1692</v>
      </c>
      <c r="G45" s="2" t="s">
        <v>1454</v>
      </c>
      <c r="H45" s="2"/>
      <c r="I45" s="2"/>
      <c r="J45" s="2" t="s">
        <v>55</v>
      </c>
      <c r="K45" s="2" t="s">
        <v>90</v>
      </c>
      <c r="L45" s="2" t="s">
        <v>89</v>
      </c>
      <c r="M45" s="2" t="s">
        <v>88</v>
      </c>
      <c r="N45" s="2" t="s">
        <v>1755</v>
      </c>
      <c r="O45" s="2" t="s">
        <v>43</v>
      </c>
      <c r="P45" s="3">
        <v>10</v>
      </c>
      <c r="Q45" s="3">
        <v>10</v>
      </c>
      <c r="R45" s="3">
        <v>0</v>
      </c>
      <c r="S45" s="3">
        <v>0</v>
      </c>
      <c r="T45" s="3">
        <v>3</v>
      </c>
      <c r="U45" s="3">
        <v>0</v>
      </c>
      <c r="V45" s="3">
        <v>13</v>
      </c>
      <c r="W45" s="3">
        <v>610.61</v>
      </c>
      <c r="X45" s="3">
        <v>46.97</v>
      </c>
      <c r="Y45" s="2" t="s">
        <v>1694</v>
      </c>
      <c r="Z45" s="2" t="s">
        <v>1454</v>
      </c>
      <c r="AA45" s="2" t="s">
        <v>1695</v>
      </c>
      <c r="AB45" s="2" t="s">
        <v>1691</v>
      </c>
      <c r="AC45" s="2" t="s">
        <v>1696</v>
      </c>
      <c r="AD45" s="3">
        <v>1</v>
      </c>
    </row>
    <row r="46" customHeight="1" spans="1:30">
      <c r="A46" s="4">
        <v>46311</v>
      </c>
      <c r="B46" s="2" t="s">
        <v>1690</v>
      </c>
      <c r="C46" s="2" t="s">
        <v>43</v>
      </c>
      <c r="D46" s="2" t="s">
        <v>1691</v>
      </c>
      <c r="E46" s="2" t="s">
        <v>1690</v>
      </c>
      <c r="F46" s="2" t="s">
        <v>1692</v>
      </c>
      <c r="G46" s="2" t="s">
        <v>1454</v>
      </c>
      <c r="H46" s="2"/>
      <c r="I46" s="2"/>
      <c r="J46" s="2" t="s">
        <v>55</v>
      </c>
      <c r="K46" s="2" t="s">
        <v>159</v>
      </c>
      <c r="L46" s="2" t="s">
        <v>158</v>
      </c>
      <c r="M46" s="2" t="s">
        <v>157</v>
      </c>
      <c r="N46" s="2" t="s">
        <v>1756</v>
      </c>
      <c r="O46" s="2" t="s">
        <v>43</v>
      </c>
      <c r="P46" s="3">
        <v>4</v>
      </c>
      <c r="Q46" s="3">
        <v>3</v>
      </c>
      <c r="R46" s="3">
        <v>0</v>
      </c>
      <c r="S46" s="3">
        <v>0</v>
      </c>
      <c r="T46" s="3">
        <v>0</v>
      </c>
      <c r="U46" s="3">
        <v>0</v>
      </c>
      <c r="V46" s="3">
        <v>4</v>
      </c>
      <c r="W46" s="3">
        <v>503.64</v>
      </c>
      <c r="X46" s="3">
        <v>125.91</v>
      </c>
      <c r="Y46" s="2" t="s">
        <v>1694</v>
      </c>
      <c r="Z46" s="2" t="s">
        <v>1454</v>
      </c>
      <c r="AA46" s="2" t="s">
        <v>1695</v>
      </c>
      <c r="AB46" s="2" t="s">
        <v>1691</v>
      </c>
      <c r="AC46" s="2" t="s">
        <v>1696</v>
      </c>
      <c r="AD46" s="3">
        <v>1</v>
      </c>
    </row>
    <row r="47" customHeight="1" spans="1:30">
      <c r="A47" s="4">
        <v>46311</v>
      </c>
      <c r="B47" s="2" t="s">
        <v>1690</v>
      </c>
      <c r="C47" s="2" t="s">
        <v>43</v>
      </c>
      <c r="D47" s="2" t="s">
        <v>1691</v>
      </c>
      <c r="E47" s="2" t="s">
        <v>1690</v>
      </c>
      <c r="F47" s="2" t="s">
        <v>1692</v>
      </c>
      <c r="G47" s="2" t="s">
        <v>1454</v>
      </c>
      <c r="H47" s="2"/>
      <c r="I47" s="2"/>
      <c r="J47" s="2" t="s">
        <v>44</v>
      </c>
      <c r="K47" s="2" t="s">
        <v>333</v>
      </c>
      <c r="L47" s="2" t="s">
        <v>332</v>
      </c>
      <c r="M47" s="2" t="s">
        <v>331</v>
      </c>
      <c r="N47" s="2" t="s">
        <v>1757</v>
      </c>
      <c r="O47" s="2" t="s">
        <v>43</v>
      </c>
      <c r="P47" s="3">
        <v>25</v>
      </c>
      <c r="Q47" s="3">
        <v>19</v>
      </c>
      <c r="R47" s="3">
        <v>0</v>
      </c>
      <c r="S47" s="3">
        <v>0</v>
      </c>
      <c r="T47" s="3">
        <v>0</v>
      </c>
      <c r="U47" s="3">
        <v>0</v>
      </c>
      <c r="V47" s="3">
        <v>25</v>
      </c>
      <c r="W47" s="3">
        <v>2478</v>
      </c>
      <c r="X47" s="3">
        <v>99.12</v>
      </c>
      <c r="Y47" s="2" t="s">
        <v>1694</v>
      </c>
      <c r="Z47" s="2" t="s">
        <v>1454</v>
      </c>
      <c r="AA47" s="2" t="s">
        <v>1695</v>
      </c>
      <c r="AB47" s="2" t="s">
        <v>1691</v>
      </c>
      <c r="AC47" s="2" t="s">
        <v>1696</v>
      </c>
      <c r="AD47" s="3">
        <v>1</v>
      </c>
    </row>
    <row r="48" customHeight="1" spans="1:30">
      <c r="A48" s="4">
        <v>46311</v>
      </c>
      <c r="B48" s="2" t="s">
        <v>1690</v>
      </c>
      <c r="C48" s="2" t="s">
        <v>43</v>
      </c>
      <c r="D48" s="2" t="s">
        <v>1691</v>
      </c>
      <c r="E48" s="2" t="s">
        <v>1690</v>
      </c>
      <c r="F48" s="2" t="s">
        <v>1692</v>
      </c>
      <c r="G48" s="2" t="s">
        <v>1454</v>
      </c>
      <c r="H48" s="2"/>
      <c r="I48" s="2"/>
      <c r="J48" s="2" t="s">
        <v>44</v>
      </c>
      <c r="K48" s="2" t="s">
        <v>217</v>
      </c>
      <c r="L48" s="2" t="s">
        <v>216</v>
      </c>
      <c r="M48" s="2" t="s">
        <v>215</v>
      </c>
      <c r="N48" s="2" t="s">
        <v>1758</v>
      </c>
      <c r="O48" s="2" t="s">
        <v>43</v>
      </c>
      <c r="P48" s="3">
        <v>22</v>
      </c>
      <c r="Q48" s="3">
        <v>22</v>
      </c>
      <c r="R48" s="3">
        <v>0</v>
      </c>
      <c r="S48" s="3">
        <v>12</v>
      </c>
      <c r="T48" s="3">
        <v>18</v>
      </c>
      <c r="U48" s="3">
        <v>0</v>
      </c>
      <c r="V48" s="3">
        <v>40</v>
      </c>
      <c r="W48" s="3">
        <v>3717.6</v>
      </c>
      <c r="X48" s="3">
        <v>92.94</v>
      </c>
      <c r="Y48" s="2" t="s">
        <v>1714</v>
      </c>
      <c r="Z48" s="2" t="s">
        <v>1454</v>
      </c>
      <c r="AA48" s="2" t="s">
        <v>1695</v>
      </c>
      <c r="AB48" s="2" t="s">
        <v>1691</v>
      </c>
      <c r="AC48" s="2" t="s">
        <v>1696</v>
      </c>
      <c r="AD48" s="3">
        <v>1</v>
      </c>
    </row>
    <row r="49" customHeight="1" spans="1:30">
      <c r="A49" s="4">
        <v>46311</v>
      </c>
      <c r="B49" s="2" t="s">
        <v>1690</v>
      </c>
      <c r="C49" s="2" t="s">
        <v>43</v>
      </c>
      <c r="D49" s="2" t="s">
        <v>1691</v>
      </c>
      <c r="E49" s="2" t="s">
        <v>1690</v>
      </c>
      <c r="F49" s="2" t="s">
        <v>1692</v>
      </c>
      <c r="G49" s="2" t="s">
        <v>1454</v>
      </c>
      <c r="H49" s="2"/>
      <c r="I49" s="2"/>
      <c r="J49" s="2" t="s">
        <v>44</v>
      </c>
      <c r="K49" s="2" t="s">
        <v>84</v>
      </c>
      <c r="L49" s="2" t="s">
        <v>83</v>
      </c>
      <c r="M49" s="2" t="s">
        <v>82</v>
      </c>
      <c r="N49" s="2" t="s">
        <v>1708</v>
      </c>
      <c r="O49" s="2" t="s">
        <v>43</v>
      </c>
      <c r="P49" s="3">
        <v>28</v>
      </c>
      <c r="Q49" s="3">
        <v>28</v>
      </c>
      <c r="R49" s="3">
        <v>0</v>
      </c>
      <c r="S49" s="3">
        <v>0</v>
      </c>
      <c r="T49" s="3">
        <v>0</v>
      </c>
      <c r="U49" s="3">
        <v>0</v>
      </c>
      <c r="V49" s="3">
        <v>28</v>
      </c>
      <c r="W49" s="3">
        <v>2256.52</v>
      </c>
      <c r="X49" s="3">
        <v>80.59</v>
      </c>
      <c r="Y49" s="2" t="s">
        <v>1694</v>
      </c>
      <c r="Z49" s="2" t="s">
        <v>1454</v>
      </c>
      <c r="AA49" s="2" t="s">
        <v>1695</v>
      </c>
      <c r="AB49" s="2" t="s">
        <v>1691</v>
      </c>
      <c r="AC49" s="2" t="s">
        <v>1696</v>
      </c>
      <c r="AD49" s="3">
        <v>1</v>
      </c>
    </row>
    <row r="50" customHeight="1" spans="1:30">
      <c r="A50" s="4">
        <v>46311</v>
      </c>
      <c r="B50" s="2" t="s">
        <v>1690</v>
      </c>
      <c r="C50" s="2" t="s">
        <v>43</v>
      </c>
      <c r="D50" s="2" t="s">
        <v>1691</v>
      </c>
      <c r="E50" s="2" t="s">
        <v>1690</v>
      </c>
      <c r="F50" s="2" t="s">
        <v>1692</v>
      </c>
      <c r="G50" s="2" t="s">
        <v>1454</v>
      </c>
      <c r="H50" s="2"/>
      <c r="I50" s="2"/>
      <c r="J50" s="2" t="s">
        <v>44</v>
      </c>
      <c r="K50" s="2" t="s">
        <v>153</v>
      </c>
      <c r="L50" s="2" t="s">
        <v>152</v>
      </c>
      <c r="M50" s="2" t="s">
        <v>151</v>
      </c>
      <c r="N50" s="2" t="s">
        <v>1759</v>
      </c>
      <c r="O50" s="2" t="s">
        <v>43</v>
      </c>
      <c r="P50" s="3">
        <v>6</v>
      </c>
      <c r="Q50" s="3">
        <v>5</v>
      </c>
      <c r="R50" s="3">
        <v>0</v>
      </c>
      <c r="S50" s="3">
        <v>0</v>
      </c>
      <c r="T50" s="3">
        <v>0</v>
      </c>
      <c r="U50" s="3">
        <v>0</v>
      </c>
      <c r="V50" s="3">
        <v>6</v>
      </c>
      <c r="W50" s="3">
        <v>1074.9</v>
      </c>
      <c r="X50" s="3">
        <v>179.15</v>
      </c>
      <c r="Y50" s="2" t="s">
        <v>1694</v>
      </c>
      <c r="Z50" s="2" t="s">
        <v>1454</v>
      </c>
      <c r="AA50" s="2" t="s">
        <v>1695</v>
      </c>
      <c r="AB50" s="2" t="s">
        <v>1691</v>
      </c>
      <c r="AC50" s="2" t="s">
        <v>1696</v>
      </c>
      <c r="AD50" s="3">
        <v>1</v>
      </c>
    </row>
    <row r="51" customHeight="1" spans="1:30">
      <c r="A51" s="4">
        <v>46311</v>
      </c>
      <c r="B51" s="2" t="s">
        <v>1690</v>
      </c>
      <c r="C51" s="2" t="s">
        <v>43</v>
      </c>
      <c r="D51" s="2" t="s">
        <v>1691</v>
      </c>
      <c r="E51" s="2" t="s">
        <v>1690</v>
      </c>
      <c r="F51" s="2" t="s">
        <v>1692</v>
      </c>
      <c r="G51" s="2" t="s">
        <v>1454</v>
      </c>
      <c r="H51" s="2"/>
      <c r="I51" s="2"/>
      <c r="J51" s="2" t="s">
        <v>44</v>
      </c>
      <c r="K51" s="2" t="s">
        <v>309</v>
      </c>
      <c r="L51" s="2" t="s">
        <v>308</v>
      </c>
      <c r="M51" s="2" t="s">
        <v>307</v>
      </c>
      <c r="N51" s="2" t="s">
        <v>1760</v>
      </c>
      <c r="O51" s="2" t="s">
        <v>43</v>
      </c>
      <c r="P51" s="3">
        <v>5</v>
      </c>
      <c r="Q51" s="3">
        <v>3</v>
      </c>
      <c r="R51" s="3">
        <v>0</v>
      </c>
      <c r="S51" s="3">
        <v>0</v>
      </c>
      <c r="T51" s="3">
        <v>0</v>
      </c>
      <c r="U51" s="3">
        <v>0</v>
      </c>
      <c r="V51" s="3">
        <v>5</v>
      </c>
      <c r="W51" s="3">
        <v>345.9</v>
      </c>
      <c r="X51" s="3">
        <v>69.18</v>
      </c>
      <c r="Y51" s="2" t="s">
        <v>1694</v>
      </c>
      <c r="Z51" s="2" t="s">
        <v>1454</v>
      </c>
      <c r="AA51" s="2" t="s">
        <v>1695</v>
      </c>
      <c r="AB51" s="2" t="s">
        <v>1691</v>
      </c>
      <c r="AC51" s="2" t="s">
        <v>1696</v>
      </c>
      <c r="AD51" s="3">
        <v>1</v>
      </c>
    </row>
    <row r="52" customHeight="1" spans="1:30">
      <c r="A52" s="4">
        <v>46311</v>
      </c>
      <c r="B52" s="2" t="s">
        <v>1690</v>
      </c>
      <c r="C52" s="2" t="s">
        <v>43</v>
      </c>
      <c r="D52" s="2" t="s">
        <v>1691</v>
      </c>
      <c r="E52" s="2" t="s">
        <v>1690</v>
      </c>
      <c r="F52" s="2" t="s">
        <v>1692</v>
      </c>
      <c r="G52" s="2" t="s">
        <v>1454</v>
      </c>
      <c r="H52" s="2"/>
      <c r="I52" s="2"/>
      <c r="J52" s="2" t="s">
        <v>44</v>
      </c>
      <c r="K52" s="2" t="s">
        <v>229</v>
      </c>
      <c r="L52" s="2" t="s">
        <v>228</v>
      </c>
      <c r="M52" s="2" t="s">
        <v>227</v>
      </c>
      <c r="N52" s="2" t="s">
        <v>1761</v>
      </c>
      <c r="O52" s="2" t="s">
        <v>43</v>
      </c>
      <c r="P52" s="3">
        <v>8</v>
      </c>
      <c r="Q52" s="3">
        <v>8</v>
      </c>
      <c r="R52" s="3">
        <v>0</v>
      </c>
      <c r="S52" s="3">
        <v>13</v>
      </c>
      <c r="T52" s="3">
        <v>1</v>
      </c>
      <c r="U52" s="3">
        <v>0</v>
      </c>
      <c r="V52" s="3">
        <v>9</v>
      </c>
      <c r="W52" s="3">
        <v>461.97</v>
      </c>
      <c r="X52" s="3">
        <v>51.33</v>
      </c>
      <c r="Y52" s="2" t="s">
        <v>1694</v>
      </c>
      <c r="Z52" s="2" t="s">
        <v>1454</v>
      </c>
      <c r="AA52" s="2" t="s">
        <v>1695</v>
      </c>
      <c r="AB52" s="2" t="s">
        <v>1691</v>
      </c>
      <c r="AC52" s="2" t="s">
        <v>1696</v>
      </c>
      <c r="AD52" s="3">
        <v>1</v>
      </c>
    </row>
    <row r="53" customHeight="1" spans="1:30">
      <c r="A53" s="4">
        <v>46311</v>
      </c>
      <c r="B53" s="2" t="s">
        <v>1690</v>
      </c>
      <c r="C53" s="2" t="s">
        <v>43</v>
      </c>
      <c r="D53" s="2" t="s">
        <v>1691</v>
      </c>
      <c r="E53" s="2" t="s">
        <v>1690</v>
      </c>
      <c r="F53" s="2" t="s">
        <v>1692</v>
      </c>
      <c r="G53" s="2" t="s">
        <v>1454</v>
      </c>
      <c r="H53" s="2"/>
      <c r="I53" s="2"/>
      <c r="J53" s="2" t="s">
        <v>44</v>
      </c>
      <c r="K53" s="2" t="s">
        <v>195</v>
      </c>
      <c r="L53" s="2" t="s">
        <v>194</v>
      </c>
      <c r="M53" s="2" t="s">
        <v>193</v>
      </c>
      <c r="N53" s="2" t="s">
        <v>1762</v>
      </c>
      <c r="O53" s="2" t="s">
        <v>43</v>
      </c>
      <c r="P53" s="3">
        <v>0</v>
      </c>
      <c r="Q53" s="3">
        <v>0</v>
      </c>
      <c r="R53" s="3">
        <v>0</v>
      </c>
      <c r="S53" s="3">
        <v>20</v>
      </c>
      <c r="T53" s="3">
        <v>20</v>
      </c>
      <c r="U53" s="3">
        <v>0</v>
      </c>
      <c r="V53" s="3">
        <v>20</v>
      </c>
      <c r="W53" s="3">
        <v>1026.6</v>
      </c>
      <c r="X53" s="3">
        <v>51.33</v>
      </c>
      <c r="Y53" s="2" t="s">
        <v>1694</v>
      </c>
      <c r="Z53" s="2" t="s">
        <v>1454</v>
      </c>
      <c r="AA53" s="2" t="s">
        <v>1695</v>
      </c>
      <c r="AB53" s="2" t="s">
        <v>1691</v>
      </c>
      <c r="AC53" s="2" t="s">
        <v>1696</v>
      </c>
      <c r="AD53" s="3">
        <v>1</v>
      </c>
    </row>
    <row r="54" customHeight="1" spans="1:30">
      <c r="A54" s="4">
        <v>46311</v>
      </c>
      <c r="B54" s="2" t="s">
        <v>1690</v>
      </c>
      <c r="C54" s="2" t="s">
        <v>43</v>
      </c>
      <c r="D54" s="2" t="s">
        <v>1691</v>
      </c>
      <c r="E54" s="2" t="s">
        <v>1690</v>
      </c>
      <c r="F54" s="2" t="s">
        <v>1692</v>
      </c>
      <c r="G54" s="2" t="s">
        <v>1454</v>
      </c>
      <c r="H54" s="2"/>
      <c r="I54" s="2"/>
      <c r="J54" s="2" t="s">
        <v>343</v>
      </c>
      <c r="K54" s="2" t="s">
        <v>418</v>
      </c>
      <c r="L54" s="2" t="s">
        <v>417</v>
      </c>
      <c r="M54" s="2" t="s">
        <v>416</v>
      </c>
      <c r="N54" s="2" t="s">
        <v>1763</v>
      </c>
      <c r="O54" s="2" t="s">
        <v>43</v>
      </c>
      <c r="P54" s="3">
        <v>0</v>
      </c>
      <c r="Q54" s="3">
        <v>0</v>
      </c>
      <c r="R54" s="3">
        <v>0</v>
      </c>
      <c r="S54" s="3">
        <v>1</v>
      </c>
      <c r="T54" s="3">
        <v>1</v>
      </c>
      <c r="U54" s="3">
        <v>0</v>
      </c>
      <c r="V54" s="3">
        <v>1</v>
      </c>
      <c r="W54" s="3">
        <v>97.53</v>
      </c>
      <c r="X54" s="3">
        <v>97.53</v>
      </c>
      <c r="Y54" s="2" t="s">
        <v>1710</v>
      </c>
      <c r="Z54" s="2" t="s">
        <v>1454</v>
      </c>
      <c r="AA54" s="2" t="s">
        <v>1695</v>
      </c>
      <c r="AB54" s="2" t="s">
        <v>1691</v>
      </c>
      <c r="AC54" s="2" t="s">
        <v>1696</v>
      </c>
      <c r="AD54" s="3">
        <v>1</v>
      </c>
    </row>
    <row r="55" customHeight="1" spans="1:30">
      <c r="A55" s="4">
        <v>46311</v>
      </c>
      <c r="B55" s="2" t="s">
        <v>1690</v>
      </c>
      <c r="C55" s="2" t="s">
        <v>43</v>
      </c>
      <c r="D55" s="2" t="s">
        <v>1691</v>
      </c>
      <c r="E55" s="2" t="s">
        <v>1690</v>
      </c>
      <c r="F55" s="2" t="s">
        <v>1692</v>
      </c>
      <c r="G55" s="2" t="s">
        <v>1454</v>
      </c>
      <c r="H55" s="2"/>
      <c r="I55" s="2"/>
      <c r="J55" s="2" t="s">
        <v>44</v>
      </c>
      <c r="K55" s="2" t="s">
        <v>192</v>
      </c>
      <c r="L55" s="2" t="s">
        <v>191</v>
      </c>
      <c r="M55" s="2" t="s">
        <v>190</v>
      </c>
      <c r="N55" s="2" t="s">
        <v>1764</v>
      </c>
      <c r="O55" s="2" t="s">
        <v>43</v>
      </c>
      <c r="P55" s="3">
        <v>25</v>
      </c>
      <c r="Q55" s="3">
        <v>24</v>
      </c>
      <c r="R55" s="3">
        <v>0</v>
      </c>
      <c r="S55" s="3">
        <v>0</v>
      </c>
      <c r="T55" s="3">
        <v>0</v>
      </c>
      <c r="U55" s="3">
        <v>0</v>
      </c>
      <c r="V55" s="3">
        <v>25</v>
      </c>
      <c r="W55" s="3">
        <v>2487.75</v>
      </c>
      <c r="X55" s="3">
        <v>99.51</v>
      </c>
      <c r="Y55" s="2" t="s">
        <v>1694</v>
      </c>
      <c r="Z55" s="2" t="s">
        <v>1454</v>
      </c>
      <c r="AA55" s="2" t="s">
        <v>1695</v>
      </c>
      <c r="AB55" s="2" t="s">
        <v>1691</v>
      </c>
      <c r="AC55" s="2" t="s">
        <v>1696</v>
      </c>
      <c r="AD55" s="3">
        <v>1</v>
      </c>
    </row>
    <row r="56" customHeight="1" spans="1:30">
      <c r="A56" s="4">
        <v>46311</v>
      </c>
      <c r="B56" s="2" t="s">
        <v>1690</v>
      </c>
      <c r="C56" s="2" t="s">
        <v>43</v>
      </c>
      <c r="D56" s="2" t="s">
        <v>1691</v>
      </c>
      <c r="E56" s="2" t="s">
        <v>1690</v>
      </c>
      <c r="F56" s="2" t="s">
        <v>1692</v>
      </c>
      <c r="G56" s="2" t="s">
        <v>1454</v>
      </c>
      <c r="H56" s="2"/>
      <c r="I56" s="2"/>
      <c r="J56" s="2" t="s">
        <v>55</v>
      </c>
      <c r="K56" s="2" t="s">
        <v>111</v>
      </c>
      <c r="L56" s="2" t="s">
        <v>110</v>
      </c>
      <c r="M56" s="2" t="s">
        <v>109</v>
      </c>
      <c r="N56" s="2" t="s">
        <v>1765</v>
      </c>
      <c r="O56" s="2" t="s">
        <v>43</v>
      </c>
      <c r="P56" s="3">
        <v>7</v>
      </c>
      <c r="Q56" s="3">
        <v>7</v>
      </c>
      <c r="R56" s="3">
        <v>0</v>
      </c>
      <c r="S56" s="3">
        <v>0</v>
      </c>
      <c r="T56" s="3">
        <v>0</v>
      </c>
      <c r="U56" s="3">
        <v>0</v>
      </c>
      <c r="V56" s="3">
        <v>7</v>
      </c>
      <c r="W56" s="3">
        <v>378.21</v>
      </c>
      <c r="X56" s="3">
        <v>54.03</v>
      </c>
      <c r="Y56" s="2" t="s">
        <v>1694</v>
      </c>
      <c r="Z56" s="2" t="s">
        <v>1454</v>
      </c>
      <c r="AA56" s="2" t="s">
        <v>1695</v>
      </c>
      <c r="AB56" s="2" t="s">
        <v>1691</v>
      </c>
      <c r="AC56" s="2" t="s">
        <v>1696</v>
      </c>
      <c r="AD56" s="3">
        <v>1</v>
      </c>
    </row>
    <row r="57" customHeight="1" spans="1:30">
      <c r="A57" s="4">
        <v>46311</v>
      </c>
      <c r="B57" s="2" t="s">
        <v>1690</v>
      </c>
      <c r="C57" s="2" t="s">
        <v>43</v>
      </c>
      <c r="D57" s="2" t="s">
        <v>1691</v>
      </c>
      <c r="E57" s="2" t="s">
        <v>1690</v>
      </c>
      <c r="F57" s="2" t="s">
        <v>1692</v>
      </c>
      <c r="G57" s="2" t="s">
        <v>1454</v>
      </c>
      <c r="H57" s="2"/>
      <c r="I57" s="2"/>
      <c r="J57" s="2" t="s">
        <v>44</v>
      </c>
      <c r="K57" s="2" t="s">
        <v>242</v>
      </c>
      <c r="L57" s="2" t="s">
        <v>241</v>
      </c>
      <c r="M57" s="2" t="s">
        <v>240</v>
      </c>
      <c r="N57" s="2" t="s">
        <v>1766</v>
      </c>
      <c r="O57" s="2" t="s">
        <v>43</v>
      </c>
      <c r="P57" s="3">
        <v>6</v>
      </c>
      <c r="Q57" s="3">
        <v>0</v>
      </c>
      <c r="R57" s="3">
        <v>0</v>
      </c>
      <c r="S57" s="3">
        <v>8</v>
      </c>
      <c r="T57" s="3">
        <v>8</v>
      </c>
      <c r="U57" s="3">
        <v>0</v>
      </c>
      <c r="V57" s="3">
        <v>14</v>
      </c>
      <c r="W57" s="3">
        <v>1115.38</v>
      </c>
      <c r="X57" s="3">
        <v>79.67</v>
      </c>
      <c r="Y57" s="2" t="s">
        <v>1694</v>
      </c>
      <c r="Z57" s="2" t="s">
        <v>1454</v>
      </c>
      <c r="AA57" s="2" t="s">
        <v>1695</v>
      </c>
      <c r="AB57" s="2" t="s">
        <v>1691</v>
      </c>
      <c r="AC57" s="2" t="s">
        <v>1696</v>
      </c>
      <c r="AD57" s="3">
        <v>1</v>
      </c>
    </row>
    <row r="58" customHeight="1" spans="1:30">
      <c r="A58" s="4">
        <v>46311</v>
      </c>
      <c r="B58" s="2" t="s">
        <v>1690</v>
      </c>
      <c r="C58" s="2" t="s">
        <v>43</v>
      </c>
      <c r="D58" s="2" t="s">
        <v>1691</v>
      </c>
      <c r="E58" s="2" t="s">
        <v>1690</v>
      </c>
      <c r="F58" s="2" t="s">
        <v>1692</v>
      </c>
      <c r="G58" s="2" t="s">
        <v>1454</v>
      </c>
      <c r="H58" s="2"/>
      <c r="I58" s="2"/>
      <c r="J58" s="2" t="s">
        <v>44</v>
      </c>
      <c r="K58" s="2" t="s">
        <v>214</v>
      </c>
      <c r="L58" s="2" t="s">
        <v>213</v>
      </c>
      <c r="M58" s="2" t="s">
        <v>212</v>
      </c>
      <c r="N58" s="2" t="s">
        <v>1767</v>
      </c>
      <c r="O58" s="2" t="s">
        <v>43</v>
      </c>
      <c r="P58" s="3">
        <v>0</v>
      </c>
      <c r="Q58" s="3">
        <v>0</v>
      </c>
      <c r="R58" s="3">
        <v>0</v>
      </c>
      <c r="S58" s="3">
        <v>0</v>
      </c>
      <c r="T58" s="3">
        <v>35</v>
      </c>
      <c r="U58" s="3">
        <v>0</v>
      </c>
      <c r="V58" s="3">
        <v>35</v>
      </c>
      <c r="W58" s="3">
        <v>7126.7</v>
      </c>
      <c r="X58" s="3">
        <v>203.62</v>
      </c>
      <c r="Y58" s="2" t="s">
        <v>1694</v>
      </c>
      <c r="Z58" s="2" t="s">
        <v>1454</v>
      </c>
      <c r="AA58" s="2" t="s">
        <v>1695</v>
      </c>
      <c r="AB58" s="2" t="s">
        <v>1691</v>
      </c>
      <c r="AC58" s="2" t="s">
        <v>1696</v>
      </c>
      <c r="AD58" s="3">
        <v>1</v>
      </c>
    </row>
    <row r="59" customHeight="1" spans="1:30">
      <c r="A59" s="4">
        <v>46311</v>
      </c>
      <c r="B59" s="2" t="s">
        <v>1690</v>
      </c>
      <c r="C59" s="2" t="s">
        <v>43</v>
      </c>
      <c r="D59" s="2" t="s">
        <v>1691</v>
      </c>
      <c r="E59" s="2" t="s">
        <v>1690</v>
      </c>
      <c r="F59" s="2" t="s">
        <v>1692</v>
      </c>
      <c r="G59" s="2" t="s">
        <v>1454</v>
      </c>
      <c r="H59" s="2"/>
      <c r="I59" s="2"/>
      <c r="J59" s="2" t="s">
        <v>44</v>
      </c>
      <c r="K59" s="2" t="s">
        <v>150</v>
      </c>
      <c r="L59" s="2" t="s">
        <v>149</v>
      </c>
      <c r="M59" s="2" t="s">
        <v>148</v>
      </c>
      <c r="N59" s="2" t="s">
        <v>1768</v>
      </c>
      <c r="O59" s="2" t="s">
        <v>43</v>
      </c>
      <c r="P59" s="3">
        <v>2</v>
      </c>
      <c r="Q59" s="3">
        <v>2</v>
      </c>
      <c r="R59" s="3">
        <v>0</v>
      </c>
      <c r="S59" s="3">
        <v>0</v>
      </c>
      <c r="T59" s="3">
        <v>11</v>
      </c>
      <c r="U59" s="3">
        <v>0</v>
      </c>
      <c r="V59" s="3">
        <v>13</v>
      </c>
      <c r="W59" s="3">
        <v>1341.6</v>
      </c>
      <c r="X59" s="3">
        <v>103.2</v>
      </c>
      <c r="Y59" s="2" t="s">
        <v>1694</v>
      </c>
      <c r="Z59" s="2" t="s">
        <v>1454</v>
      </c>
      <c r="AA59" s="2" t="s">
        <v>1695</v>
      </c>
      <c r="AB59" s="2" t="s">
        <v>1691</v>
      </c>
      <c r="AC59" s="2" t="s">
        <v>1696</v>
      </c>
      <c r="AD59" s="3">
        <v>1</v>
      </c>
    </row>
    <row r="60" customHeight="1" spans="1:30">
      <c r="A60" s="4">
        <v>46311</v>
      </c>
      <c r="B60" s="2" t="s">
        <v>1690</v>
      </c>
      <c r="C60" s="2" t="s">
        <v>43</v>
      </c>
      <c r="D60" s="2" t="s">
        <v>1691</v>
      </c>
      <c r="E60" s="2" t="s">
        <v>1690</v>
      </c>
      <c r="F60" s="2" t="s">
        <v>1692</v>
      </c>
      <c r="G60" s="2" t="s">
        <v>1454</v>
      </c>
      <c r="H60" s="2"/>
      <c r="I60" s="2"/>
      <c r="J60" s="2" t="s">
        <v>44</v>
      </c>
      <c r="K60" s="2" t="s">
        <v>339</v>
      </c>
      <c r="L60" s="2" t="s">
        <v>338</v>
      </c>
      <c r="M60" s="2" t="s">
        <v>337</v>
      </c>
      <c r="N60" s="2" t="s">
        <v>1769</v>
      </c>
      <c r="O60" s="2" t="s">
        <v>43</v>
      </c>
      <c r="P60" s="3">
        <v>0</v>
      </c>
      <c r="Q60" s="3">
        <v>0</v>
      </c>
      <c r="R60" s="3">
        <v>0</v>
      </c>
      <c r="S60" s="3">
        <v>20</v>
      </c>
      <c r="T60" s="3">
        <v>0</v>
      </c>
      <c r="U60" s="3">
        <v>0</v>
      </c>
      <c r="V60" s="3">
        <v>0</v>
      </c>
      <c r="W60" s="3">
        <v>0</v>
      </c>
      <c r="X60" s="3">
        <v>55.97</v>
      </c>
      <c r="Y60" s="2" t="s">
        <v>1694</v>
      </c>
      <c r="Z60" s="2" t="s">
        <v>1454</v>
      </c>
      <c r="AA60" s="2" t="s">
        <v>1695</v>
      </c>
      <c r="AB60" s="2" t="s">
        <v>1691</v>
      </c>
      <c r="AC60" s="2" t="s">
        <v>1696</v>
      </c>
      <c r="AD60" s="3">
        <v>1</v>
      </c>
    </row>
    <row r="61" customHeight="1" spans="1:30">
      <c r="A61" s="4">
        <v>46311</v>
      </c>
      <c r="B61" s="2" t="s">
        <v>1690</v>
      </c>
      <c r="C61" s="2" t="s">
        <v>43</v>
      </c>
      <c r="D61" s="2" t="s">
        <v>1691</v>
      </c>
      <c r="E61" s="2" t="s">
        <v>1690</v>
      </c>
      <c r="F61" s="2" t="s">
        <v>1692</v>
      </c>
      <c r="G61" s="2" t="s">
        <v>1454</v>
      </c>
      <c r="H61" s="2"/>
      <c r="I61" s="2"/>
      <c r="J61" s="2" t="s">
        <v>44</v>
      </c>
      <c r="K61" s="2" t="s">
        <v>220</v>
      </c>
      <c r="L61" s="2" t="s">
        <v>219</v>
      </c>
      <c r="M61" s="2" t="s">
        <v>218</v>
      </c>
      <c r="N61" s="2" t="s">
        <v>1770</v>
      </c>
      <c r="O61" s="2" t="s">
        <v>43</v>
      </c>
      <c r="P61" s="3">
        <v>18</v>
      </c>
      <c r="Q61" s="3">
        <v>2</v>
      </c>
      <c r="R61" s="3">
        <v>0</v>
      </c>
      <c r="S61" s="3">
        <v>4</v>
      </c>
      <c r="T61" s="3">
        <v>0</v>
      </c>
      <c r="U61" s="3">
        <v>0</v>
      </c>
      <c r="V61" s="3">
        <v>18</v>
      </c>
      <c r="W61" s="3">
        <v>700.92</v>
      </c>
      <c r="X61" s="3">
        <v>38.94</v>
      </c>
      <c r="Y61" s="2" t="s">
        <v>1694</v>
      </c>
      <c r="Z61" s="2" t="s">
        <v>1454</v>
      </c>
      <c r="AA61" s="2" t="s">
        <v>1695</v>
      </c>
      <c r="AB61" s="2" t="s">
        <v>1691</v>
      </c>
      <c r="AC61" s="2" t="s">
        <v>1696</v>
      </c>
      <c r="AD61" s="3">
        <v>1</v>
      </c>
    </row>
    <row r="62" customHeight="1" spans="1:30">
      <c r="A62" s="4">
        <v>46311</v>
      </c>
      <c r="B62" s="2" t="s">
        <v>1690</v>
      </c>
      <c r="C62" s="2" t="s">
        <v>43</v>
      </c>
      <c r="D62" s="2" t="s">
        <v>1691</v>
      </c>
      <c r="E62" s="2" t="s">
        <v>1690</v>
      </c>
      <c r="F62" s="2" t="s">
        <v>1692</v>
      </c>
      <c r="G62" s="2" t="s">
        <v>1454</v>
      </c>
      <c r="H62" s="2"/>
      <c r="I62" s="2"/>
      <c r="J62" s="2" t="s">
        <v>343</v>
      </c>
      <c r="K62" s="2" t="s">
        <v>412</v>
      </c>
      <c r="L62" s="2" t="s">
        <v>411</v>
      </c>
      <c r="M62" s="2" t="s">
        <v>410</v>
      </c>
      <c r="N62" s="2" t="s">
        <v>1771</v>
      </c>
      <c r="O62" s="2" t="s">
        <v>43</v>
      </c>
      <c r="P62" s="3">
        <v>0</v>
      </c>
      <c r="Q62" s="3">
        <v>0</v>
      </c>
      <c r="R62" s="3">
        <v>0</v>
      </c>
      <c r="S62" s="3">
        <v>5</v>
      </c>
      <c r="T62" s="3">
        <v>15</v>
      </c>
      <c r="U62" s="3">
        <v>0</v>
      </c>
      <c r="V62" s="3">
        <v>15</v>
      </c>
      <c r="W62" s="3">
        <v>889.35</v>
      </c>
      <c r="X62" s="3">
        <v>59.29</v>
      </c>
      <c r="Y62" s="2" t="s">
        <v>1710</v>
      </c>
      <c r="Z62" s="2" t="s">
        <v>1454</v>
      </c>
      <c r="AA62" s="2" t="s">
        <v>1695</v>
      </c>
      <c r="AB62" s="2" t="s">
        <v>1691</v>
      </c>
      <c r="AC62" s="2" t="s">
        <v>1696</v>
      </c>
      <c r="AD62" s="3">
        <v>1</v>
      </c>
    </row>
    <row r="63" customHeight="1" spans="1:30">
      <c r="A63" s="4">
        <v>46311</v>
      </c>
      <c r="B63" s="2" t="s">
        <v>1690</v>
      </c>
      <c r="C63" s="2" t="s">
        <v>43</v>
      </c>
      <c r="D63" s="2" t="s">
        <v>1691</v>
      </c>
      <c r="E63" s="2" t="s">
        <v>1690</v>
      </c>
      <c r="F63" s="2" t="s">
        <v>1692</v>
      </c>
      <c r="G63" s="2" t="s">
        <v>1454</v>
      </c>
      <c r="H63" s="2"/>
      <c r="I63" s="2"/>
      <c r="J63" s="2" t="s">
        <v>55</v>
      </c>
      <c r="K63" s="2" t="s">
        <v>105</v>
      </c>
      <c r="L63" s="2" t="s">
        <v>104</v>
      </c>
      <c r="M63" s="2" t="s">
        <v>103</v>
      </c>
      <c r="N63" s="2" t="s">
        <v>1772</v>
      </c>
      <c r="O63" s="2" t="s">
        <v>43</v>
      </c>
      <c r="P63" s="3">
        <v>6</v>
      </c>
      <c r="Q63" s="3">
        <v>6</v>
      </c>
      <c r="R63" s="3">
        <v>0</v>
      </c>
      <c r="S63" s="3">
        <v>0</v>
      </c>
      <c r="T63" s="3">
        <v>0</v>
      </c>
      <c r="U63" s="3">
        <v>0</v>
      </c>
      <c r="V63" s="3">
        <v>6</v>
      </c>
      <c r="W63" s="3">
        <v>1093.5</v>
      </c>
      <c r="X63" s="3">
        <v>182.25</v>
      </c>
      <c r="Y63" s="2" t="s">
        <v>1694</v>
      </c>
      <c r="Z63" s="2" t="s">
        <v>1454</v>
      </c>
      <c r="AA63" s="2" t="s">
        <v>1695</v>
      </c>
      <c r="AB63" s="2" t="s">
        <v>1691</v>
      </c>
      <c r="AC63" s="2" t="s">
        <v>1696</v>
      </c>
      <c r="AD63" s="3">
        <v>1</v>
      </c>
    </row>
    <row r="64" customHeight="1" spans="1:30">
      <c r="A64" s="4">
        <v>46311</v>
      </c>
      <c r="B64" s="2" t="s">
        <v>1690</v>
      </c>
      <c r="C64" s="2" t="s">
        <v>43</v>
      </c>
      <c r="D64" s="2" t="s">
        <v>1691</v>
      </c>
      <c r="E64" s="2" t="s">
        <v>1690</v>
      </c>
      <c r="F64" s="2" t="s">
        <v>1692</v>
      </c>
      <c r="G64" s="2" t="s">
        <v>1454</v>
      </c>
      <c r="H64" s="2"/>
      <c r="I64" s="2"/>
      <c r="J64" s="2" t="s">
        <v>343</v>
      </c>
      <c r="K64" s="2" t="s">
        <v>364</v>
      </c>
      <c r="L64" s="2" t="s">
        <v>363</v>
      </c>
      <c r="M64" s="2" t="s">
        <v>362</v>
      </c>
      <c r="N64" s="2" t="s">
        <v>1773</v>
      </c>
      <c r="O64" s="2" t="s">
        <v>43</v>
      </c>
      <c r="P64" s="3">
        <v>0</v>
      </c>
      <c r="Q64" s="3">
        <v>0</v>
      </c>
      <c r="R64" s="3">
        <v>0</v>
      </c>
      <c r="S64" s="3">
        <v>0</v>
      </c>
      <c r="T64" s="3">
        <v>24</v>
      </c>
      <c r="U64" s="3">
        <v>0</v>
      </c>
      <c r="V64" s="3">
        <v>24</v>
      </c>
      <c r="W64" s="3">
        <v>1203.12</v>
      </c>
      <c r="X64" s="3">
        <v>50.13</v>
      </c>
      <c r="Y64" s="2" t="s">
        <v>1710</v>
      </c>
      <c r="Z64" s="2" t="s">
        <v>1454</v>
      </c>
      <c r="AA64" s="2" t="s">
        <v>1695</v>
      </c>
      <c r="AB64" s="2" t="s">
        <v>1691</v>
      </c>
      <c r="AC64" s="2" t="s">
        <v>1696</v>
      </c>
      <c r="AD64" s="3">
        <v>1</v>
      </c>
    </row>
    <row r="65" customHeight="1" spans="1:30">
      <c r="A65" s="4">
        <v>46311</v>
      </c>
      <c r="B65" s="2" t="s">
        <v>1690</v>
      </c>
      <c r="C65" s="2" t="s">
        <v>43</v>
      </c>
      <c r="D65" s="2" t="s">
        <v>1691</v>
      </c>
      <c r="E65" s="2" t="s">
        <v>1690</v>
      </c>
      <c r="F65" s="2" t="s">
        <v>1692</v>
      </c>
      <c r="G65" s="2" t="s">
        <v>1454</v>
      </c>
      <c r="H65" s="2"/>
      <c r="I65" s="2"/>
      <c r="J65" s="2" t="s">
        <v>343</v>
      </c>
      <c r="K65" s="2" t="s">
        <v>433</v>
      </c>
      <c r="L65" s="2" t="s">
        <v>432</v>
      </c>
      <c r="M65" s="2" t="s">
        <v>431</v>
      </c>
      <c r="N65" s="2" t="s">
        <v>1774</v>
      </c>
      <c r="O65" s="2" t="s">
        <v>43</v>
      </c>
      <c r="P65" s="3">
        <v>0</v>
      </c>
      <c r="Q65" s="3">
        <v>0</v>
      </c>
      <c r="R65" s="3">
        <v>0</v>
      </c>
      <c r="S65" s="3">
        <v>2</v>
      </c>
      <c r="T65" s="3">
        <v>2</v>
      </c>
      <c r="U65" s="3">
        <v>0</v>
      </c>
      <c r="V65" s="3">
        <v>2</v>
      </c>
      <c r="W65" s="3">
        <v>88.5</v>
      </c>
      <c r="X65" s="3">
        <v>44.25</v>
      </c>
      <c r="Y65" s="2" t="s">
        <v>1710</v>
      </c>
      <c r="Z65" s="2" t="s">
        <v>1454</v>
      </c>
      <c r="AA65" s="2" t="s">
        <v>1695</v>
      </c>
      <c r="AB65" s="2" t="s">
        <v>1691</v>
      </c>
      <c r="AC65" s="2" t="s">
        <v>1696</v>
      </c>
      <c r="AD65" s="3">
        <v>1</v>
      </c>
    </row>
    <row r="66" customHeight="1" spans="1:30">
      <c r="A66" s="4">
        <v>46311</v>
      </c>
      <c r="B66" s="2" t="s">
        <v>1690</v>
      </c>
      <c r="C66" s="2" t="s">
        <v>43</v>
      </c>
      <c r="D66" s="2" t="s">
        <v>1691</v>
      </c>
      <c r="E66" s="2" t="s">
        <v>1690</v>
      </c>
      <c r="F66" s="2" t="s">
        <v>1692</v>
      </c>
      <c r="G66" s="2" t="s">
        <v>1454</v>
      </c>
      <c r="H66" s="2"/>
      <c r="I66" s="2"/>
      <c r="J66" s="2" t="s">
        <v>44</v>
      </c>
      <c r="K66" s="2" t="s">
        <v>1775</v>
      </c>
      <c r="L66" s="2" t="s">
        <v>1776</v>
      </c>
      <c r="M66" s="2" t="s">
        <v>212</v>
      </c>
      <c r="N66" s="2" t="s">
        <v>1767</v>
      </c>
      <c r="O66" s="2" t="s">
        <v>43</v>
      </c>
      <c r="P66" s="3">
        <v>2</v>
      </c>
      <c r="Q66" s="3">
        <v>2</v>
      </c>
      <c r="R66" s="3">
        <v>0</v>
      </c>
      <c r="S66" s="3">
        <v>0</v>
      </c>
      <c r="T66" s="3">
        <v>0</v>
      </c>
      <c r="U66" s="3">
        <v>0</v>
      </c>
      <c r="V66" s="3">
        <v>2</v>
      </c>
      <c r="W66" s="3">
        <v>407.24</v>
      </c>
      <c r="X66" s="3">
        <v>203.62</v>
      </c>
      <c r="Y66" s="2" t="s">
        <v>1694</v>
      </c>
      <c r="Z66" s="2" t="s">
        <v>1454</v>
      </c>
      <c r="AA66" s="2" t="s">
        <v>1695</v>
      </c>
      <c r="AB66" s="2" t="s">
        <v>1691</v>
      </c>
      <c r="AC66" s="2" t="s">
        <v>1696</v>
      </c>
      <c r="AD66" s="3">
        <v>1</v>
      </c>
    </row>
    <row r="67" customHeight="1" spans="1:30">
      <c r="A67" s="4">
        <v>46311</v>
      </c>
      <c r="B67" s="2" t="s">
        <v>1690</v>
      </c>
      <c r="C67" s="2" t="s">
        <v>43</v>
      </c>
      <c r="D67" s="2" t="s">
        <v>1691</v>
      </c>
      <c r="E67" s="2" t="s">
        <v>1690</v>
      </c>
      <c r="F67" s="2" t="s">
        <v>1692</v>
      </c>
      <c r="G67" s="2" t="s">
        <v>1454</v>
      </c>
      <c r="H67" s="2"/>
      <c r="I67" s="2"/>
      <c r="J67" s="2" t="s">
        <v>44</v>
      </c>
      <c r="K67" s="2" t="s">
        <v>324</v>
      </c>
      <c r="L67" s="2" t="s">
        <v>323</v>
      </c>
      <c r="M67" s="2" t="s">
        <v>322</v>
      </c>
      <c r="N67" s="2" t="s">
        <v>1777</v>
      </c>
      <c r="O67" s="2" t="s">
        <v>43</v>
      </c>
      <c r="P67" s="3">
        <v>9</v>
      </c>
      <c r="Q67" s="3">
        <v>9</v>
      </c>
      <c r="R67" s="3">
        <v>0</v>
      </c>
      <c r="S67" s="3">
        <v>0</v>
      </c>
      <c r="T67" s="3">
        <v>1</v>
      </c>
      <c r="U67" s="3">
        <v>0</v>
      </c>
      <c r="V67" s="3">
        <v>10</v>
      </c>
      <c r="W67" s="3">
        <v>478.5</v>
      </c>
      <c r="X67" s="3">
        <v>47.85</v>
      </c>
      <c r="Y67" s="2" t="s">
        <v>1694</v>
      </c>
      <c r="Z67" s="2" t="s">
        <v>1454</v>
      </c>
      <c r="AA67" s="2" t="s">
        <v>1695</v>
      </c>
      <c r="AB67" s="2" t="s">
        <v>1691</v>
      </c>
      <c r="AC67" s="2" t="s">
        <v>1696</v>
      </c>
      <c r="AD67" s="3">
        <v>1</v>
      </c>
    </row>
    <row r="68" customHeight="1" spans="1:30">
      <c r="A68" s="4">
        <v>46311</v>
      </c>
      <c r="B68" s="2" t="s">
        <v>1690</v>
      </c>
      <c r="C68" s="2" t="s">
        <v>43</v>
      </c>
      <c r="D68" s="2" t="s">
        <v>1691</v>
      </c>
      <c r="E68" s="2" t="s">
        <v>1690</v>
      </c>
      <c r="F68" s="2" t="s">
        <v>1692</v>
      </c>
      <c r="G68" s="2" t="s">
        <v>1454</v>
      </c>
      <c r="H68" s="2"/>
      <c r="I68" s="2"/>
      <c r="J68" s="2" t="s">
        <v>1778</v>
      </c>
      <c r="K68" s="2" t="s">
        <v>330</v>
      </c>
      <c r="L68" s="2" t="s">
        <v>329</v>
      </c>
      <c r="M68" s="2" t="s">
        <v>328</v>
      </c>
      <c r="N68" s="2" t="s">
        <v>1779</v>
      </c>
      <c r="O68" s="2" t="s">
        <v>43</v>
      </c>
      <c r="P68" s="3">
        <v>10</v>
      </c>
      <c r="Q68" s="3">
        <v>7</v>
      </c>
      <c r="R68" s="3">
        <v>0</v>
      </c>
      <c r="S68" s="3">
        <v>0</v>
      </c>
      <c r="T68" s="3">
        <v>0</v>
      </c>
      <c r="U68" s="3">
        <v>0</v>
      </c>
      <c r="V68" s="3">
        <v>10</v>
      </c>
      <c r="W68" s="3">
        <v>1099.4</v>
      </c>
      <c r="X68" s="3">
        <v>109.94</v>
      </c>
      <c r="Y68" s="2" t="s">
        <v>1694</v>
      </c>
      <c r="Z68" s="2" t="s">
        <v>1454</v>
      </c>
      <c r="AA68" s="2" t="s">
        <v>1695</v>
      </c>
      <c r="AB68" s="2" t="s">
        <v>1691</v>
      </c>
      <c r="AC68" s="2" t="s">
        <v>1696</v>
      </c>
      <c r="AD68" s="3">
        <v>1</v>
      </c>
    </row>
    <row r="69" customHeight="1" spans="1:30">
      <c r="A69" s="4">
        <v>46311</v>
      </c>
      <c r="B69" s="2" t="s">
        <v>1690</v>
      </c>
      <c r="C69" s="2" t="s">
        <v>43</v>
      </c>
      <c r="D69" s="2" t="s">
        <v>1691</v>
      </c>
      <c r="E69" s="2" t="s">
        <v>1690</v>
      </c>
      <c r="F69" s="2" t="s">
        <v>1692</v>
      </c>
      <c r="G69" s="2" t="s">
        <v>1454</v>
      </c>
      <c r="H69" s="2"/>
      <c r="I69" s="2"/>
      <c r="J69" s="2" t="s">
        <v>44</v>
      </c>
      <c r="K69" s="2" t="s">
        <v>300</v>
      </c>
      <c r="L69" s="2" t="s">
        <v>299</v>
      </c>
      <c r="M69" s="2" t="s">
        <v>298</v>
      </c>
      <c r="N69" s="2" t="s">
        <v>1780</v>
      </c>
      <c r="O69" s="2" t="s">
        <v>43</v>
      </c>
      <c r="P69" s="3">
        <v>14</v>
      </c>
      <c r="Q69" s="3">
        <v>13</v>
      </c>
      <c r="R69" s="3">
        <v>0</v>
      </c>
      <c r="S69" s="3">
        <v>0</v>
      </c>
      <c r="T69" s="3">
        <v>3</v>
      </c>
      <c r="U69" s="3">
        <v>0</v>
      </c>
      <c r="V69" s="3">
        <v>17</v>
      </c>
      <c r="W69" s="3">
        <v>784.89</v>
      </c>
      <c r="X69" s="3">
        <v>46.17</v>
      </c>
      <c r="Y69" s="2" t="s">
        <v>1714</v>
      </c>
      <c r="Z69" s="2" t="s">
        <v>1454</v>
      </c>
      <c r="AA69" s="2" t="s">
        <v>1695</v>
      </c>
      <c r="AB69" s="2" t="s">
        <v>1691</v>
      </c>
      <c r="AC69" s="2" t="s">
        <v>1696</v>
      </c>
      <c r="AD69" s="3">
        <v>1</v>
      </c>
    </row>
    <row r="70" customHeight="1" spans="1:30">
      <c r="A70" s="4">
        <v>46311</v>
      </c>
      <c r="B70" s="2" t="s">
        <v>1690</v>
      </c>
      <c r="C70" s="2" t="s">
        <v>43</v>
      </c>
      <c r="D70" s="2" t="s">
        <v>1691</v>
      </c>
      <c r="E70" s="2" t="s">
        <v>1690</v>
      </c>
      <c r="F70" s="2" t="s">
        <v>1692</v>
      </c>
      <c r="G70" s="2" t="s">
        <v>1454</v>
      </c>
      <c r="H70" s="2"/>
      <c r="I70" s="2"/>
      <c r="J70" s="2" t="s">
        <v>44</v>
      </c>
      <c r="K70" s="2" t="s">
        <v>183</v>
      </c>
      <c r="L70" s="2" t="s">
        <v>182</v>
      </c>
      <c r="M70" s="2" t="s">
        <v>181</v>
      </c>
      <c r="N70" s="2" t="s">
        <v>1731</v>
      </c>
      <c r="O70" s="2" t="s">
        <v>43</v>
      </c>
      <c r="P70" s="3">
        <v>19</v>
      </c>
      <c r="Q70" s="3">
        <v>17</v>
      </c>
      <c r="R70" s="3">
        <v>0</v>
      </c>
      <c r="S70" s="3">
        <v>8</v>
      </c>
      <c r="T70" s="3">
        <v>8</v>
      </c>
      <c r="U70" s="3">
        <v>0</v>
      </c>
      <c r="V70" s="3">
        <v>27</v>
      </c>
      <c r="W70" s="3">
        <v>2246.67</v>
      </c>
      <c r="X70" s="3">
        <v>83.21</v>
      </c>
      <c r="Y70" s="2" t="s">
        <v>1694</v>
      </c>
      <c r="Z70" s="2" t="s">
        <v>1454</v>
      </c>
      <c r="AA70" s="2" t="s">
        <v>1695</v>
      </c>
      <c r="AB70" s="2" t="s">
        <v>1691</v>
      </c>
      <c r="AC70" s="2" t="s">
        <v>1696</v>
      </c>
      <c r="AD70" s="3">
        <v>1</v>
      </c>
    </row>
    <row r="71" customHeight="1" spans="1:30">
      <c r="A71" s="4">
        <v>46311</v>
      </c>
      <c r="B71" s="2" t="s">
        <v>1690</v>
      </c>
      <c r="C71" s="2" t="s">
        <v>43</v>
      </c>
      <c r="D71" s="2" t="s">
        <v>1691</v>
      </c>
      <c r="E71" s="2" t="s">
        <v>1690</v>
      </c>
      <c r="F71" s="2" t="s">
        <v>1692</v>
      </c>
      <c r="G71" s="2" t="s">
        <v>1454</v>
      </c>
      <c r="H71" s="2"/>
      <c r="I71" s="2"/>
      <c r="J71" s="2" t="s">
        <v>343</v>
      </c>
      <c r="K71" s="2" t="s">
        <v>403</v>
      </c>
      <c r="L71" s="2" t="s">
        <v>402</v>
      </c>
      <c r="M71" s="2" t="s">
        <v>401</v>
      </c>
      <c r="N71" s="2" t="s">
        <v>1781</v>
      </c>
      <c r="O71" s="2" t="s">
        <v>43</v>
      </c>
      <c r="P71" s="3">
        <v>0</v>
      </c>
      <c r="Q71" s="3">
        <v>0</v>
      </c>
      <c r="R71" s="3">
        <v>0</v>
      </c>
      <c r="S71" s="3">
        <v>0</v>
      </c>
      <c r="T71" s="3">
        <v>16</v>
      </c>
      <c r="U71" s="3">
        <v>0</v>
      </c>
      <c r="V71" s="3">
        <v>16</v>
      </c>
      <c r="W71" s="3">
        <v>1005.28</v>
      </c>
      <c r="X71" s="3">
        <v>62.83</v>
      </c>
      <c r="Y71" s="2" t="s">
        <v>1710</v>
      </c>
      <c r="Z71" s="2" t="s">
        <v>1454</v>
      </c>
      <c r="AA71" s="2" t="s">
        <v>1695</v>
      </c>
      <c r="AB71" s="2" t="s">
        <v>1691</v>
      </c>
      <c r="AC71" s="2" t="s">
        <v>1696</v>
      </c>
      <c r="AD71" s="3">
        <v>1</v>
      </c>
    </row>
    <row r="72" customHeight="1" spans="1:30">
      <c r="A72" s="4">
        <v>46311</v>
      </c>
      <c r="B72" s="2" t="s">
        <v>1690</v>
      </c>
      <c r="C72" s="2" t="s">
        <v>43</v>
      </c>
      <c r="D72" s="2" t="s">
        <v>1691</v>
      </c>
      <c r="E72" s="2" t="s">
        <v>1690</v>
      </c>
      <c r="F72" s="2" t="s">
        <v>1692</v>
      </c>
      <c r="G72" s="2" t="s">
        <v>1454</v>
      </c>
      <c r="H72" s="2"/>
      <c r="I72" s="2"/>
      <c r="J72" s="2" t="s">
        <v>44</v>
      </c>
      <c r="K72" s="2" t="s">
        <v>126</v>
      </c>
      <c r="L72" s="2" t="s">
        <v>125</v>
      </c>
      <c r="M72" s="2" t="s">
        <v>124</v>
      </c>
      <c r="N72" s="2" t="s">
        <v>1782</v>
      </c>
      <c r="O72" s="2" t="s">
        <v>43</v>
      </c>
      <c r="P72" s="3">
        <v>29</v>
      </c>
      <c r="Q72" s="3">
        <v>29</v>
      </c>
      <c r="R72" s="3">
        <v>0</v>
      </c>
      <c r="S72" s="3">
        <v>0</v>
      </c>
      <c r="T72" s="3">
        <v>0</v>
      </c>
      <c r="U72" s="3">
        <v>0</v>
      </c>
      <c r="V72" s="3">
        <v>29</v>
      </c>
      <c r="W72" s="3">
        <v>2102.79</v>
      </c>
      <c r="X72" s="3">
        <v>72.51</v>
      </c>
      <c r="Y72" s="2" t="s">
        <v>1694</v>
      </c>
      <c r="Z72" s="2" t="s">
        <v>1454</v>
      </c>
      <c r="AA72" s="2" t="s">
        <v>1695</v>
      </c>
      <c r="AB72" s="2" t="s">
        <v>1691</v>
      </c>
      <c r="AC72" s="2" t="s">
        <v>1696</v>
      </c>
      <c r="AD72" s="3">
        <v>1</v>
      </c>
    </row>
    <row r="73" customHeight="1" spans="1:30">
      <c r="A73" s="4">
        <v>46311</v>
      </c>
      <c r="B73" s="2" t="s">
        <v>1690</v>
      </c>
      <c r="C73" s="2" t="s">
        <v>43</v>
      </c>
      <c r="D73" s="2" t="s">
        <v>1691</v>
      </c>
      <c r="E73" s="2" t="s">
        <v>1690</v>
      </c>
      <c r="F73" s="2" t="s">
        <v>1692</v>
      </c>
      <c r="G73" s="2" t="s">
        <v>1454</v>
      </c>
      <c r="H73" s="2"/>
      <c r="I73" s="2"/>
      <c r="J73" s="2" t="s">
        <v>1778</v>
      </c>
      <c r="K73" s="2" t="s">
        <v>1783</v>
      </c>
      <c r="L73" s="2" t="s">
        <v>1784</v>
      </c>
      <c r="M73" s="2" t="s">
        <v>689</v>
      </c>
      <c r="N73" s="2" t="s">
        <v>1785</v>
      </c>
      <c r="O73" s="2" t="s">
        <v>43</v>
      </c>
      <c r="P73" s="3">
        <v>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1</v>
      </c>
      <c r="W73" s="3">
        <v>252.74</v>
      </c>
      <c r="X73" s="3">
        <v>252.74</v>
      </c>
      <c r="Y73" s="2" t="s">
        <v>1694</v>
      </c>
      <c r="Z73" s="2" t="s">
        <v>1454</v>
      </c>
      <c r="AA73" s="2" t="s">
        <v>1695</v>
      </c>
      <c r="AB73" s="2" t="s">
        <v>1691</v>
      </c>
      <c r="AC73" s="2" t="s">
        <v>1696</v>
      </c>
      <c r="AD73" s="3">
        <v>1</v>
      </c>
    </row>
    <row r="74" customHeight="1" spans="1:30">
      <c r="A74" s="4">
        <v>46311</v>
      </c>
      <c r="B74" s="2" t="s">
        <v>1690</v>
      </c>
      <c r="C74" s="2" t="s">
        <v>43</v>
      </c>
      <c r="D74" s="2" t="s">
        <v>1691</v>
      </c>
      <c r="E74" s="2" t="s">
        <v>1690</v>
      </c>
      <c r="F74" s="2" t="s">
        <v>1692</v>
      </c>
      <c r="G74" s="2" t="s">
        <v>1454</v>
      </c>
      <c r="H74" s="2"/>
      <c r="I74" s="2"/>
      <c r="J74" s="2" t="s">
        <v>343</v>
      </c>
      <c r="K74" s="2" t="s">
        <v>400</v>
      </c>
      <c r="L74" s="2" t="s">
        <v>399</v>
      </c>
      <c r="M74" s="2" t="s">
        <v>398</v>
      </c>
      <c r="N74" s="2" t="s">
        <v>1786</v>
      </c>
      <c r="O74" s="2" t="s">
        <v>43</v>
      </c>
      <c r="P74" s="3">
        <v>4</v>
      </c>
      <c r="Q74" s="3">
        <v>4</v>
      </c>
      <c r="R74" s="3">
        <v>0</v>
      </c>
      <c r="S74" s="3">
        <v>0</v>
      </c>
      <c r="T74" s="3">
        <v>0</v>
      </c>
      <c r="U74" s="3">
        <v>0</v>
      </c>
      <c r="V74" s="3">
        <v>4</v>
      </c>
      <c r="W74" s="3">
        <v>397.4</v>
      </c>
      <c r="X74" s="3">
        <v>99.35</v>
      </c>
      <c r="Y74" s="2" t="s">
        <v>1710</v>
      </c>
      <c r="Z74" s="2" t="s">
        <v>1454</v>
      </c>
      <c r="AA74" s="2" t="s">
        <v>1695</v>
      </c>
      <c r="AB74" s="2" t="s">
        <v>1691</v>
      </c>
      <c r="AC74" s="2" t="s">
        <v>1696</v>
      </c>
      <c r="AD74" s="3">
        <v>1</v>
      </c>
    </row>
    <row r="75" customHeight="1" spans="1:30">
      <c r="A75" s="4">
        <v>46311</v>
      </c>
      <c r="B75" s="2" t="s">
        <v>1690</v>
      </c>
      <c r="C75" s="2" t="s">
        <v>43</v>
      </c>
      <c r="D75" s="2" t="s">
        <v>1691</v>
      </c>
      <c r="E75" s="2" t="s">
        <v>1690</v>
      </c>
      <c r="F75" s="2" t="s">
        <v>1692</v>
      </c>
      <c r="G75" s="2" t="s">
        <v>1454</v>
      </c>
      <c r="H75" s="2"/>
      <c r="I75" s="2"/>
      <c r="J75" s="2" t="s">
        <v>55</v>
      </c>
      <c r="K75" s="2" t="s">
        <v>254</v>
      </c>
      <c r="L75" s="2" t="s">
        <v>253</v>
      </c>
      <c r="M75" s="2" t="s">
        <v>252</v>
      </c>
      <c r="N75" s="2" t="s">
        <v>1787</v>
      </c>
      <c r="O75" s="2" t="s">
        <v>43</v>
      </c>
      <c r="P75" s="3">
        <v>2</v>
      </c>
      <c r="Q75" s="3">
        <v>2</v>
      </c>
      <c r="R75" s="3">
        <v>0</v>
      </c>
      <c r="S75" s="3">
        <v>2</v>
      </c>
      <c r="T75" s="3">
        <v>2</v>
      </c>
      <c r="U75" s="3">
        <v>0</v>
      </c>
      <c r="V75" s="3">
        <v>4</v>
      </c>
      <c r="W75" s="3">
        <v>227</v>
      </c>
      <c r="X75" s="3">
        <v>56.75</v>
      </c>
      <c r="Y75" s="2" t="s">
        <v>1694</v>
      </c>
      <c r="Z75" s="2" t="s">
        <v>1454</v>
      </c>
      <c r="AA75" s="2" t="s">
        <v>1695</v>
      </c>
      <c r="AB75" s="2" t="s">
        <v>1691</v>
      </c>
      <c r="AC75" s="2" t="s">
        <v>1696</v>
      </c>
      <c r="AD75" s="3">
        <v>1</v>
      </c>
    </row>
    <row r="76" customHeight="1" spans="1:30">
      <c r="A76" s="4">
        <v>46311</v>
      </c>
      <c r="B76" s="2" t="s">
        <v>1690</v>
      </c>
      <c r="C76" s="2" t="s">
        <v>43</v>
      </c>
      <c r="D76" s="2" t="s">
        <v>1691</v>
      </c>
      <c r="E76" s="2" t="s">
        <v>1690</v>
      </c>
      <c r="F76" s="2" t="s">
        <v>1692</v>
      </c>
      <c r="G76" s="2" t="s">
        <v>1454</v>
      </c>
      <c r="H76" s="2"/>
      <c r="I76" s="2"/>
      <c r="J76" s="2" t="s">
        <v>44</v>
      </c>
      <c r="K76" s="2" t="s">
        <v>165</v>
      </c>
      <c r="L76" s="2" t="s">
        <v>164</v>
      </c>
      <c r="M76" s="2" t="s">
        <v>163</v>
      </c>
      <c r="N76" s="2" t="s">
        <v>1788</v>
      </c>
      <c r="O76" s="2" t="s">
        <v>43</v>
      </c>
      <c r="P76" s="3">
        <v>21</v>
      </c>
      <c r="Q76" s="3">
        <v>14</v>
      </c>
      <c r="R76" s="3">
        <v>0</v>
      </c>
      <c r="S76" s="3">
        <v>10</v>
      </c>
      <c r="T76" s="3">
        <v>17</v>
      </c>
      <c r="U76" s="3">
        <v>0</v>
      </c>
      <c r="V76" s="3">
        <v>38</v>
      </c>
      <c r="W76" s="3">
        <v>2315.72</v>
      </c>
      <c r="X76" s="3">
        <v>60.94</v>
      </c>
      <c r="Y76" s="2" t="s">
        <v>1694</v>
      </c>
      <c r="Z76" s="2" t="s">
        <v>1454</v>
      </c>
      <c r="AA76" s="2" t="s">
        <v>1695</v>
      </c>
      <c r="AB76" s="2" t="s">
        <v>1691</v>
      </c>
      <c r="AC76" s="2" t="s">
        <v>1696</v>
      </c>
      <c r="AD76" s="3">
        <v>1</v>
      </c>
    </row>
    <row r="77" customHeight="1" spans="1:30">
      <c r="A77" s="4">
        <v>46311</v>
      </c>
      <c r="B77" s="2" t="s">
        <v>1690</v>
      </c>
      <c r="C77" s="2" t="s">
        <v>43</v>
      </c>
      <c r="D77" s="2" t="s">
        <v>1691</v>
      </c>
      <c r="E77" s="2" t="s">
        <v>1690</v>
      </c>
      <c r="F77" s="2" t="s">
        <v>1692</v>
      </c>
      <c r="G77" s="2" t="s">
        <v>1454</v>
      </c>
      <c r="H77" s="2"/>
      <c r="I77" s="2"/>
      <c r="J77" s="2" t="s">
        <v>343</v>
      </c>
      <c r="K77" s="2" t="s">
        <v>354</v>
      </c>
      <c r="L77" s="2" t="s">
        <v>353</v>
      </c>
      <c r="M77" s="2" t="s">
        <v>352</v>
      </c>
      <c r="N77" s="2" t="s">
        <v>1789</v>
      </c>
      <c r="O77" s="2" t="s">
        <v>43</v>
      </c>
      <c r="P77" s="3">
        <v>0</v>
      </c>
      <c r="Q77" s="3">
        <v>0</v>
      </c>
      <c r="R77" s="3">
        <v>0</v>
      </c>
      <c r="S77" s="3">
        <v>16</v>
      </c>
      <c r="T77" s="3">
        <v>16</v>
      </c>
      <c r="U77" s="3">
        <v>0</v>
      </c>
      <c r="V77" s="3">
        <v>16</v>
      </c>
      <c r="W77" s="3">
        <v>845.92</v>
      </c>
      <c r="X77" s="3">
        <v>52.87</v>
      </c>
      <c r="Y77" s="2" t="s">
        <v>1710</v>
      </c>
      <c r="Z77" s="2" t="s">
        <v>1454</v>
      </c>
      <c r="AA77" s="2" t="s">
        <v>1695</v>
      </c>
      <c r="AB77" s="2" t="s">
        <v>1691</v>
      </c>
      <c r="AC77" s="2" t="s">
        <v>1696</v>
      </c>
      <c r="AD77" s="3">
        <v>1</v>
      </c>
    </row>
    <row r="78" customHeight="1" spans="1:30">
      <c r="A78" s="4">
        <v>46311</v>
      </c>
      <c r="B78" s="2" t="s">
        <v>1690</v>
      </c>
      <c r="C78" s="2" t="s">
        <v>43</v>
      </c>
      <c r="D78" s="2" t="s">
        <v>1691</v>
      </c>
      <c r="E78" s="2" t="s">
        <v>1690</v>
      </c>
      <c r="F78" s="2" t="s">
        <v>1692</v>
      </c>
      <c r="G78" s="2" t="s">
        <v>1454</v>
      </c>
      <c r="H78" s="2"/>
      <c r="I78" s="2"/>
      <c r="J78" s="2" t="s">
        <v>44</v>
      </c>
      <c r="K78" s="2" t="s">
        <v>87</v>
      </c>
      <c r="L78" s="2" t="s">
        <v>86</v>
      </c>
      <c r="M78" s="2" t="s">
        <v>85</v>
      </c>
      <c r="N78" s="2" t="s">
        <v>1790</v>
      </c>
      <c r="O78" s="2" t="s">
        <v>43</v>
      </c>
      <c r="P78" s="3">
        <v>1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1</v>
      </c>
      <c r="W78" s="3">
        <v>106.21</v>
      </c>
      <c r="X78" s="3">
        <v>106.21</v>
      </c>
      <c r="Y78" s="2" t="s">
        <v>1694</v>
      </c>
      <c r="Z78" s="2" t="s">
        <v>1454</v>
      </c>
      <c r="AA78" s="2" t="s">
        <v>1695</v>
      </c>
      <c r="AB78" s="2" t="s">
        <v>1691</v>
      </c>
      <c r="AC78" s="2" t="s">
        <v>1696</v>
      </c>
      <c r="AD78" s="3">
        <v>1</v>
      </c>
    </row>
    <row r="79" customHeight="1" spans="1:30">
      <c r="A79" s="4">
        <v>46311</v>
      </c>
      <c r="B79" s="2" t="s">
        <v>1690</v>
      </c>
      <c r="C79" s="2" t="s">
        <v>43</v>
      </c>
      <c r="D79" s="2" t="s">
        <v>1691</v>
      </c>
      <c r="E79" s="2" t="s">
        <v>1690</v>
      </c>
      <c r="F79" s="2" t="s">
        <v>1692</v>
      </c>
      <c r="G79" s="2" t="s">
        <v>1454</v>
      </c>
      <c r="H79" s="2"/>
      <c r="I79" s="2"/>
      <c r="J79" s="2" t="s">
        <v>44</v>
      </c>
      <c r="K79" s="2" t="s">
        <v>278</v>
      </c>
      <c r="L79" s="2" t="s">
        <v>277</v>
      </c>
      <c r="M79" s="2" t="s">
        <v>276</v>
      </c>
      <c r="N79" s="2" t="s">
        <v>1791</v>
      </c>
      <c r="O79" s="2" t="s">
        <v>43</v>
      </c>
      <c r="P79" s="3">
        <v>21</v>
      </c>
      <c r="Q79" s="3">
        <v>18</v>
      </c>
      <c r="R79" s="3">
        <v>0</v>
      </c>
      <c r="S79" s="3">
        <v>0</v>
      </c>
      <c r="T79" s="3">
        <v>0</v>
      </c>
      <c r="U79" s="3">
        <v>0</v>
      </c>
      <c r="V79" s="3">
        <v>21</v>
      </c>
      <c r="W79" s="3">
        <v>984.9</v>
      </c>
      <c r="X79" s="3">
        <v>46.9</v>
      </c>
      <c r="Y79" s="2" t="s">
        <v>1694</v>
      </c>
      <c r="Z79" s="2" t="s">
        <v>1454</v>
      </c>
      <c r="AA79" s="2" t="s">
        <v>1695</v>
      </c>
      <c r="AB79" s="2" t="s">
        <v>1691</v>
      </c>
      <c r="AC79" s="2" t="s">
        <v>1696</v>
      </c>
      <c r="AD79" s="3">
        <v>1</v>
      </c>
    </row>
    <row r="80" customHeight="1" spans="1:30">
      <c r="A80" s="4">
        <v>46311</v>
      </c>
      <c r="B80" s="2" t="s">
        <v>1690</v>
      </c>
      <c r="C80" s="2" t="s">
        <v>43</v>
      </c>
      <c r="D80" s="2" t="s">
        <v>1691</v>
      </c>
      <c r="E80" s="2" t="s">
        <v>1690</v>
      </c>
      <c r="F80" s="2" t="s">
        <v>1692</v>
      </c>
      <c r="G80" s="2" t="s">
        <v>1454</v>
      </c>
      <c r="H80" s="2"/>
      <c r="I80" s="2"/>
      <c r="J80" s="2" t="s">
        <v>44</v>
      </c>
      <c r="K80" s="2" t="s">
        <v>93</v>
      </c>
      <c r="L80" s="2" t="s">
        <v>92</v>
      </c>
      <c r="M80" s="2" t="s">
        <v>91</v>
      </c>
      <c r="N80" s="2" t="s">
        <v>1792</v>
      </c>
      <c r="O80" s="2" t="s">
        <v>43</v>
      </c>
      <c r="P80" s="3">
        <v>5</v>
      </c>
      <c r="Q80" s="3">
        <v>1</v>
      </c>
      <c r="R80" s="3">
        <v>0</v>
      </c>
      <c r="S80" s="3">
        <v>0</v>
      </c>
      <c r="T80" s="3">
        <v>0</v>
      </c>
      <c r="U80" s="3">
        <v>0</v>
      </c>
      <c r="V80" s="3">
        <v>5</v>
      </c>
      <c r="W80" s="3">
        <v>376.1</v>
      </c>
      <c r="X80" s="3">
        <v>75.22</v>
      </c>
      <c r="Y80" s="2" t="s">
        <v>1694</v>
      </c>
      <c r="Z80" s="2" t="s">
        <v>1454</v>
      </c>
      <c r="AA80" s="2" t="s">
        <v>1695</v>
      </c>
      <c r="AB80" s="2" t="s">
        <v>1691</v>
      </c>
      <c r="AC80" s="2" t="s">
        <v>1696</v>
      </c>
      <c r="AD80" s="3">
        <v>1</v>
      </c>
    </row>
    <row r="81" customHeight="1" spans="1:30">
      <c r="A81" s="4">
        <v>46311</v>
      </c>
      <c r="B81" s="2" t="s">
        <v>1690</v>
      </c>
      <c r="C81" s="2" t="s">
        <v>43</v>
      </c>
      <c r="D81" s="2" t="s">
        <v>1691</v>
      </c>
      <c r="E81" s="2" t="s">
        <v>1690</v>
      </c>
      <c r="F81" s="2" t="s">
        <v>1692</v>
      </c>
      <c r="G81" s="2" t="s">
        <v>1454</v>
      </c>
      <c r="H81" s="2"/>
      <c r="I81" s="2"/>
      <c r="J81" s="2" t="s">
        <v>44</v>
      </c>
      <c r="K81" s="2" t="s">
        <v>189</v>
      </c>
      <c r="L81" s="2" t="s">
        <v>188</v>
      </c>
      <c r="M81" s="2" t="s">
        <v>187</v>
      </c>
      <c r="N81" s="2" t="s">
        <v>1793</v>
      </c>
      <c r="O81" s="2" t="s">
        <v>43</v>
      </c>
      <c r="P81" s="3">
        <v>5</v>
      </c>
      <c r="Q81" s="3">
        <v>3</v>
      </c>
      <c r="R81" s="3">
        <v>0</v>
      </c>
      <c r="S81" s="3">
        <v>23</v>
      </c>
      <c r="T81" s="3">
        <v>23</v>
      </c>
      <c r="U81" s="3">
        <v>0</v>
      </c>
      <c r="V81" s="3">
        <v>28</v>
      </c>
      <c r="W81" s="3">
        <v>1115.8</v>
      </c>
      <c r="X81" s="3">
        <v>39.85</v>
      </c>
      <c r="Y81" s="2" t="s">
        <v>1694</v>
      </c>
      <c r="Z81" s="2" t="s">
        <v>1454</v>
      </c>
      <c r="AA81" s="2" t="s">
        <v>1695</v>
      </c>
      <c r="AB81" s="2" t="s">
        <v>1691</v>
      </c>
      <c r="AC81" s="2" t="s">
        <v>1696</v>
      </c>
      <c r="AD81" s="3">
        <v>1</v>
      </c>
    </row>
    <row r="82" customHeight="1" spans="1:30">
      <c r="A82" s="4">
        <v>46311</v>
      </c>
      <c r="B82" s="2" t="s">
        <v>1690</v>
      </c>
      <c r="C82" s="2" t="s">
        <v>43</v>
      </c>
      <c r="D82" s="2" t="s">
        <v>1691</v>
      </c>
      <c r="E82" s="2" t="s">
        <v>1690</v>
      </c>
      <c r="F82" s="2" t="s">
        <v>1692</v>
      </c>
      <c r="G82" s="2" t="s">
        <v>1454</v>
      </c>
      <c r="H82" s="2"/>
      <c r="I82" s="2"/>
      <c r="J82" s="2" t="s">
        <v>44</v>
      </c>
      <c r="K82" s="2" t="s">
        <v>180</v>
      </c>
      <c r="L82" s="2" t="s">
        <v>179</v>
      </c>
      <c r="M82" s="2" t="s">
        <v>178</v>
      </c>
      <c r="N82" s="2" t="s">
        <v>1794</v>
      </c>
      <c r="O82" s="2" t="s">
        <v>43</v>
      </c>
      <c r="P82" s="3">
        <v>44</v>
      </c>
      <c r="Q82" s="3">
        <v>17</v>
      </c>
      <c r="R82" s="3">
        <v>0</v>
      </c>
      <c r="S82" s="3">
        <v>0</v>
      </c>
      <c r="T82" s="3">
        <v>20</v>
      </c>
      <c r="U82" s="3">
        <v>0</v>
      </c>
      <c r="V82" s="3">
        <v>64</v>
      </c>
      <c r="W82" s="3">
        <v>2796.8</v>
      </c>
      <c r="X82" s="3">
        <v>43.7</v>
      </c>
      <c r="Y82" s="2" t="s">
        <v>1694</v>
      </c>
      <c r="Z82" s="2" t="s">
        <v>1454</v>
      </c>
      <c r="AA82" s="2" t="s">
        <v>1695</v>
      </c>
      <c r="AB82" s="2" t="s">
        <v>1691</v>
      </c>
      <c r="AC82" s="2" t="s">
        <v>1696</v>
      </c>
      <c r="AD82" s="3">
        <v>1</v>
      </c>
    </row>
    <row r="83" customHeight="1" spans="1:30">
      <c r="A83" s="4">
        <v>46311</v>
      </c>
      <c r="B83" s="2" t="s">
        <v>1690</v>
      </c>
      <c r="C83" s="2" t="s">
        <v>43</v>
      </c>
      <c r="D83" s="2" t="s">
        <v>1691</v>
      </c>
      <c r="E83" s="2" t="s">
        <v>1690</v>
      </c>
      <c r="F83" s="2" t="s">
        <v>1692</v>
      </c>
      <c r="G83" s="2" t="s">
        <v>1454</v>
      </c>
      <c r="H83" s="2"/>
      <c r="I83" s="2"/>
      <c r="J83" s="2" t="s">
        <v>44</v>
      </c>
      <c r="K83" s="2" t="s">
        <v>114</v>
      </c>
      <c r="L83" s="2" t="s">
        <v>113</v>
      </c>
      <c r="M83" s="2" t="s">
        <v>112</v>
      </c>
      <c r="N83" s="2" t="s">
        <v>1740</v>
      </c>
      <c r="O83" s="2" t="s">
        <v>43</v>
      </c>
      <c r="P83" s="3">
        <v>27</v>
      </c>
      <c r="Q83" s="3">
        <v>26</v>
      </c>
      <c r="R83" s="3">
        <v>0</v>
      </c>
      <c r="S83" s="3">
        <v>0</v>
      </c>
      <c r="T83" s="3">
        <v>0</v>
      </c>
      <c r="U83" s="3">
        <v>0</v>
      </c>
      <c r="V83" s="3">
        <v>27</v>
      </c>
      <c r="W83" s="3">
        <v>1033.02</v>
      </c>
      <c r="X83" s="3">
        <v>38.26</v>
      </c>
      <c r="Y83" s="2" t="s">
        <v>1694</v>
      </c>
      <c r="Z83" s="2" t="s">
        <v>1454</v>
      </c>
      <c r="AA83" s="2" t="s">
        <v>1695</v>
      </c>
      <c r="AB83" s="2" t="s">
        <v>1691</v>
      </c>
      <c r="AC83" s="2" t="s">
        <v>1696</v>
      </c>
      <c r="AD83" s="3">
        <v>1</v>
      </c>
    </row>
    <row r="84" customHeight="1" spans="1:30">
      <c r="A84" s="4">
        <v>46311</v>
      </c>
      <c r="B84" s="2" t="s">
        <v>1690</v>
      </c>
      <c r="C84" s="2" t="s">
        <v>43</v>
      </c>
      <c r="D84" s="2" t="s">
        <v>1691</v>
      </c>
      <c r="E84" s="2" t="s">
        <v>1690</v>
      </c>
      <c r="F84" s="2" t="s">
        <v>1692</v>
      </c>
      <c r="G84" s="2" t="s">
        <v>1454</v>
      </c>
      <c r="H84" s="2"/>
      <c r="I84" s="2"/>
      <c r="J84" s="2" t="s">
        <v>44</v>
      </c>
      <c r="K84" s="2" t="s">
        <v>42</v>
      </c>
      <c r="L84" s="2" t="s">
        <v>41</v>
      </c>
      <c r="M84" s="2" t="s">
        <v>40</v>
      </c>
      <c r="N84" s="2" t="s">
        <v>1795</v>
      </c>
      <c r="O84" s="2" t="s">
        <v>43</v>
      </c>
      <c r="P84" s="3">
        <v>2</v>
      </c>
      <c r="Q84" s="3">
        <v>0</v>
      </c>
      <c r="R84" s="3">
        <v>0</v>
      </c>
      <c r="S84" s="3">
        <v>1</v>
      </c>
      <c r="T84" s="3">
        <v>1</v>
      </c>
      <c r="U84" s="3">
        <v>0</v>
      </c>
      <c r="V84" s="3">
        <v>3</v>
      </c>
      <c r="W84" s="3">
        <v>153.99</v>
      </c>
      <c r="X84" s="3">
        <v>51.33</v>
      </c>
      <c r="Y84" s="2" t="s">
        <v>1694</v>
      </c>
      <c r="Z84" s="2" t="s">
        <v>1454</v>
      </c>
      <c r="AA84" s="2" t="s">
        <v>1695</v>
      </c>
      <c r="AB84" s="2" t="s">
        <v>1691</v>
      </c>
      <c r="AC84" s="2" t="s">
        <v>1696</v>
      </c>
      <c r="AD84" s="3">
        <v>1</v>
      </c>
    </row>
    <row r="85" customHeight="1" spans="1:30">
      <c r="A85" s="4">
        <v>46311</v>
      </c>
      <c r="B85" s="2" t="s">
        <v>1690</v>
      </c>
      <c r="C85" s="2" t="s">
        <v>43</v>
      </c>
      <c r="D85" s="2" t="s">
        <v>1691</v>
      </c>
      <c r="E85" s="2" t="s">
        <v>1690</v>
      </c>
      <c r="F85" s="2" t="s">
        <v>1692</v>
      </c>
      <c r="G85" s="2" t="s">
        <v>1454</v>
      </c>
      <c r="H85" s="2"/>
      <c r="I85" s="2"/>
      <c r="J85" s="2" t="s">
        <v>55</v>
      </c>
      <c r="K85" s="2" t="s">
        <v>1796</v>
      </c>
      <c r="L85" s="2" t="s">
        <v>1797</v>
      </c>
      <c r="M85" s="2" t="s">
        <v>57</v>
      </c>
      <c r="N85" s="2" t="s">
        <v>1798</v>
      </c>
      <c r="O85" s="2" t="s">
        <v>43</v>
      </c>
      <c r="P85" s="3">
        <v>6</v>
      </c>
      <c r="Q85" s="3">
        <v>6</v>
      </c>
      <c r="R85" s="3">
        <v>1</v>
      </c>
      <c r="S85" s="3">
        <v>0</v>
      </c>
      <c r="T85" s="3">
        <v>0</v>
      </c>
      <c r="U85" s="3">
        <v>0</v>
      </c>
      <c r="V85" s="3">
        <v>6</v>
      </c>
      <c r="W85" s="3">
        <v>270.78</v>
      </c>
      <c r="X85" s="3">
        <v>45.13</v>
      </c>
      <c r="Y85" s="2" t="s">
        <v>1694</v>
      </c>
      <c r="Z85" s="2" t="s">
        <v>1454</v>
      </c>
      <c r="AA85" s="2" t="s">
        <v>1695</v>
      </c>
      <c r="AB85" s="2" t="s">
        <v>1691</v>
      </c>
      <c r="AC85" s="2" t="s">
        <v>1696</v>
      </c>
      <c r="AD85" s="3">
        <v>1</v>
      </c>
    </row>
    <row r="86" customHeight="1" spans="1:30">
      <c r="A86" s="4">
        <v>46311</v>
      </c>
      <c r="B86" s="2" t="s">
        <v>1690</v>
      </c>
      <c r="C86" s="2" t="s">
        <v>43</v>
      </c>
      <c r="D86" s="2" t="s">
        <v>1691</v>
      </c>
      <c r="E86" s="2" t="s">
        <v>1690</v>
      </c>
      <c r="F86" s="2" t="s">
        <v>1692</v>
      </c>
      <c r="G86" s="2" t="s">
        <v>1454</v>
      </c>
      <c r="H86" s="2"/>
      <c r="I86" s="2"/>
      <c r="J86" s="2" t="s">
        <v>44</v>
      </c>
      <c r="K86" s="2" t="s">
        <v>297</v>
      </c>
      <c r="L86" s="2" t="s">
        <v>296</v>
      </c>
      <c r="M86" s="2" t="s">
        <v>295</v>
      </c>
      <c r="N86" s="2" t="s">
        <v>1799</v>
      </c>
      <c r="O86" s="2" t="s">
        <v>43</v>
      </c>
      <c r="P86" s="3">
        <v>28</v>
      </c>
      <c r="Q86" s="3">
        <v>28</v>
      </c>
      <c r="R86" s="3">
        <v>0</v>
      </c>
      <c r="S86" s="3">
        <v>0</v>
      </c>
      <c r="T86" s="3">
        <v>0</v>
      </c>
      <c r="U86" s="3">
        <v>0</v>
      </c>
      <c r="V86" s="3">
        <v>28</v>
      </c>
      <c r="W86" s="3">
        <v>2788.52</v>
      </c>
      <c r="X86" s="3">
        <v>99.59</v>
      </c>
      <c r="Y86" s="2" t="s">
        <v>1694</v>
      </c>
      <c r="Z86" s="2" t="s">
        <v>1454</v>
      </c>
      <c r="AA86" s="2" t="s">
        <v>1695</v>
      </c>
      <c r="AB86" s="2" t="s">
        <v>1691</v>
      </c>
      <c r="AC86" s="2" t="s">
        <v>1696</v>
      </c>
      <c r="AD86" s="3">
        <v>1</v>
      </c>
    </row>
    <row r="87" customHeight="1" spans="1:30">
      <c r="A87" s="4">
        <v>46311</v>
      </c>
      <c r="B87" s="2" t="s">
        <v>1690</v>
      </c>
      <c r="C87" s="2" t="s">
        <v>43</v>
      </c>
      <c r="D87" s="2" t="s">
        <v>1691</v>
      </c>
      <c r="E87" s="2" t="s">
        <v>1690</v>
      </c>
      <c r="F87" s="2" t="s">
        <v>1692</v>
      </c>
      <c r="G87" s="2" t="s">
        <v>1454</v>
      </c>
      <c r="H87" s="2"/>
      <c r="I87" s="2"/>
      <c r="J87" s="2" t="s">
        <v>55</v>
      </c>
      <c r="K87" s="2" t="s">
        <v>72</v>
      </c>
      <c r="L87" s="2" t="s">
        <v>71</v>
      </c>
      <c r="M87" s="2" t="s">
        <v>70</v>
      </c>
      <c r="N87" s="2" t="s">
        <v>1705</v>
      </c>
      <c r="O87" s="2" t="s">
        <v>43</v>
      </c>
      <c r="P87" s="3">
        <v>8</v>
      </c>
      <c r="Q87" s="3">
        <v>8</v>
      </c>
      <c r="R87" s="3">
        <v>0</v>
      </c>
      <c r="S87" s="3">
        <v>0</v>
      </c>
      <c r="T87" s="3">
        <v>2</v>
      </c>
      <c r="U87" s="3">
        <v>0</v>
      </c>
      <c r="V87" s="3">
        <v>10</v>
      </c>
      <c r="W87" s="3">
        <v>539.8</v>
      </c>
      <c r="X87" s="3">
        <v>53.98</v>
      </c>
      <c r="Y87" s="2" t="s">
        <v>1694</v>
      </c>
      <c r="Z87" s="2" t="s">
        <v>1454</v>
      </c>
      <c r="AA87" s="2" t="s">
        <v>1695</v>
      </c>
      <c r="AB87" s="2" t="s">
        <v>1691</v>
      </c>
      <c r="AC87" s="2" t="s">
        <v>1696</v>
      </c>
      <c r="AD87" s="3">
        <v>1</v>
      </c>
    </row>
    <row r="88" customHeight="1" spans="1:30">
      <c r="A88" s="4">
        <v>46311</v>
      </c>
      <c r="B88" s="2" t="s">
        <v>1690</v>
      </c>
      <c r="C88" s="2" t="s">
        <v>43</v>
      </c>
      <c r="D88" s="2" t="s">
        <v>1691</v>
      </c>
      <c r="E88" s="2" t="s">
        <v>1690</v>
      </c>
      <c r="F88" s="2" t="s">
        <v>1692</v>
      </c>
      <c r="G88" s="2" t="s">
        <v>1454</v>
      </c>
      <c r="H88" s="2"/>
      <c r="I88" s="2"/>
      <c r="J88" s="2" t="s">
        <v>44</v>
      </c>
      <c r="K88" s="2" t="s">
        <v>120</v>
      </c>
      <c r="L88" s="2" t="s">
        <v>119</v>
      </c>
      <c r="M88" s="2" t="s">
        <v>118</v>
      </c>
      <c r="N88" s="2" t="s">
        <v>1800</v>
      </c>
      <c r="O88" s="2" t="s">
        <v>43</v>
      </c>
      <c r="P88" s="3">
        <v>11</v>
      </c>
      <c r="Q88" s="3">
        <v>10</v>
      </c>
      <c r="R88" s="3">
        <v>0</v>
      </c>
      <c r="S88" s="3">
        <v>0</v>
      </c>
      <c r="T88" s="3">
        <v>2</v>
      </c>
      <c r="U88" s="3">
        <v>0</v>
      </c>
      <c r="V88" s="3">
        <v>13</v>
      </c>
      <c r="W88" s="3">
        <v>605.8</v>
      </c>
      <c r="X88" s="3">
        <v>46.6</v>
      </c>
      <c r="Y88" s="2" t="s">
        <v>1694</v>
      </c>
      <c r="Z88" s="2" t="s">
        <v>1454</v>
      </c>
      <c r="AA88" s="2" t="s">
        <v>1695</v>
      </c>
      <c r="AB88" s="2" t="s">
        <v>1691</v>
      </c>
      <c r="AC88" s="2" t="s">
        <v>1696</v>
      </c>
      <c r="AD88" s="3">
        <v>1</v>
      </c>
    </row>
    <row r="89" customHeight="1" spans="1:30">
      <c r="A89" s="4">
        <v>46311</v>
      </c>
      <c r="B89" s="2" t="s">
        <v>1690</v>
      </c>
      <c r="C89" s="2" t="s">
        <v>43</v>
      </c>
      <c r="D89" s="2" t="s">
        <v>1691</v>
      </c>
      <c r="E89" s="2" t="s">
        <v>1690</v>
      </c>
      <c r="F89" s="2" t="s">
        <v>1692</v>
      </c>
      <c r="G89" s="2" t="s">
        <v>1454</v>
      </c>
      <c r="H89" s="2"/>
      <c r="I89" s="2"/>
      <c r="J89" s="2" t="s">
        <v>44</v>
      </c>
      <c r="K89" s="2" t="s">
        <v>81</v>
      </c>
      <c r="L89" s="2" t="s">
        <v>80</v>
      </c>
      <c r="M89" s="2" t="s">
        <v>79</v>
      </c>
      <c r="N89" s="2" t="s">
        <v>1801</v>
      </c>
      <c r="O89" s="2" t="s">
        <v>43</v>
      </c>
      <c r="P89" s="3">
        <v>4</v>
      </c>
      <c r="Q89" s="3">
        <v>2</v>
      </c>
      <c r="R89" s="3">
        <v>0</v>
      </c>
      <c r="S89" s="3">
        <v>0</v>
      </c>
      <c r="T89" s="3">
        <v>2</v>
      </c>
      <c r="U89" s="3">
        <v>0</v>
      </c>
      <c r="V89" s="3">
        <v>6</v>
      </c>
      <c r="W89" s="3">
        <v>900.24</v>
      </c>
      <c r="X89" s="3">
        <v>150.04</v>
      </c>
      <c r="Y89" s="2" t="s">
        <v>1694</v>
      </c>
      <c r="Z89" s="2" t="s">
        <v>1454</v>
      </c>
      <c r="AA89" s="2" t="s">
        <v>1695</v>
      </c>
      <c r="AB89" s="2" t="s">
        <v>1691</v>
      </c>
      <c r="AC89" s="2" t="s">
        <v>1696</v>
      </c>
      <c r="AD89" s="3">
        <v>1</v>
      </c>
    </row>
    <row r="90" customHeight="1" spans="1:30">
      <c r="A90" s="4">
        <v>46311</v>
      </c>
      <c r="B90" s="2" t="s">
        <v>1690</v>
      </c>
      <c r="C90" s="2" t="s">
        <v>43</v>
      </c>
      <c r="D90" s="2" t="s">
        <v>1691</v>
      </c>
      <c r="E90" s="2" t="s">
        <v>1690</v>
      </c>
      <c r="F90" s="2" t="s">
        <v>1692</v>
      </c>
      <c r="G90" s="2" t="s">
        <v>1454</v>
      </c>
      <c r="H90" s="2"/>
      <c r="I90" s="2"/>
      <c r="J90" s="2" t="s">
        <v>44</v>
      </c>
      <c r="K90" s="2" t="s">
        <v>287</v>
      </c>
      <c r="L90" s="2" t="s">
        <v>286</v>
      </c>
      <c r="M90" s="2" t="s">
        <v>285</v>
      </c>
      <c r="N90" s="2" t="s">
        <v>1802</v>
      </c>
      <c r="O90" s="2" t="s">
        <v>43</v>
      </c>
      <c r="P90" s="3">
        <v>0</v>
      </c>
      <c r="Q90" s="3">
        <v>0</v>
      </c>
      <c r="R90" s="3">
        <v>0</v>
      </c>
      <c r="S90" s="3">
        <v>24</v>
      </c>
      <c r="T90" s="3">
        <v>24</v>
      </c>
      <c r="U90" s="3">
        <v>0</v>
      </c>
      <c r="V90" s="3">
        <v>24</v>
      </c>
      <c r="W90" s="3">
        <v>2593.68</v>
      </c>
      <c r="X90" s="3">
        <v>108.07</v>
      </c>
      <c r="Y90" s="2" t="s">
        <v>1694</v>
      </c>
      <c r="Z90" s="2" t="s">
        <v>1454</v>
      </c>
      <c r="AA90" s="2" t="s">
        <v>1695</v>
      </c>
      <c r="AB90" s="2" t="s">
        <v>1691</v>
      </c>
      <c r="AC90" s="2" t="s">
        <v>1696</v>
      </c>
      <c r="AD90" s="3">
        <v>1</v>
      </c>
    </row>
    <row r="91" customHeight="1" spans="1:30">
      <c r="A91" s="4">
        <v>46311</v>
      </c>
      <c r="B91" s="2" t="s">
        <v>1690</v>
      </c>
      <c r="C91" s="2" t="s">
        <v>43</v>
      </c>
      <c r="D91" s="2" t="s">
        <v>1691</v>
      </c>
      <c r="E91" s="2" t="s">
        <v>1690</v>
      </c>
      <c r="F91" s="2" t="s">
        <v>1692</v>
      </c>
      <c r="G91" s="2" t="s">
        <v>1454</v>
      </c>
      <c r="H91" s="2"/>
      <c r="I91" s="2"/>
      <c r="J91" s="2" t="s">
        <v>44</v>
      </c>
      <c r="K91" s="2" t="s">
        <v>108</v>
      </c>
      <c r="L91" s="2" t="s">
        <v>107</v>
      </c>
      <c r="M91" s="2" t="s">
        <v>106</v>
      </c>
      <c r="N91" s="2" t="s">
        <v>1803</v>
      </c>
      <c r="O91" s="2" t="s">
        <v>43</v>
      </c>
      <c r="P91" s="3">
        <v>26</v>
      </c>
      <c r="Q91" s="3">
        <v>26</v>
      </c>
      <c r="R91" s="3">
        <v>0</v>
      </c>
      <c r="S91" s="3">
        <v>0</v>
      </c>
      <c r="T91" s="3">
        <v>0</v>
      </c>
      <c r="U91" s="3">
        <v>0</v>
      </c>
      <c r="V91" s="3">
        <v>26</v>
      </c>
      <c r="W91" s="3">
        <v>1564.68</v>
      </c>
      <c r="X91" s="3">
        <v>60.18</v>
      </c>
      <c r="Y91" s="2" t="s">
        <v>1694</v>
      </c>
      <c r="Z91" s="2" t="s">
        <v>1454</v>
      </c>
      <c r="AA91" s="2" t="s">
        <v>1695</v>
      </c>
      <c r="AB91" s="2" t="s">
        <v>1691</v>
      </c>
      <c r="AC91" s="2" t="s">
        <v>1696</v>
      </c>
      <c r="AD91" s="3">
        <v>1</v>
      </c>
    </row>
    <row r="92" customHeight="1" spans="1:30">
      <c r="A92" s="4">
        <v>46311</v>
      </c>
      <c r="B92" s="2" t="s">
        <v>1690</v>
      </c>
      <c r="C92" s="2" t="s">
        <v>43</v>
      </c>
      <c r="D92" s="2" t="s">
        <v>1691</v>
      </c>
      <c r="E92" s="2" t="s">
        <v>1690</v>
      </c>
      <c r="F92" s="2" t="s">
        <v>1692</v>
      </c>
      <c r="G92" s="2" t="s">
        <v>1454</v>
      </c>
      <c r="H92" s="2"/>
      <c r="I92" s="2"/>
      <c r="J92" s="2" t="s">
        <v>44</v>
      </c>
      <c r="K92" s="2" t="s">
        <v>156</v>
      </c>
      <c r="L92" s="2" t="s">
        <v>155</v>
      </c>
      <c r="M92" s="2" t="s">
        <v>154</v>
      </c>
      <c r="N92" s="2" t="s">
        <v>1804</v>
      </c>
      <c r="O92" s="2" t="s">
        <v>43</v>
      </c>
      <c r="P92" s="3">
        <v>16</v>
      </c>
      <c r="Q92" s="3">
        <v>16</v>
      </c>
      <c r="R92" s="3">
        <v>0</v>
      </c>
      <c r="S92" s="3">
        <v>0</v>
      </c>
      <c r="T92" s="3">
        <v>0</v>
      </c>
      <c r="U92" s="3">
        <v>0</v>
      </c>
      <c r="V92" s="3">
        <v>16</v>
      </c>
      <c r="W92" s="3">
        <v>1926.88</v>
      </c>
      <c r="X92" s="3">
        <v>120.43</v>
      </c>
      <c r="Y92" s="2" t="s">
        <v>1694</v>
      </c>
      <c r="Z92" s="2" t="s">
        <v>1454</v>
      </c>
      <c r="AA92" s="2" t="s">
        <v>1695</v>
      </c>
      <c r="AB92" s="2" t="s">
        <v>1691</v>
      </c>
      <c r="AC92" s="2" t="s">
        <v>1696</v>
      </c>
      <c r="AD92" s="3">
        <v>1</v>
      </c>
    </row>
    <row r="93" customHeight="1" spans="1:30">
      <c r="A93" s="4">
        <v>46311</v>
      </c>
      <c r="B93" s="2" t="s">
        <v>1690</v>
      </c>
      <c r="C93" s="2" t="s">
        <v>43</v>
      </c>
      <c r="D93" s="2" t="s">
        <v>1691</v>
      </c>
      <c r="E93" s="2" t="s">
        <v>1690</v>
      </c>
      <c r="F93" s="2" t="s">
        <v>1692</v>
      </c>
      <c r="G93" s="2" t="s">
        <v>1454</v>
      </c>
      <c r="H93" s="2"/>
      <c r="I93" s="2"/>
      <c r="J93" s="2" t="s">
        <v>44</v>
      </c>
      <c r="K93" s="2" t="s">
        <v>260</v>
      </c>
      <c r="L93" s="2" t="s">
        <v>259</v>
      </c>
      <c r="M93" s="2" t="s">
        <v>258</v>
      </c>
      <c r="N93" s="2" t="s">
        <v>1805</v>
      </c>
      <c r="O93" s="2" t="s">
        <v>43</v>
      </c>
      <c r="P93" s="3">
        <v>2</v>
      </c>
      <c r="Q93" s="3">
        <v>1</v>
      </c>
      <c r="R93" s="3">
        <v>0</v>
      </c>
      <c r="S93" s="3">
        <v>8</v>
      </c>
      <c r="T93" s="3">
        <v>21</v>
      </c>
      <c r="U93" s="3">
        <v>0</v>
      </c>
      <c r="V93" s="3">
        <v>23</v>
      </c>
      <c r="W93" s="3">
        <v>1243.15</v>
      </c>
      <c r="X93" s="3">
        <v>54.05</v>
      </c>
      <c r="Y93" s="2" t="s">
        <v>1694</v>
      </c>
      <c r="Z93" s="2" t="s">
        <v>1454</v>
      </c>
      <c r="AA93" s="2" t="s">
        <v>1695</v>
      </c>
      <c r="AB93" s="2" t="s">
        <v>1691</v>
      </c>
      <c r="AC93" s="2" t="s">
        <v>1696</v>
      </c>
      <c r="AD93" s="3">
        <v>1</v>
      </c>
    </row>
    <row r="94" customHeight="1" spans="1:30">
      <c r="A94" s="4">
        <v>46311</v>
      </c>
      <c r="B94" s="2" t="s">
        <v>1690</v>
      </c>
      <c r="C94" s="2" t="s">
        <v>43</v>
      </c>
      <c r="D94" s="2" t="s">
        <v>1691</v>
      </c>
      <c r="E94" s="2" t="s">
        <v>1690</v>
      </c>
      <c r="F94" s="2" t="s">
        <v>1692</v>
      </c>
      <c r="G94" s="2" t="s">
        <v>1454</v>
      </c>
      <c r="H94" s="2"/>
      <c r="I94" s="2"/>
      <c r="J94" s="2" t="s">
        <v>55</v>
      </c>
      <c r="K94" s="2" t="s">
        <v>306</v>
      </c>
      <c r="L94" s="2" t="s">
        <v>305</v>
      </c>
      <c r="M94" s="2" t="s">
        <v>304</v>
      </c>
      <c r="N94" s="2" t="s">
        <v>1806</v>
      </c>
      <c r="O94" s="2" t="s">
        <v>43</v>
      </c>
      <c r="P94" s="3">
        <v>4</v>
      </c>
      <c r="Q94" s="3">
        <v>4</v>
      </c>
      <c r="R94" s="3">
        <v>0</v>
      </c>
      <c r="S94" s="3">
        <v>0</v>
      </c>
      <c r="T94" s="3">
        <v>0</v>
      </c>
      <c r="U94" s="3">
        <v>0</v>
      </c>
      <c r="V94" s="3">
        <v>4</v>
      </c>
      <c r="W94" s="3">
        <v>258.8</v>
      </c>
      <c r="X94" s="3">
        <v>64.7</v>
      </c>
      <c r="Y94" s="2" t="s">
        <v>1694</v>
      </c>
      <c r="Z94" s="2" t="s">
        <v>1454</v>
      </c>
      <c r="AA94" s="2" t="s">
        <v>1695</v>
      </c>
      <c r="AB94" s="2" t="s">
        <v>1691</v>
      </c>
      <c r="AC94" s="2" t="s">
        <v>1696</v>
      </c>
      <c r="AD94" s="3">
        <v>1</v>
      </c>
    </row>
    <row r="95" customHeight="1" spans="1:30">
      <c r="A95" s="4">
        <v>46311</v>
      </c>
      <c r="B95" s="2" t="s">
        <v>1690</v>
      </c>
      <c r="C95" s="2" t="s">
        <v>43</v>
      </c>
      <c r="D95" s="2" t="s">
        <v>1691</v>
      </c>
      <c r="E95" s="2" t="s">
        <v>1690</v>
      </c>
      <c r="F95" s="2" t="s">
        <v>1692</v>
      </c>
      <c r="G95" s="2" t="s">
        <v>1454</v>
      </c>
      <c r="H95" s="2"/>
      <c r="I95" s="2"/>
      <c r="J95" s="2" t="s">
        <v>343</v>
      </c>
      <c r="K95" s="2" t="s">
        <v>460</v>
      </c>
      <c r="L95" s="2" t="s">
        <v>459</v>
      </c>
      <c r="M95" s="2" t="s">
        <v>458</v>
      </c>
      <c r="N95" s="2" t="s">
        <v>1807</v>
      </c>
      <c r="O95" s="2" t="s">
        <v>43</v>
      </c>
      <c r="P95" s="3">
        <v>2</v>
      </c>
      <c r="Q95" s="3">
        <v>2</v>
      </c>
      <c r="R95" s="3">
        <v>0</v>
      </c>
      <c r="S95" s="3">
        <v>16</v>
      </c>
      <c r="T95" s="3">
        <v>0</v>
      </c>
      <c r="U95" s="3">
        <v>0</v>
      </c>
      <c r="V95" s="3">
        <v>2</v>
      </c>
      <c r="W95" s="3">
        <v>196.88</v>
      </c>
      <c r="X95" s="3">
        <v>98.44</v>
      </c>
      <c r="Y95" s="2" t="s">
        <v>1710</v>
      </c>
      <c r="Z95" s="2" t="s">
        <v>1454</v>
      </c>
      <c r="AA95" s="2" t="s">
        <v>1695</v>
      </c>
      <c r="AB95" s="2" t="s">
        <v>1691</v>
      </c>
      <c r="AC95" s="2" t="s">
        <v>1696</v>
      </c>
      <c r="AD95" s="3">
        <v>1</v>
      </c>
    </row>
    <row r="96" customHeight="1" spans="1:30">
      <c r="A96" s="4">
        <v>46311</v>
      </c>
      <c r="B96" s="2" t="s">
        <v>1690</v>
      </c>
      <c r="C96" s="2" t="s">
        <v>43</v>
      </c>
      <c r="D96" s="2" t="s">
        <v>1691</v>
      </c>
      <c r="E96" s="2" t="s">
        <v>1690</v>
      </c>
      <c r="F96" s="2" t="s">
        <v>1692</v>
      </c>
      <c r="G96" s="2" t="s">
        <v>1454</v>
      </c>
      <c r="H96" s="2"/>
      <c r="I96" s="2"/>
      <c r="J96" s="2" t="s">
        <v>44</v>
      </c>
      <c r="K96" s="2" t="s">
        <v>315</v>
      </c>
      <c r="L96" s="2" t="s">
        <v>314</v>
      </c>
      <c r="M96" s="2" t="s">
        <v>313</v>
      </c>
      <c r="N96" s="2" t="s">
        <v>1808</v>
      </c>
      <c r="O96" s="2" t="s">
        <v>43</v>
      </c>
      <c r="P96" s="3">
        <v>10</v>
      </c>
      <c r="Q96" s="3">
        <v>10</v>
      </c>
      <c r="R96" s="3">
        <v>0</v>
      </c>
      <c r="S96" s="3">
        <v>0</v>
      </c>
      <c r="T96" s="3">
        <v>0</v>
      </c>
      <c r="U96" s="3">
        <v>0</v>
      </c>
      <c r="V96" s="3">
        <v>10</v>
      </c>
      <c r="W96" s="3">
        <v>657.2</v>
      </c>
      <c r="X96" s="3">
        <v>65.72</v>
      </c>
      <c r="Y96" s="2" t="s">
        <v>1694</v>
      </c>
      <c r="Z96" s="2" t="s">
        <v>1454</v>
      </c>
      <c r="AA96" s="2" t="s">
        <v>1695</v>
      </c>
      <c r="AB96" s="2" t="s">
        <v>1691</v>
      </c>
      <c r="AC96" s="2" t="s">
        <v>1696</v>
      </c>
      <c r="AD96" s="3">
        <v>1</v>
      </c>
    </row>
    <row r="97" customHeight="1" spans="1:30">
      <c r="A97" s="4">
        <v>46311</v>
      </c>
      <c r="B97" s="2" t="s">
        <v>1690</v>
      </c>
      <c r="C97" s="2" t="s">
        <v>43</v>
      </c>
      <c r="D97" s="2" t="s">
        <v>1691</v>
      </c>
      <c r="E97" s="2" t="s">
        <v>1690</v>
      </c>
      <c r="F97" s="2" t="s">
        <v>1692</v>
      </c>
      <c r="G97" s="2" t="s">
        <v>1454</v>
      </c>
      <c r="H97" s="2"/>
      <c r="I97" s="2"/>
      <c r="J97" s="2" t="s">
        <v>44</v>
      </c>
      <c r="K97" s="2" t="s">
        <v>201</v>
      </c>
      <c r="L97" s="2" t="s">
        <v>200</v>
      </c>
      <c r="M97" s="2" t="s">
        <v>199</v>
      </c>
      <c r="N97" s="2" t="s">
        <v>1809</v>
      </c>
      <c r="O97" s="2" t="s">
        <v>43</v>
      </c>
      <c r="P97" s="3">
        <v>9</v>
      </c>
      <c r="Q97" s="3">
        <v>9</v>
      </c>
      <c r="R97" s="3">
        <v>0</v>
      </c>
      <c r="S97" s="3">
        <v>0</v>
      </c>
      <c r="T97" s="3">
        <v>0</v>
      </c>
      <c r="U97" s="3">
        <v>0</v>
      </c>
      <c r="V97" s="3">
        <v>9</v>
      </c>
      <c r="W97" s="3">
        <v>493.83</v>
      </c>
      <c r="X97" s="3">
        <v>54.87</v>
      </c>
      <c r="Y97" s="2" t="s">
        <v>1694</v>
      </c>
      <c r="Z97" s="2" t="s">
        <v>1454</v>
      </c>
      <c r="AA97" s="2" t="s">
        <v>1695</v>
      </c>
      <c r="AB97" s="2" t="s">
        <v>1691</v>
      </c>
      <c r="AC97" s="2" t="s">
        <v>1696</v>
      </c>
      <c r="AD97" s="3">
        <v>1</v>
      </c>
    </row>
    <row r="98" customHeight="1" spans="1:30">
      <c r="A98" s="4">
        <v>46311</v>
      </c>
      <c r="B98" s="2" t="s">
        <v>1690</v>
      </c>
      <c r="C98" s="2" t="s">
        <v>43</v>
      </c>
      <c r="D98" s="2" t="s">
        <v>1691</v>
      </c>
      <c r="E98" s="2" t="s">
        <v>1690</v>
      </c>
      <c r="F98" s="2" t="s">
        <v>1692</v>
      </c>
      <c r="G98" s="2" t="s">
        <v>1454</v>
      </c>
      <c r="H98" s="2"/>
      <c r="I98" s="2"/>
      <c r="J98" s="2" t="s">
        <v>55</v>
      </c>
      <c r="K98" s="2" t="s">
        <v>348</v>
      </c>
      <c r="L98" s="2" t="s">
        <v>347</v>
      </c>
      <c r="M98" s="2" t="s">
        <v>346</v>
      </c>
      <c r="N98" s="2" t="s">
        <v>1810</v>
      </c>
      <c r="O98" s="2" t="s">
        <v>43</v>
      </c>
      <c r="P98" s="3">
        <v>6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6</v>
      </c>
      <c r="W98" s="3">
        <v>592.38</v>
      </c>
      <c r="X98" s="3">
        <v>98.73</v>
      </c>
      <c r="Y98" s="2" t="s">
        <v>1694</v>
      </c>
      <c r="Z98" s="2" t="s">
        <v>1454</v>
      </c>
      <c r="AA98" s="2" t="s">
        <v>1695</v>
      </c>
      <c r="AB98" s="2" t="s">
        <v>1691</v>
      </c>
      <c r="AC98" s="2" t="s">
        <v>1696</v>
      </c>
      <c r="AD98" s="3">
        <v>1</v>
      </c>
    </row>
    <row r="99" customHeight="1" spans="1:30">
      <c r="A99" s="4">
        <v>46311</v>
      </c>
      <c r="B99" s="2" t="s">
        <v>1690</v>
      </c>
      <c r="C99" s="2" t="s">
        <v>43</v>
      </c>
      <c r="D99" s="2" t="s">
        <v>1691</v>
      </c>
      <c r="E99" s="2" t="s">
        <v>1690</v>
      </c>
      <c r="F99" s="2" t="s">
        <v>1692</v>
      </c>
      <c r="G99" s="2" t="s">
        <v>1454</v>
      </c>
      <c r="H99" s="2"/>
      <c r="I99" s="2"/>
      <c r="J99" s="2" t="s">
        <v>55</v>
      </c>
      <c r="K99" s="2" t="s">
        <v>59</v>
      </c>
      <c r="L99" s="2" t="s">
        <v>58</v>
      </c>
      <c r="M99" s="2" t="s">
        <v>57</v>
      </c>
      <c r="N99" s="2" t="s">
        <v>1798</v>
      </c>
      <c r="O99" s="2" t="s">
        <v>43</v>
      </c>
      <c r="P99" s="3">
        <v>15</v>
      </c>
      <c r="Q99" s="3">
        <v>15</v>
      </c>
      <c r="R99" s="3">
        <v>0</v>
      </c>
      <c r="S99" s="3">
        <v>0</v>
      </c>
      <c r="T99" s="3">
        <v>0</v>
      </c>
      <c r="U99" s="3">
        <v>0</v>
      </c>
      <c r="V99" s="3">
        <v>15</v>
      </c>
      <c r="W99" s="3">
        <v>676.95</v>
      </c>
      <c r="X99" s="3">
        <v>45.13</v>
      </c>
      <c r="Y99" s="2" t="s">
        <v>1694</v>
      </c>
      <c r="Z99" s="2" t="s">
        <v>1454</v>
      </c>
      <c r="AA99" s="2" t="s">
        <v>1695</v>
      </c>
      <c r="AB99" s="2" t="s">
        <v>1691</v>
      </c>
      <c r="AC99" s="2" t="s">
        <v>1696</v>
      </c>
      <c r="AD99" s="3">
        <v>1</v>
      </c>
    </row>
    <row r="100" customHeight="1" spans="1:30">
      <c r="A100" s="4">
        <v>46311</v>
      </c>
      <c r="B100" s="2" t="s">
        <v>1690</v>
      </c>
      <c r="C100" s="2" t="s">
        <v>43</v>
      </c>
      <c r="D100" s="2" t="s">
        <v>1691</v>
      </c>
      <c r="E100" s="2" t="s">
        <v>1690</v>
      </c>
      <c r="F100" s="2" t="s">
        <v>1692</v>
      </c>
      <c r="G100" s="2" t="s">
        <v>1454</v>
      </c>
      <c r="H100" s="2"/>
      <c r="I100" s="2"/>
      <c r="J100" s="2" t="s">
        <v>44</v>
      </c>
      <c r="K100" s="2" t="s">
        <v>351</v>
      </c>
      <c r="L100" s="2" t="s">
        <v>350</v>
      </c>
      <c r="M100" s="2" t="s">
        <v>349</v>
      </c>
      <c r="N100" s="2" t="s">
        <v>1811</v>
      </c>
      <c r="O100" s="2" t="s">
        <v>43</v>
      </c>
      <c r="P100" s="3">
        <v>11</v>
      </c>
      <c r="Q100" s="3">
        <v>6</v>
      </c>
      <c r="R100" s="3">
        <v>0</v>
      </c>
      <c r="S100" s="3">
        <v>0</v>
      </c>
      <c r="T100" s="3">
        <v>21</v>
      </c>
      <c r="U100" s="3">
        <v>0</v>
      </c>
      <c r="V100" s="3">
        <v>32</v>
      </c>
      <c r="W100" s="3">
        <v>3572.8</v>
      </c>
      <c r="X100" s="3">
        <v>111.65</v>
      </c>
      <c r="Y100" s="2" t="s">
        <v>1714</v>
      </c>
      <c r="Z100" s="2" t="s">
        <v>1454</v>
      </c>
      <c r="AA100" s="2" t="s">
        <v>1695</v>
      </c>
      <c r="AB100" s="2" t="s">
        <v>1691</v>
      </c>
      <c r="AC100" s="2" t="s">
        <v>1696</v>
      </c>
      <c r="AD100" s="3">
        <v>1</v>
      </c>
    </row>
    <row r="101" customHeight="1" spans="1:30">
      <c r="A101" s="4">
        <v>46311</v>
      </c>
      <c r="B101" s="2" t="s">
        <v>1690</v>
      </c>
      <c r="C101" s="2" t="s">
        <v>43</v>
      </c>
      <c r="D101" s="2" t="s">
        <v>1691</v>
      </c>
      <c r="E101" s="2" t="s">
        <v>1690</v>
      </c>
      <c r="F101" s="2" t="s">
        <v>1692</v>
      </c>
      <c r="G101" s="2" t="s">
        <v>1454</v>
      </c>
      <c r="H101" s="2"/>
      <c r="I101" s="2"/>
      <c r="J101" s="2" t="s">
        <v>343</v>
      </c>
      <c r="K101" s="2" t="s">
        <v>439</v>
      </c>
      <c r="L101" s="2" t="s">
        <v>438</v>
      </c>
      <c r="M101" s="2" t="s">
        <v>437</v>
      </c>
      <c r="N101" s="2" t="s">
        <v>1812</v>
      </c>
      <c r="O101" s="2" t="s">
        <v>43</v>
      </c>
      <c r="P101" s="3">
        <v>0</v>
      </c>
      <c r="Q101" s="3">
        <v>0</v>
      </c>
      <c r="R101" s="3">
        <v>0</v>
      </c>
      <c r="S101" s="3">
        <v>0</v>
      </c>
      <c r="T101" s="3">
        <v>5</v>
      </c>
      <c r="U101" s="3">
        <v>0</v>
      </c>
      <c r="V101" s="3">
        <v>5</v>
      </c>
      <c r="W101" s="3">
        <v>195.95</v>
      </c>
      <c r="X101" s="3">
        <v>39.19</v>
      </c>
      <c r="Y101" s="2" t="s">
        <v>1710</v>
      </c>
      <c r="Z101" s="2" t="s">
        <v>1454</v>
      </c>
      <c r="AA101" s="2" t="s">
        <v>1695</v>
      </c>
      <c r="AB101" s="2" t="s">
        <v>1691</v>
      </c>
      <c r="AC101" s="2" t="s">
        <v>1696</v>
      </c>
      <c r="AD101" s="3">
        <v>1</v>
      </c>
    </row>
    <row r="102" customHeight="1" spans="1:30">
      <c r="A102" s="4">
        <v>46311</v>
      </c>
      <c r="B102" s="2" t="s">
        <v>1690</v>
      </c>
      <c r="C102" s="2" t="s">
        <v>43</v>
      </c>
      <c r="D102" s="2" t="s">
        <v>1691</v>
      </c>
      <c r="E102" s="2" t="s">
        <v>1690</v>
      </c>
      <c r="F102" s="2" t="s">
        <v>1692</v>
      </c>
      <c r="G102" s="2" t="s">
        <v>1454</v>
      </c>
      <c r="H102" s="2"/>
      <c r="I102" s="2"/>
      <c r="J102" s="2" t="s">
        <v>44</v>
      </c>
      <c r="K102" s="2" t="s">
        <v>327</v>
      </c>
      <c r="L102" s="2" t="s">
        <v>326</v>
      </c>
      <c r="M102" s="2" t="s">
        <v>325</v>
      </c>
      <c r="N102" s="2" t="s">
        <v>1813</v>
      </c>
      <c r="O102" s="2" t="s">
        <v>43</v>
      </c>
      <c r="P102" s="3">
        <v>13</v>
      </c>
      <c r="Q102" s="3">
        <v>13</v>
      </c>
      <c r="R102" s="3">
        <v>0</v>
      </c>
      <c r="S102" s="3">
        <v>0</v>
      </c>
      <c r="T102" s="3">
        <v>0</v>
      </c>
      <c r="U102" s="3">
        <v>0</v>
      </c>
      <c r="V102" s="3">
        <v>13</v>
      </c>
      <c r="W102" s="3">
        <v>897.39</v>
      </c>
      <c r="X102" s="3">
        <v>69.03</v>
      </c>
      <c r="Y102" s="2" t="s">
        <v>1694</v>
      </c>
      <c r="Z102" s="2" t="s">
        <v>1454</v>
      </c>
      <c r="AA102" s="2" t="s">
        <v>1695</v>
      </c>
      <c r="AB102" s="2" t="s">
        <v>1691</v>
      </c>
      <c r="AC102" s="2" t="s">
        <v>1696</v>
      </c>
      <c r="AD102" s="3">
        <v>1</v>
      </c>
    </row>
    <row r="103" customHeight="1" spans="1:30">
      <c r="A103" s="4">
        <v>46311</v>
      </c>
      <c r="B103" s="2" t="s">
        <v>1690</v>
      </c>
      <c r="C103" s="2" t="s">
        <v>43</v>
      </c>
      <c r="D103" s="2" t="s">
        <v>1691</v>
      </c>
      <c r="E103" s="2" t="s">
        <v>1690</v>
      </c>
      <c r="F103" s="2" t="s">
        <v>1692</v>
      </c>
      <c r="G103" s="2" t="s">
        <v>1454</v>
      </c>
      <c r="H103" s="2"/>
      <c r="I103" s="2"/>
      <c r="J103" s="2" t="s">
        <v>55</v>
      </c>
      <c r="K103" s="2" t="s">
        <v>291</v>
      </c>
      <c r="L103" s="2" t="s">
        <v>290</v>
      </c>
      <c r="M103" s="2" t="s">
        <v>289</v>
      </c>
      <c r="N103" s="2" t="s">
        <v>1814</v>
      </c>
      <c r="O103" s="2" t="s">
        <v>43</v>
      </c>
      <c r="P103" s="3">
        <v>19</v>
      </c>
      <c r="Q103" s="3">
        <v>8</v>
      </c>
      <c r="R103" s="3">
        <v>0</v>
      </c>
      <c r="S103" s="3">
        <v>0</v>
      </c>
      <c r="T103" s="3">
        <v>0</v>
      </c>
      <c r="U103" s="3">
        <v>0</v>
      </c>
      <c r="V103" s="3">
        <v>19</v>
      </c>
      <c r="W103" s="3">
        <v>2195.07</v>
      </c>
      <c r="X103" s="3">
        <v>115.53</v>
      </c>
      <c r="Y103" s="2" t="s">
        <v>1694</v>
      </c>
      <c r="Z103" s="2" t="s">
        <v>1454</v>
      </c>
      <c r="AA103" s="2" t="s">
        <v>1695</v>
      </c>
      <c r="AB103" s="2" t="s">
        <v>1691</v>
      </c>
      <c r="AC103" s="2" t="s">
        <v>1696</v>
      </c>
      <c r="AD103" s="3">
        <v>1</v>
      </c>
    </row>
    <row r="104" customHeight="1" spans="1:30">
      <c r="A104" s="4">
        <v>46311</v>
      </c>
      <c r="B104" s="2" t="s">
        <v>1690</v>
      </c>
      <c r="C104" s="2" t="s">
        <v>43</v>
      </c>
      <c r="D104" s="2" t="s">
        <v>1691</v>
      </c>
      <c r="E104" s="2" t="s">
        <v>1690</v>
      </c>
      <c r="F104" s="2" t="s">
        <v>1692</v>
      </c>
      <c r="G104" s="2" t="s">
        <v>1454</v>
      </c>
      <c r="H104" s="2"/>
      <c r="I104" s="2"/>
      <c r="J104" s="2" t="s">
        <v>44</v>
      </c>
      <c r="K104" s="2" t="s">
        <v>62</v>
      </c>
      <c r="L104" s="2" t="s">
        <v>61</v>
      </c>
      <c r="M104" s="2" t="s">
        <v>60</v>
      </c>
      <c r="N104" s="2" t="s">
        <v>1815</v>
      </c>
      <c r="O104" s="2" t="s">
        <v>43</v>
      </c>
      <c r="P104" s="3">
        <v>23</v>
      </c>
      <c r="Q104" s="3">
        <v>3</v>
      </c>
      <c r="R104" s="3">
        <v>0</v>
      </c>
      <c r="S104" s="3">
        <v>0</v>
      </c>
      <c r="T104" s="3">
        <v>0</v>
      </c>
      <c r="U104" s="3">
        <v>0</v>
      </c>
      <c r="V104" s="3">
        <v>23</v>
      </c>
      <c r="W104" s="3">
        <v>1078.93</v>
      </c>
      <c r="X104" s="3">
        <v>46.91</v>
      </c>
      <c r="Y104" s="2" t="s">
        <v>1694</v>
      </c>
      <c r="Z104" s="2" t="s">
        <v>1454</v>
      </c>
      <c r="AA104" s="2" t="s">
        <v>1695</v>
      </c>
      <c r="AB104" s="2" t="s">
        <v>1691</v>
      </c>
      <c r="AC104" s="2" t="s">
        <v>1696</v>
      </c>
      <c r="AD104" s="3">
        <v>1</v>
      </c>
    </row>
    <row r="105" customHeight="1" spans="1:30">
      <c r="A105" s="4">
        <v>46311</v>
      </c>
      <c r="B105" s="2" t="s">
        <v>1690</v>
      </c>
      <c r="C105" s="2" t="s">
        <v>43</v>
      </c>
      <c r="D105" s="2" t="s">
        <v>1691</v>
      </c>
      <c r="E105" s="2" t="s">
        <v>1690</v>
      </c>
      <c r="F105" s="2" t="s">
        <v>1692</v>
      </c>
      <c r="G105" s="2" t="s">
        <v>1454</v>
      </c>
      <c r="H105" s="2"/>
      <c r="I105" s="2"/>
      <c r="J105" s="2" t="s">
        <v>343</v>
      </c>
      <c r="K105" s="2" t="s">
        <v>457</v>
      </c>
      <c r="L105" s="2" t="s">
        <v>456</v>
      </c>
      <c r="M105" s="2" t="s">
        <v>455</v>
      </c>
      <c r="N105" s="2" t="s">
        <v>1816</v>
      </c>
      <c r="O105" s="2" t="s">
        <v>43</v>
      </c>
      <c r="P105" s="3">
        <v>3</v>
      </c>
      <c r="Q105" s="3">
        <v>3</v>
      </c>
      <c r="R105" s="3">
        <v>0</v>
      </c>
      <c r="S105" s="3">
        <v>3</v>
      </c>
      <c r="T105" s="3">
        <v>3</v>
      </c>
      <c r="U105" s="3">
        <v>0</v>
      </c>
      <c r="V105" s="3">
        <v>6</v>
      </c>
      <c r="W105" s="3">
        <v>1257.9</v>
      </c>
      <c r="X105" s="3">
        <v>209.65</v>
      </c>
      <c r="Y105" s="2" t="s">
        <v>1710</v>
      </c>
      <c r="Z105" s="2" t="s">
        <v>1454</v>
      </c>
      <c r="AA105" s="2" t="s">
        <v>1695</v>
      </c>
      <c r="AB105" s="2" t="s">
        <v>1691</v>
      </c>
      <c r="AC105" s="2" t="s">
        <v>1696</v>
      </c>
      <c r="AD105" s="3">
        <v>1</v>
      </c>
    </row>
    <row r="106" customHeight="1" spans="1:30">
      <c r="A106" s="4">
        <v>46311</v>
      </c>
      <c r="B106" s="2" t="s">
        <v>1690</v>
      </c>
      <c r="C106" s="2" t="s">
        <v>43</v>
      </c>
      <c r="D106" s="2" t="s">
        <v>1691</v>
      </c>
      <c r="E106" s="2" t="s">
        <v>1690</v>
      </c>
      <c r="F106" s="2" t="s">
        <v>1692</v>
      </c>
      <c r="G106" s="2" t="s">
        <v>1454</v>
      </c>
      <c r="H106" s="2"/>
      <c r="I106" s="2"/>
      <c r="J106" s="2" t="s">
        <v>44</v>
      </c>
      <c r="K106" s="2" t="s">
        <v>65</v>
      </c>
      <c r="L106" s="2" t="s">
        <v>64</v>
      </c>
      <c r="M106" s="2" t="s">
        <v>63</v>
      </c>
      <c r="N106" s="2" t="s">
        <v>1817</v>
      </c>
      <c r="O106" s="2" t="s">
        <v>43</v>
      </c>
      <c r="P106" s="3">
        <v>17</v>
      </c>
      <c r="Q106" s="3">
        <v>14</v>
      </c>
      <c r="R106" s="3">
        <v>0</v>
      </c>
      <c r="S106" s="3">
        <v>2</v>
      </c>
      <c r="T106" s="3">
        <v>0</v>
      </c>
      <c r="U106" s="3">
        <v>0</v>
      </c>
      <c r="V106" s="3">
        <v>17</v>
      </c>
      <c r="W106" s="3">
        <v>692.07</v>
      </c>
      <c r="X106" s="3">
        <v>40.71</v>
      </c>
      <c r="Y106" s="2" t="s">
        <v>1694</v>
      </c>
      <c r="Z106" s="2" t="s">
        <v>1454</v>
      </c>
      <c r="AA106" s="2" t="s">
        <v>1695</v>
      </c>
      <c r="AB106" s="2" t="s">
        <v>1691</v>
      </c>
      <c r="AC106" s="2" t="s">
        <v>1696</v>
      </c>
      <c r="AD106" s="3">
        <v>1</v>
      </c>
    </row>
    <row r="107" customHeight="1" spans="1:30">
      <c r="A107" s="4">
        <v>46311</v>
      </c>
      <c r="B107" s="2" t="s">
        <v>1690</v>
      </c>
      <c r="C107" s="2" t="s">
        <v>43</v>
      </c>
      <c r="D107" s="2" t="s">
        <v>1691</v>
      </c>
      <c r="E107" s="2" t="s">
        <v>1690</v>
      </c>
      <c r="F107" s="2" t="s">
        <v>1692</v>
      </c>
      <c r="G107" s="2" t="s">
        <v>1454</v>
      </c>
      <c r="H107" s="2"/>
      <c r="I107" s="2"/>
      <c r="J107" s="2" t="s">
        <v>343</v>
      </c>
      <c r="K107" s="2" t="s">
        <v>427</v>
      </c>
      <c r="L107" s="2" t="s">
        <v>426</v>
      </c>
      <c r="M107" s="2" t="s">
        <v>425</v>
      </c>
      <c r="N107" s="2" t="s">
        <v>1818</v>
      </c>
      <c r="O107" s="2" t="s">
        <v>43</v>
      </c>
      <c r="P107" s="3">
        <v>0</v>
      </c>
      <c r="Q107" s="3">
        <v>0</v>
      </c>
      <c r="R107" s="3">
        <v>0</v>
      </c>
      <c r="S107" s="3">
        <v>0</v>
      </c>
      <c r="T107" s="3">
        <v>2</v>
      </c>
      <c r="U107" s="3">
        <v>0</v>
      </c>
      <c r="V107" s="3">
        <v>2</v>
      </c>
      <c r="W107" s="3">
        <v>122.12</v>
      </c>
      <c r="X107" s="3">
        <v>61.06</v>
      </c>
      <c r="Y107" s="2" t="s">
        <v>1710</v>
      </c>
      <c r="Z107" s="2" t="s">
        <v>1454</v>
      </c>
      <c r="AA107" s="2" t="s">
        <v>1695</v>
      </c>
      <c r="AB107" s="2" t="s">
        <v>1691</v>
      </c>
      <c r="AC107" s="2" t="s">
        <v>1696</v>
      </c>
      <c r="AD107" s="3">
        <v>1</v>
      </c>
    </row>
    <row r="108" customHeight="1" spans="1:30">
      <c r="A108" s="4">
        <v>46311</v>
      </c>
      <c r="B108" s="2" t="s">
        <v>1690</v>
      </c>
      <c r="C108" s="2" t="s">
        <v>43</v>
      </c>
      <c r="D108" s="2" t="s">
        <v>1691</v>
      </c>
      <c r="E108" s="2" t="s">
        <v>1690</v>
      </c>
      <c r="F108" s="2" t="s">
        <v>1692</v>
      </c>
      <c r="G108" s="2" t="s">
        <v>1454</v>
      </c>
      <c r="H108" s="2"/>
      <c r="I108" s="2"/>
      <c r="J108" s="2" t="s">
        <v>44</v>
      </c>
      <c r="K108" s="2" t="s">
        <v>312</v>
      </c>
      <c r="L108" s="2" t="s">
        <v>311</v>
      </c>
      <c r="M108" s="2" t="s">
        <v>310</v>
      </c>
      <c r="N108" s="2" t="s">
        <v>1819</v>
      </c>
      <c r="O108" s="2" t="s">
        <v>43</v>
      </c>
      <c r="P108" s="3">
        <v>20</v>
      </c>
      <c r="Q108" s="3">
        <v>17</v>
      </c>
      <c r="R108" s="3">
        <v>0</v>
      </c>
      <c r="S108" s="3">
        <v>5</v>
      </c>
      <c r="T108" s="3">
        <v>5</v>
      </c>
      <c r="U108" s="3">
        <v>0</v>
      </c>
      <c r="V108" s="3">
        <v>25</v>
      </c>
      <c r="W108" s="3">
        <v>1057.75</v>
      </c>
      <c r="X108" s="3">
        <v>42.31</v>
      </c>
      <c r="Y108" s="2" t="s">
        <v>1694</v>
      </c>
      <c r="Z108" s="2" t="s">
        <v>1454</v>
      </c>
      <c r="AA108" s="2" t="s">
        <v>1695</v>
      </c>
      <c r="AB108" s="2" t="s">
        <v>1691</v>
      </c>
      <c r="AC108" s="2" t="s">
        <v>1696</v>
      </c>
      <c r="AD108" s="3">
        <v>1</v>
      </c>
    </row>
    <row r="109" customHeight="1" spans="1:30">
      <c r="A109" s="4">
        <v>46311</v>
      </c>
      <c r="B109" s="2" t="s">
        <v>1690</v>
      </c>
      <c r="C109" s="2" t="s">
        <v>43</v>
      </c>
      <c r="D109" s="2" t="s">
        <v>1691</v>
      </c>
      <c r="E109" s="2" t="s">
        <v>1690</v>
      </c>
      <c r="F109" s="2" t="s">
        <v>1692</v>
      </c>
      <c r="G109" s="2" t="s">
        <v>1454</v>
      </c>
      <c r="H109" s="2"/>
      <c r="I109" s="2"/>
      <c r="J109" s="2" t="s">
        <v>44</v>
      </c>
      <c r="K109" s="2" t="s">
        <v>147</v>
      </c>
      <c r="L109" s="2" t="s">
        <v>146</v>
      </c>
      <c r="M109" s="2" t="s">
        <v>145</v>
      </c>
      <c r="N109" s="2" t="s">
        <v>1820</v>
      </c>
      <c r="O109" s="2" t="s">
        <v>43</v>
      </c>
      <c r="P109" s="3">
        <v>15</v>
      </c>
      <c r="Q109" s="3">
        <v>15</v>
      </c>
      <c r="R109" s="3">
        <v>0</v>
      </c>
      <c r="S109" s="3">
        <v>0</v>
      </c>
      <c r="T109" s="3">
        <v>0</v>
      </c>
      <c r="U109" s="3">
        <v>0</v>
      </c>
      <c r="V109" s="3">
        <v>15</v>
      </c>
      <c r="W109" s="3">
        <v>571.95</v>
      </c>
      <c r="X109" s="3">
        <v>38.13</v>
      </c>
      <c r="Y109" s="2" t="s">
        <v>1694</v>
      </c>
      <c r="Z109" s="2" t="s">
        <v>1454</v>
      </c>
      <c r="AA109" s="2" t="s">
        <v>1695</v>
      </c>
      <c r="AB109" s="2" t="s">
        <v>1691</v>
      </c>
      <c r="AC109" s="2" t="s">
        <v>1696</v>
      </c>
      <c r="AD109" s="3">
        <v>1</v>
      </c>
    </row>
    <row r="110" customHeight="1" spans="1:30">
      <c r="A110" s="4">
        <v>46311</v>
      </c>
      <c r="B110" s="2" t="s">
        <v>1690</v>
      </c>
      <c r="C110" s="2" t="s">
        <v>43</v>
      </c>
      <c r="D110" s="2" t="s">
        <v>1691</v>
      </c>
      <c r="E110" s="2" t="s">
        <v>1690</v>
      </c>
      <c r="F110" s="2" t="s">
        <v>1692</v>
      </c>
      <c r="G110" s="2" t="s">
        <v>1454</v>
      </c>
      <c r="H110" s="2"/>
      <c r="I110" s="2"/>
      <c r="J110" s="2" t="s">
        <v>343</v>
      </c>
      <c r="K110" s="2" t="s">
        <v>442</v>
      </c>
      <c r="L110" s="2" t="s">
        <v>441</v>
      </c>
      <c r="M110" s="2" t="s">
        <v>440</v>
      </c>
      <c r="N110" s="2" t="s">
        <v>1821</v>
      </c>
      <c r="O110" s="2" t="s">
        <v>43</v>
      </c>
      <c r="P110" s="3">
        <v>0</v>
      </c>
      <c r="Q110" s="3">
        <v>0</v>
      </c>
      <c r="R110" s="3">
        <v>0</v>
      </c>
      <c r="S110" s="3">
        <v>2</v>
      </c>
      <c r="T110" s="3">
        <v>2</v>
      </c>
      <c r="U110" s="3">
        <v>0</v>
      </c>
      <c r="V110" s="3">
        <v>2</v>
      </c>
      <c r="W110" s="3">
        <v>131.26</v>
      </c>
      <c r="X110" s="3">
        <v>65.63</v>
      </c>
      <c r="Y110" s="2" t="s">
        <v>1710</v>
      </c>
      <c r="Z110" s="2" t="s">
        <v>1454</v>
      </c>
      <c r="AA110" s="2" t="s">
        <v>1695</v>
      </c>
      <c r="AB110" s="2" t="s">
        <v>1691</v>
      </c>
      <c r="AC110" s="2" t="s">
        <v>1696</v>
      </c>
      <c r="AD110" s="3">
        <v>1</v>
      </c>
    </row>
    <row r="111" customHeight="1" spans="1:30">
      <c r="A111" s="4">
        <v>46311</v>
      </c>
      <c r="B111" s="2" t="s">
        <v>1690</v>
      </c>
      <c r="C111" s="2" t="s">
        <v>43</v>
      </c>
      <c r="D111" s="2" t="s">
        <v>1691</v>
      </c>
      <c r="E111" s="2" t="s">
        <v>1690</v>
      </c>
      <c r="F111" s="2" t="s">
        <v>1692</v>
      </c>
      <c r="G111" s="2" t="s">
        <v>1454</v>
      </c>
      <c r="H111" s="2"/>
      <c r="I111" s="2"/>
      <c r="J111" s="2" t="s">
        <v>44</v>
      </c>
      <c r="K111" s="2" t="s">
        <v>245</v>
      </c>
      <c r="L111" s="2" t="s">
        <v>244</v>
      </c>
      <c r="M111" s="2" t="s">
        <v>243</v>
      </c>
      <c r="N111" s="2" t="s">
        <v>1822</v>
      </c>
      <c r="O111" s="2" t="s">
        <v>43</v>
      </c>
      <c r="P111" s="3">
        <v>7</v>
      </c>
      <c r="Q111" s="3">
        <v>5</v>
      </c>
      <c r="R111" s="3">
        <v>0</v>
      </c>
      <c r="S111" s="3">
        <v>1</v>
      </c>
      <c r="T111" s="3">
        <v>3</v>
      </c>
      <c r="U111" s="3">
        <v>0</v>
      </c>
      <c r="V111" s="3">
        <v>10</v>
      </c>
      <c r="W111" s="3">
        <v>539.9</v>
      </c>
      <c r="X111" s="3">
        <v>53.99</v>
      </c>
      <c r="Y111" s="2" t="s">
        <v>1694</v>
      </c>
      <c r="Z111" s="2" t="s">
        <v>1454</v>
      </c>
      <c r="AA111" s="2" t="s">
        <v>1695</v>
      </c>
      <c r="AB111" s="2" t="s">
        <v>1691</v>
      </c>
      <c r="AC111" s="2" t="s">
        <v>1696</v>
      </c>
      <c r="AD111" s="3">
        <v>1</v>
      </c>
    </row>
    <row r="112" customHeight="1" spans="1:30">
      <c r="A112" s="4">
        <v>46311</v>
      </c>
      <c r="B112" s="2" t="s">
        <v>1690</v>
      </c>
      <c r="C112" s="2" t="s">
        <v>43</v>
      </c>
      <c r="D112" s="2" t="s">
        <v>1691</v>
      </c>
      <c r="E112" s="2" t="s">
        <v>1690</v>
      </c>
      <c r="F112" s="2" t="s">
        <v>1692</v>
      </c>
      <c r="G112" s="2" t="s">
        <v>1454</v>
      </c>
      <c r="H112" s="2"/>
      <c r="I112" s="2"/>
      <c r="J112" s="2" t="s">
        <v>343</v>
      </c>
      <c r="K112" s="2" t="s">
        <v>373</v>
      </c>
      <c r="L112" s="2" t="s">
        <v>372</v>
      </c>
      <c r="M112" s="2" t="s">
        <v>371</v>
      </c>
      <c r="N112" s="2" t="s">
        <v>1823</v>
      </c>
      <c r="O112" s="2" t="s">
        <v>43</v>
      </c>
      <c r="P112" s="3">
        <v>0</v>
      </c>
      <c r="Q112" s="3">
        <v>0</v>
      </c>
      <c r="R112" s="3">
        <v>0</v>
      </c>
      <c r="S112" s="3">
        <v>1</v>
      </c>
      <c r="T112" s="3">
        <v>4</v>
      </c>
      <c r="U112" s="3">
        <v>0</v>
      </c>
      <c r="V112" s="3">
        <v>4</v>
      </c>
      <c r="W112" s="3">
        <v>1075.56</v>
      </c>
      <c r="X112" s="3">
        <v>268.89</v>
      </c>
      <c r="Y112" s="2" t="s">
        <v>1710</v>
      </c>
      <c r="Z112" s="2" t="s">
        <v>1454</v>
      </c>
      <c r="AA112" s="2" t="s">
        <v>1695</v>
      </c>
      <c r="AB112" s="2" t="s">
        <v>1691</v>
      </c>
      <c r="AC112" s="2" t="s">
        <v>1696</v>
      </c>
      <c r="AD112" s="3">
        <v>1</v>
      </c>
    </row>
    <row r="113" customHeight="1" spans="1:30">
      <c r="A113" s="4">
        <v>46311</v>
      </c>
      <c r="B113" s="2" t="s">
        <v>1690</v>
      </c>
      <c r="C113" s="2" t="s">
        <v>43</v>
      </c>
      <c r="D113" s="2" t="s">
        <v>1691</v>
      </c>
      <c r="E113" s="2" t="s">
        <v>1690</v>
      </c>
      <c r="F113" s="2" t="s">
        <v>1692</v>
      </c>
      <c r="G113" s="2" t="s">
        <v>1454</v>
      </c>
      <c r="H113" s="2"/>
      <c r="I113" s="2"/>
      <c r="J113" s="2" t="s">
        <v>44</v>
      </c>
      <c r="K113" s="2" t="s">
        <v>96</v>
      </c>
      <c r="L113" s="2" t="s">
        <v>95</v>
      </c>
      <c r="M113" s="2" t="s">
        <v>94</v>
      </c>
      <c r="N113" s="2" t="s">
        <v>1824</v>
      </c>
      <c r="O113" s="2" t="s">
        <v>43</v>
      </c>
      <c r="P113" s="3">
        <v>13</v>
      </c>
      <c r="Q113" s="3">
        <v>13</v>
      </c>
      <c r="R113" s="3">
        <v>0</v>
      </c>
      <c r="S113" s="3">
        <v>0</v>
      </c>
      <c r="T113" s="3">
        <v>0</v>
      </c>
      <c r="U113" s="3">
        <v>0</v>
      </c>
      <c r="V113" s="3">
        <v>13</v>
      </c>
      <c r="W113" s="3">
        <v>794.95</v>
      </c>
      <c r="X113" s="3">
        <v>61.15</v>
      </c>
      <c r="Y113" s="2" t="s">
        <v>1694</v>
      </c>
      <c r="Z113" s="2" t="s">
        <v>1454</v>
      </c>
      <c r="AA113" s="2" t="s">
        <v>1695</v>
      </c>
      <c r="AB113" s="2" t="s">
        <v>1691</v>
      </c>
      <c r="AC113" s="2" t="s">
        <v>1696</v>
      </c>
      <c r="AD113" s="3">
        <v>1</v>
      </c>
    </row>
    <row r="114" customHeight="1" spans="1:30">
      <c r="A114" s="4">
        <v>46311</v>
      </c>
      <c r="B114" s="2" t="s">
        <v>1690</v>
      </c>
      <c r="C114" s="2" t="s">
        <v>43</v>
      </c>
      <c r="D114" s="2" t="s">
        <v>1691</v>
      </c>
      <c r="E114" s="2" t="s">
        <v>1690</v>
      </c>
      <c r="F114" s="2" t="s">
        <v>1692</v>
      </c>
      <c r="G114" s="2" t="s">
        <v>1454</v>
      </c>
      <c r="H114" s="2"/>
      <c r="I114" s="2"/>
      <c r="J114" s="2" t="s">
        <v>44</v>
      </c>
      <c r="K114" s="2" t="s">
        <v>141</v>
      </c>
      <c r="L114" s="2" t="s">
        <v>140</v>
      </c>
      <c r="M114" s="2" t="s">
        <v>139</v>
      </c>
      <c r="N114" s="2" t="s">
        <v>1825</v>
      </c>
      <c r="O114" s="2" t="s">
        <v>43</v>
      </c>
      <c r="P114" s="3">
        <v>4</v>
      </c>
      <c r="Q114" s="3">
        <v>4</v>
      </c>
      <c r="R114" s="3">
        <v>0</v>
      </c>
      <c r="S114" s="3">
        <v>0</v>
      </c>
      <c r="T114" s="3">
        <v>0</v>
      </c>
      <c r="U114" s="3">
        <v>0</v>
      </c>
      <c r="V114" s="3">
        <v>4</v>
      </c>
      <c r="W114" s="3">
        <v>180.52</v>
      </c>
      <c r="X114" s="3">
        <v>45.13</v>
      </c>
      <c r="Y114" s="2" t="s">
        <v>1694</v>
      </c>
      <c r="Z114" s="2" t="s">
        <v>1454</v>
      </c>
      <c r="AA114" s="2" t="s">
        <v>1695</v>
      </c>
      <c r="AB114" s="2" t="s">
        <v>1691</v>
      </c>
      <c r="AC114" s="2" t="s">
        <v>1696</v>
      </c>
      <c r="AD114" s="3">
        <v>1</v>
      </c>
    </row>
    <row r="115" customHeight="1" spans="1:30">
      <c r="A115" s="4">
        <v>46311</v>
      </c>
      <c r="B115" s="2" t="s">
        <v>1690</v>
      </c>
      <c r="C115" s="2" t="s">
        <v>43</v>
      </c>
      <c r="D115" s="2" t="s">
        <v>1691</v>
      </c>
      <c r="E115" s="2" t="s">
        <v>1690</v>
      </c>
      <c r="F115" s="2" t="s">
        <v>1692</v>
      </c>
      <c r="G115" s="2" t="s">
        <v>1454</v>
      </c>
      <c r="H115" s="2"/>
      <c r="I115" s="2"/>
      <c r="J115" s="2" t="s">
        <v>44</v>
      </c>
      <c r="K115" s="2" t="s">
        <v>223</v>
      </c>
      <c r="L115" s="2" t="s">
        <v>222</v>
      </c>
      <c r="M115" s="2" t="s">
        <v>221</v>
      </c>
      <c r="N115" s="2" t="s">
        <v>1826</v>
      </c>
      <c r="O115" s="2" t="s">
        <v>43</v>
      </c>
      <c r="P115" s="3">
        <v>5</v>
      </c>
      <c r="Q115" s="3">
        <v>2</v>
      </c>
      <c r="R115" s="3">
        <v>0</v>
      </c>
      <c r="S115" s="3">
        <v>0</v>
      </c>
      <c r="T115" s="3">
        <v>0</v>
      </c>
      <c r="U115" s="3">
        <v>0</v>
      </c>
      <c r="V115" s="3">
        <v>5</v>
      </c>
      <c r="W115" s="3">
        <v>199.1</v>
      </c>
      <c r="X115" s="3">
        <v>39.82</v>
      </c>
      <c r="Y115" s="2" t="s">
        <v>1714</v>
      </c>
      <c r="Z115" s="2" t="s">
        <v>1454</v>
      </c>
      <c r="AA115" s="2" t="s">
        <v>1695</v>
      </c>
      <c r="AB115" s="2" t="s">
        <v>1691</v>
      </c>
      <c r="AC115" s="2" t="s">
        <v>1696</v>
      </c>
      <c r="AD115" s="3">
        <v>1</v>
      </c>
    </row>
    <row r="116" customHeight="1" spans="1:30">
      <c r="A116" s="4">
        <v>46311</v>
      </c>
      <c r="B116" s="2" t="s">
        <v>1690</v>
      </c>
      <c r="C116" s="2" t="s">
        <v>43</v>
      </c>
      <c r="D116" s="2" t="s">
        <v>1691</v>
      </c>
      <c r="E116" s="2" t="s">
        <v>1690</v>
      </c>
      <c r="F116" s="2" t="s">
        <v>1692</v>
      </c>
      <c r="G116" s="2" t="s">
        <v>1454</v>
      </c>
      <c r="H116" s="2"/>
      <c r="I116" s="2"/>
      <c r="J116" s="2" t="s">
        <v>44</v>
      </c>
      <c r="K116" s="2" t="s">
        <v>198</v>
      </c>
      <c r="L116" s="2" t="s">
        <v>197</v>
      </c>
      <c r="M116" s="2" t="s">
        <v>196</v>
      </c>
      <c r="N116" s="2" t="s">
        <v>1827</v>
      </c>
      <c r="O116" s="2" t="s">
        <v>43</v>
      </c>
      <c r="P116" s="3">
        <v>31</v>
      </c>
      <c r="Q116" s="3">
        <v>14</v>
      </c>
      <c r="R116" s="3">
        <v>0</v>
      </c>
      <c r="S116" s="3">
        <v>0</v>
      </c>
      <c r="T116" s="3">
        <v>0</v>
      </c>
      <c r="U116" s="3">
        <v>0</v>
      </c>
      <c r="V116" s="3">
        <v>31</v>
      </c>
      <c r="W116" s="3">
        <v>1262.32</v>
      </c>
      <c r="X116" s="3">
        <v>40.72</v>
      </c>
      <c r="Y116" s="2" t="s">
        <v>1694</v>
      </c>
      <c r="Z116" s="2" t="s">
        <v>1454</v>
      </c>
      <c r="AA116" s="2" t="s">
        <v>1695</v>
      </c>
      <c r="AB116" s="2" t="s">
        <v>1691</v>
      </c>
      <c r="AC116" s="2" t="s">
        <v>1696</v>
      </c>
      <c r="AD116" s="3">
        <v>1</v>
      </c>
    </row>
    <row r="117" customHeight="1" spans="1:30">
      <c r="A117" s="4">
        <v>46311</v>
      </c>
      <c r="B117" s="2" t="s">
        <v>1690</v>
      </c>
      <c r="C117" s="2" t="s">
        <v>43</v>
      </c>
      <c r="D117" s="2" t="s">
        <v>1691</v>
      </c>
      <c r="E117" s="2" t="s">
        <v>1690</v>
      </c>
      <c r="F117" s="2" t="s">
        <v>1692</v>
      </c>
      <c r="G117" s="2" t="s">
        <v>1454</v>
      </c>
      <c r="H117" s="2"/>
      <c r="I117" s="2"/>
      <c r="J117" s="2" t="s">
        <v>343</v>
      </c>
      <c r="K117" s="2" t="s">
        <v>454</v>
      </c>
      <c r="L117" s="2" t="s">
        <v>453</v>
      </c>
      <c r="M117" s="2" t="s">
        <v>452</v>
      </c>
      <c r="N117" s="2" t="s">
        <v>1828</v>
      </c>
      <c r="O117" s="2" t="s">
        <v>43</v>
      </c>
      <c r="P117" s="3">
        <v>20</v>
      </c>
      <c r="Q117" s="3">
        <v>20</v>
      </c>
      <c r="R117" s="3">
        <v>0</v>
      </c>
      <c r="S117" s="3">
        <v>0</v>
      </c>
      <c r="T117" s="3">
        <v>0</v>
      </c>
      <c r="U117" s="3">
        <v>0</v>
      </c>
      <c r="V117" s="3">
        <v>20</v>
      </c>
      <c r="W117" s="3">
        <v>1451.4</v>
      </c>
      <c r="X117" s="3">
        <v>72.57</v>
      </c>
      <c r="Y117" s="2" t="s">
        <v>1710</v>
      </c>
      <c r="Z117" s="2" t="s">
        <v>1454</v>
      </c>
      <c r="AA117" s="2" t="s">
        <v>1695</v>
      </c>
      <c r="AB117" s="2" t="s">
        <v>1691</v>
      </c>
      <c r="AC117" s="2" t="s">
        <v>1696</v>
      </c>
      <c r="AD117" s="3">
        <v>1</v>
      </c>
    </row>
    <row r="118" customHeight="1" spans="1:30">
      <c r="A118" s="4">
        <v>46311</v>
      </c>
      <c r="B118" s="2" t="s">
        <v>1690</v>
      </c>
      <c r="C118" s="2" t="s">
        <v>43</v>
      </c>
      <c r="D118" s="2" t="s">
        <v>1691</v>
      </c>
      <c r="E118" s="2" t="s">
        <v>1690</v>
      </c>
      <c r="F118" s="2" t="s">
        <v>1692</v>
      </c>
      <c r="G118" s="2" t="s">
        <v>1454</v>
      </c>
      <c r="H118" s="2"/>
      <c r="I118" s="2"/>
      <c r="J118" s="2" t="s">
        <v>44</v>
      </c>
      <c r="K118" s="2" t="s">
        <v>129</v>
      </c>
      <c r="L118" s="2" t="s">
        <v>128</v>
      </c>
      <c r="M118" s="2" t="s">
        <v>127</v>
      </c>
      <c r="N118" s="2" t="s">
        <v>1829</v>
      </c>
      <c r="O118" s="2" t="s">
        <v>43</v>
      </c>
      <c r="P118" s="3">
        <v>17</v>
      </c>
      <c r="Q118" s="3">
        <v>6</v>
      </c>
      <c r="R118" s="3">
        <v>0</v>
      </c>
      <c r="S118" s="3">
        <v>2</v>
      </c>
      <c r="T118" s="3">
        <v>2</v>
      </c>
      <c r="U118" s="3">
        <v>0</v>
      </c>
      <c r="V118" s="3">
        <v>19</v>
      </c>
      <c r="W118" s="3">
        <v>2289.31</v>
      </c>
      <c r="X118" s="3">
        <v>120.49</v>
      </c>
      <c r="Y118" s="2" t="s">
        <v>1694</v>
      </c>
      <c r="Z118" s="2" t="s">
        <v>1454</v>
      </c>
      <c r="AA118" s="2" t="s">
        <v>1695</v>
      </c>
      <c r="AB118" s="2" t="s">
        <v>1691</v>
      </c>
      <c r="AC118" s="2" t="s">
        <v>1696</v>
      </c>
      <c r="AD118" s="3">
        <v>1</v>
      </c>
    </row>
    <row r="119" customHeight="1" spans="1:30">
      <c r="A119" s="4">
        <v>46311</v>
      </c>
      <c r="B119" s="2" t="s">
        <v>1690</v>
      </c>
      <c r="C119" s="2" t="s">
        <v>43</v>
      </c>
      <c r="D119" s="2" t="s">
        <v>1691</v>
      </c>
      <c r="E119" s="2" t="s">
        <v>1690</v>
      </c>
      <c r="F119" s="2" t="s">
        <v>1692</v>
      </c>
      <c r="G119" s="2" t="s">
        <v>1454</v>
      </c>
      <c r="H119" s="2"/>
      <c r="I119" s="2"/>
      <c r="J119" s="2" t="s">
        <v>44</v>
      </c>
      <c r="K119" s="2" t="s">
        <v>54</v>
      </c>
      <c r="L119" s="2" t="s">
        <v>53</v>
      </c>
      <c r="M119" s="2" t="s">
        <v>52</v>
      </c>
      <c r="N119" s="2" t="s">
        <v>1830</v>
      </c>
      <c r="O119" s="2" t="s">
        <v>43</v>
      </c>
      <c r="P119" s="3">
        <v>3</v>
      </c>
      <c r="Q119" s="3">
        <v>3</v>
      </c>
      <c r="R119" s="3">
        <v>0</v>
      </c>
      <c r="S119" s="3">
        <v>0</v>
      </c>
      <c r="T119" s="3">
        <v>0</v>
      </c>
      <c r="U119" s="3">
        <v>0</v>
      </c>
      <c r="V119" s="3">
        <v>3</v>
      </c>
      <c r="W119" s="3">
        <v>123.78</v>
      </c>
      <c r="X119" s="3">
        <v>41.26</v>
      </c>
      <c r="Y119" s="2" t="s">
        <v>1694</v>
      </c>
      <c r="Z119" s="2" t="s">
        <v>1454</v>
      </c>
      <c r="AA119" s="2" t="s">
        <v>1695</v>
      </c>
      <c r="AB119" s="2" t="s">
        <v>1691</v>
      </c>
      <c r="AC119" s="2" t="s">
        <v>1696</v>
      </c>
      <c r="AD119" s="3">
        <v>1</v>
      </c>
    </row>
    <row r="120" customHeight="1" spans="1:30">
      <c r="A120" s="4">
        <v>46311</v>
      </c>
      <c r="B120" s="2" t="s">
        <v>1690</v>
      </c>
      <c r="C120" s="2" t="s">
        <v>43</v>
      </c>
      <c r="D120" s="2" t="s">
        <v>1691</v>
      </c>
      <c r="E120" s="2" t="s">
        <v>1690</v>
      </c>
      <c r="F120" s="2" t="s">
        <v>1692</v>
      </c>
      <c r="G120" s="2" t="s">
        <v>1454</v>
      </c>
      <c r="H120" s="2"/>
      <c r="I120" s="2"/>
      <c r="J120" s="2" t="s">
        <v>44</v>
      </c>
      <c r="K120" s="2" t="s">
        <v>78</v>
      </c>
      <c r="L120" s="2" t="s">
        <v>77</v>
      </c>
      <c r="M120" s="2" t="s">
        <v>76</v>
      </c>
      <c r="N120" s="2" t="s">
        <v>1748</v>
      </c>
      <c r="O120" s="2" t="s">
        <v>43</v>
      </c>
      <c r="P120" s="3">
        <v>27</v>
      </c>
      <c r="Q120" s="3">
        <v>26</v>
      </c>
      <c r="R120" s="3">
        <v>0</v>
      </c>
      <c r="S120" s="3">
        <v>0</v>
      </c>
      <c r="T120" s="3">
        <v>0</v>
      </c>
      <c r="U120" s="3">
        <v>0</v>
      </c>
      <c r="V120" s="3">
        <v>27</v>
      </c>
      <c r="W120" s="3">
        <v>1225.26</v>
      </c>
      <c r="X120" s="3">
        <v>45.38</v>
      </c>
      <c r="Y120" s="2" t="s">
        <v>1694</v>
      </c>
      <c r="Z120" s="2" t="s">
        <v>1454</v>
      </c>
      <c r="AA120" s="2" t="s">
        <v>1695</v>
      </c>
      <c r="AB120" s="2" t="s">
        <v>1691</v>
      </c>
      <c r="AC120" s="2" t="s">
        <v>1696</v>
      </c>
      <c r="AD120" s="3">
        <v>1</v>
      </c>
    </row>
    <row r="121" customHeight="1" spans="1:30">
      <c r="A121" s="4">
        <v>46311</v>
      </c>
      <c r="B121" s="2" t="s">
        <v>1690</v>
      </c>
      <c r="C121" s="2" t="s">
        <v>43</v>
      </c>
      <c r="D121" s="2" t="s">
        <v>1691</v>
      </c>
      <c r="E121" s="2" t="s">
        <v>1690</v>
      </c>
      <c r="F121" s="2" t="s">
        <v>1692</v>
      </c>
      <c r="G121" s="2" t="s">
        <v>1454</v>
      </c>
      <c r="H121" s="2"/>
      <c r="I121" s="2"/>
      <c r="J121" s="2" t="s">
        <v>44</v>
      </c>
      <c r="K121" s="2" t="s">
        <v>275</v>
      </c>
      <c r="L121" s="2" t="s">
        <v>274</v>
      </c>
      <c r="M121" s="2" t="s">
        <v>273</v>
      </c>
      <c r="N121" s="2" t="s">
        <v>1831</v>
      </c>
      <c r="O121" s="2" t="s">
        <v>43</v>
      </c>
      <c r="P121" s="3">
        <v>46</v>
      </c>
      <c r="Q121" s="3">
        <v>38</v>
      </c>
      <c r="R121" s="3">
        <v>0</v>
      </c>
      <c r="S121" s="3">
        <v>0</v>
      </c>
      <c r="T121" s="3">
        <v>4</v>
      </c>
      <c r="U121" s="3">
        <v>0</v>
      </c>
      <c r="V121" s="3">
        <v>50</v>
      </c>
      <c r="W121" s="3">
        <v>5885.5</v>
      </c>
      <c r="X121" s="3">
        <v>117.71</v>
      </c>
      <c r="Y121" s="2" t="s">
        <v>1694</v>
      </c>
      <c r="Z121" s="2" t="s">
        <v>1454</v>
      </c>
      <c r="AA121" s="2" t="s">
        <v>1695</v>
      </c>
      <c r="AB121" s="2" t="s">
        <v>1691</v>
      </c>
      <c r="AC121" s="2" t="s">
        <v>1696</v>
      </c>
      <c r="AD121" s="3">
        <v>1</v>
      </c>
    </row>
    <row r="122" customHeight="1" spans="1:30">
      <c r="A122" s="4">
        <v>46311</v>
      </c>
      <c r="B122" s="2" t="s">
        <v>1690</v>
      </c>
      <c r="C122" s="2" t="s">
        <v>43</v>
      </c>
      <c r="D122" s="2" t="s">
        <v>1691</v>
      </c>
      <c r="E122" s="2" t="s">
        <v>1690</v>
      </c>
      <c r="F122" s="2" t="s">
        <v>1692</v>
      </c>
      <c r="G122" s="2" t="s">
        <v>1454</v>
      </c>
      <c r="H122" s="2"/>
      <c r="I122" s="2"/>
      <c r="J122" s="2" t="s">
        <v>44</v>
      </c>
      <c r="K122" s="2" t="s">
        <v>226</v>
      </c>
      <c r="L122" s="2" t="s">
        <v>225</v>
      </c>
      <c r="M122" s="2" t="s">
        <v>224</v>
      </c>
      <c r="N122" s="2" t="s">
        <v>1832</v>
      </c>
      <c r="O122" s="2" t="s">
        <v>43</v>
      </c>
      <c r="P122" s="3">
        <v>0</v>
      </c>
      <c r="Q122" s="3">
        <v>0</v>
      </c>
      <c r="R122" s="3">
        <v>0</v>
      </c>
      <c r="S122" s="3">
        <v>0</v>
      </c>
      <c r="T122" s="3">
        <v>20</v>
      </c>
      <c r="U122" s="3">
        <v>0</v>
      </c>
      <c r="V122" s="3">
        <v>20</v>
      </c>
      <c r="W122" s="3">
        <v>920.4</v>
      </c>
      <c r="X122" s="3">
        <v>46.02</v>
      </c>
      <c r="Y122" s="2" t="s">
        <v>1694</v>
      </c>
      <c r="Z122" s="2" t="s">
        <v>1454</v>
      </c>
      <c r="AA122" s="2" t="s">
        <v>1695</v>
      </c>
      <c r="AB122" s="2" t="s">
        <v>1691</v>
      </c>
      <c r="AC122" s="2" t="s">
        <v>1696</v>
      </c>
      <c r="AD122" s="3">
        <v>1</v>
      </c>
    </row>
    <row r="123" customHeight="1" spans="1:30">
      <c r="A123" s="4">
        <v>46311</v>
      </c>
      <c r="B123" s="2" t="s">
        <v>1690</v>
      </c>
      <c r="C123" s="2" t="s">
        <v>43</v>
      </c>
      <c r="D123" s="2" t="s">
        <v>1691</v>
      </c>
      <c r="E123" s="2" t="s">
        <v>1690</v>
      </c>
      <c r="F123" s="2" t="s">
        <v>1692</v>
      </c>
      <c r="G123" s="2" t="s">
        <v>1454</v>
      </c>
      <c r="H123" s="2"/>
      <c r="I123" s="2"/>
      <c r="J123" s="2" t="s">
        <v>44</v>
      </c>
      <c r="K123" s="2" t="s">
        <v>171</v>
      </c>
      <c r="L123" s="2" t="s">
        <v>170</v>
      </c>
      <c r="M123" s="2" t="s">
        <v>169</v>
      </c>
      <c r="N123" s="2" t="s">
        <v>1833</v>
      </c>
      <c r="O123" s="2" t="s">
        <v>43</v>
      </c>
      <c r="P123" s="3">
        <v>0</v>
      </c>
      <c r="Q123" s="3">
        <v>0</v>
      </c>
      <c r="R123" s="3">
        <v>0</v>
      </c>
      <c r="S123" s="3">
        <v>24</v>
      </c>
      <c r="T123" s="3">
        <v>40</v>
      </c>
      <c r="U123" s="3">
        <v>0</v>
      </c>
      <c r="V123" s="3">
        <v>40</v>
      </c>
      <c r="W123" s="3">
        <v>3081.2</v>
      </c>
      <c r="X123" s="3">
        <v>77.03</v>
      </c>
      <c r="Y123" s="2" t="s">
        <v>1694</v>
      </c>
      <c r="Z123" s="2" t="s">
        <v>1454</v>
      </c>
      <c r="AA123" s="2" t="s">
        <v>1695</v>
      </c>
      <c r="AB123" s="2" t="s">
        <v>1691</v>
      </c>
      <c r="AC123" s="2" t="s">
        <v>1696</v>
      </c>
      <c r="AD123" s="3">
        <v>1</v>
      </c>
    </row>
    <row r="124" customHeight="1" spans="1:30">
      <c r="A124" s="4">
        <v>46311</v>
      </c>
      <c r="B124" s="2" t="s">
        <v>1690</v>
      </c>
      <c r="C124" s="2" t="s">
        <v>43</v>
      </c>
      <c r="D124" s="2" t="s">
        <v>1691</v>
      </c>
      <c r="E124" s="2" t="s">
        <v>1690</v>
      </c>
      <c r="F124" s="2" t="s">
        <v>1692</v>
      </c>
      <c r="G124" s="2" t="s">
        <v>1454</v>
      </c>
      <c r="H124" s="2"/>
      <c r="I124" s="2"/>
      <c r="J124" s="2" t="s">
        <v>55</v>
      </c>
      <c r="K124" s="2" t="s">
        <v>238</v>
      </c>
      <c r="L124" s="2" t="s">
        <v>237</v>
      </c>
      <c r="M124" s="2" t="s">
        <v>236</v>
      </c>
      <c r="N124" s="2" t="s">
        <v>1834</v>
      </c>
      <c r="O124" s="2" t="s">
        <v>43</v>
      </c>
      <c r="P124" s="3">
        <v>0</v>
      </c>
      <c r="Q124" s="3">
        <v>0</v>
      </c>
      <c r="R124" s="3">
        <v>0</v>
      </c>
      <c r="S124" s="3">
        <v>1</v>
      </c>
      <c r="T124" s="3">
        <v>1</v>
      </c>
      <c r="U124" s="3">
        <v>0</v>
      </c>
      <c r="V124" s="3">
        <v>1</v>
      </c>
      <c r="W124" s="3">
        <v>46.04</v>
      </c>
      <c r="X124" s="3">
        <v>46.04</v>
      </c>
      <c r="Y124" s="2" t="s">
        <v>1714</v>
      </c>
      <c r="Z124" s="2" t="s">
        <v>1454</v>
      </c>
      <c r="AA124" s="2" t="s">
        <v>1695</v>
      </c>
      <c r="AB124" s="2" t="s">
        <v>1691</v>
      </c>
      <c r="AC124" s="2" t="s">
        <v>1696</v>
      </c>
      <c r="AD124" s="3">
        <v>1</v>
      </c>
    </row>
    <row r="125" customHeight="1" spans="1:30">
      <c r="A125" s="4">
        <v>46311</v>
      </c>
      <c r="B125" s="2" t="s">
        <v>1690</v>
      </c>
      <c r="C125" s="2" t="s">
        <v>43</v>
      </c>
      <c r="D125" s="2" t="s">
        <v>1691</v>
      </c>
      <c r="E125" s="2" t="s">
        <v>1690</v>
      </c>
      <c r="F125" s="2" t="s">
        <v>1692</v>
      </c>
      <c r="G125" s="2" t="s">
        <v>1454</v>
      </c>
      <c r="H125" s="2"/>
      <c r="I125" s="2"/>
      <c r="J125" s="2" t="s">
        <v>44</v>
      </c>
      <c r="K125" s="2" t="s">
        <v>132</v>
      </c>
      <c r="L125" s="2" t="s">
        <v>131</v>
      </c>
      <c r="M125" s="2" t="s">
        <v>130</v>
      </c>
      <c r="N125" s="2" t="s">
        <v>1835</v>
      </c>
      <c r="O125" s="2" t="s">
        <v>43</v>
      </c>
      <c r="P125" s="3">
        <v>32</v>
      </c>
      <c r="Q125" s="3">
        <v>31</v>
      </c>
      <c r="R125" s="3">
        <v>0</v>
      </c>
      <c r="S125" s="3">
        <v>0</v>
      </c>
      <c r="T125" s="3">
        <v>0</v>
      </c>
      <c r="U125" s="3">
        <v>0</v>
      </c>
      <c r="V125" s="3">
        <v>32</v>
      </c>
      <c r="W125" s="3">
        <v>3879.68</v>
      </c>
      <c r="X125" s="3">
        <v>121.24</v>
      </c>
      <c r="Y125" s="2" t="s">
        <v>1694</v>
      </c>
      <c r="Z125" s="2" t="s">
        <v>1454</v>
      </c>
      <c r="AA125" s="2" t="s">
        <v>1695</v>
      </c>
      <c r="AB125" s="2" t="s">
        <v>1691</v>
      </c>
      <c r="AC125" s="2" t="s">
        <v>1696</v>
      </c>
      <c r="AD125" s="3">
        <v>1</v>
      </c>
    </row>
    <row r="126" customHeight="1" spans="1:30">
      <c r="A126" s="4">
        <v>46311</v>
      </c>
      <c r="B126" s="2" t="s">
        <v>1690</v>
      </c>
      <c r="C126" s="2" t="s">
        <v>43</v>
      </c>
      <c r="D126" s="2" t="s">
        <v>1691</v>
      </c>
      <c r="E126" s="2" t="s">
        <v>1690</v>
      </c>
      <c r="F126" s="2" t="s">
        <v>1692</v>
      </c>
      <c r="G126" s="2" t="s">
        <v>1454</v>
      </c>
      <c r="H126" s="2"/>
      <c r="I126" s="2"/>
      <c r="J126" s="2" t="s">
        <v>55</v>
      </c>
      <c r="K126" s="2" t="s">
        <v>379</v>
      </c>
      <c r="L126" s="2" t="s">
        <v>378</v>
      </c>
      <c r="M126" s="2" t="s">
        <v>377</v>
      </c>
      <c r="N126" s="2" t="s">
        <v>1836</v>
      </c>
      <c r="O126" s="2" t="s">
        <v>43</v>
      </c>
      <c r="P126" s="3">
        <v>0</v>
      </c>
      <c r="Q126" s="3">
        <v>0</v>
      </c>
      <c r="R126" s="3">
        <v>0</v>
      </c>
      <c r="S126" s="3">
        <v>7</v>
      </c>
      <c r="T126" s="3">
        <v>15</v>
      </c>
      <c r="U126" s="3">
        <v>0</v>
      </c>
      <c r="V126" s="3">
        <v>15</v>
      </c>
      <c r="W126" s="3">
        <v>876.3</v>
      </c>
      <c r="X126" s="3">
        <v>58.42</v>
      </c>
      <c r="Y126" s="2" t="s">
        <v>1694</v>
      </c>
      <c r="Z126" s="2" t="s">
        <v>1454</v>
      </c>
      <c r="AA126" s="2" t="s">
        <v>1695</v>
      </c>
      <c r="AB126" s="2" t="s">
        <v>1691</v>
      </c>
      <c r="AC126" s="2" t="s">
        <v>1696</v>
      </c>
      <c r="AD126" s="3">
        <v>1</v>
      </c>
    </row>
    <row r="127" customHeight="1" spans="1:30">
      <c r="A127" s="4">
        <v>46311</v>
      </c>
      <c r="B127" s="2" t="s">
        <v>1690</v>
      </c>
      <c r="C127" s="2" t="s">
        <v>43</v>
      </c>
      <c r="D127" s="2" t="s">
        <v>1691</v>
      </c>
      <c r="E127" s="2" t="s">
        <v>1690</v>
      </c>
      <c r="F127" s="2" t="s">
        <v>1692</v>
      </c>
      <c r="G127" s="2" t="s">
        <v>1454</v>
      </c>
      <c r="H127" s="2"/>
      <c r="I127" s="2"/>
      <c r="J127" s="2" t="s">
        <v>44</v>
      </c>
      <c r="K127" s="2" t="s">
        <v>1837</v>
      </c>
      <c r="L127" s="2" t="s">
        <v>1838</v>
      </c>
      <c r="M127" s="2" t="s">
        <v>515</v>
      </c>
      <c r="N127" s="2" t="s">
        <v>1839</v>
      </c>
      <c r="O127" s="2" t="s">
        <v>43</v>
      </c>
      <c r="P127" s="3">
        <v>1</v>
      </c>
      <c r="Q127" s="3">
        <v>1</v>
      </c>
      <c r="R127" s="3">
        <v>0</v>
      </c>
      <c r="S127" s="3">
        <v>0</v>
      </c>
      <c r="T127" s="3">
        <v>0</v>
      </c>
      <c r="U127" s="3">
        <v>0</v>
      </c>
      <c r="V127" s="3">
        <v>1</v>
      </c>
      <c r="W127" s="3">
        <v>196.15</v>
      </c>
      <c r="X127" s="3">
        <v>196.15</v>
      </c>
      <c r="Y127" s="2" t="s">
        <v>1694</v>
      </c>
      <c r="Z127" s="2" t="s">
        <v>1454</v>
      </c>
      <c r="AA127" s="2" t="s">
        <v>1695</v>
      </c>
      <c r="AB127" s="2" t="s">
        <v>1691</v>
      </c>
      <c r="AC127" s="2" t="s">
        <v>1696</v>
      </c>
      <c r="AD127" s="3">
        <v>1</v>
      </c>
    </row>
    <row r="128" customHeight="1" spans="1:30">
      <c r="A128" s="4">
        <v>46311</v>
      </c>
      <c r="B128" s="2" t="s">
        <v>1690</v>
      </c>
      <c r="C128" s="2" t="s">
        <v>43</v>
      </c>
      <c r="D128" s="2" t="s">
        <v>1691</v>
      </c>
      <c r="E128" s="2" t="s">
        <v>1690</v>
      </c>
      <c r="F128" s="2" t="s">
        <v>1692</v>
      </c>
      <c r="G128" s="2" t="s">
        <v>1454</v>
      </c>
      <c r="H128" s="2"/>
      <c r="I128" s="2"/>
      <c r="J128" s="2" t="s">
        <v>55</v>
      </c>
      <c r="K128" s="2" t="s">
        <v>269</v>
      </c>
      <c r="L128" s="2" t="s">
        <v>268</v>
      </c>
      <c r="M128" s="2" t="s">
        <v>267</v>
      </c>
      <c r="N128" s="2" t="s">
        <v>1840</v>
      </c>
      <c r="O128" s="2" t="s">
        <v>43</v>
      </c>
      <c r="P128" s="3">
        <v>19</v>
      </c>
      <c r="Q128" s="3">
        <v>19</v>
      </c>
      <c r="R128" s="3">
        <v>0</v>
      </c>
      <c r="S128" s="3">
        <v>0</v>
      </c>
      <c r="T128" s="3">
        <v>0</v>
      </c>
      <c r="U128" s="3">
        <v>0</v>
      </c>
      <c r="V128" s="3">
        <v>19</v>
      </c>
      <c r="W128" s="3">
        <v>1514.68</v>
      </c>
      <c r="X128" s="3">
        <v>79.72</v>
      </c>
      <c r="Y128" s="2" t="s">
        <v>1694</v>
      </c>
      <c r="Z128" s="2" t="s">
        <v>1454</v>
      </c>
      <c r="AA128" s="2" t="s">
        <v>1695</v>
      </c>
      <c r="AB128" s="2" t="s">
        <v>1691</v>
      </c>
      <c r="AC128" s="2" t="s">
        <v>1696</v>
      </c>
      <c r="AD128" s="3">
        <v>1</v>
      </c>
    </row>
    <row r="129" customHeight="1" spans="1:30">
      <c r="A129" s="4">
        <v>46311</v>
      </c>
      <c r="B129" s="2" t="s">
        <v>1690</v>
      </c>
      <c r="C129" s="2" t="s">
        <v>43</v>
      </c>
      <c r="D129" s="2" t="s">
        <v>1691</v>
      </c>
      <c r="E129" s="2" t="s">
        <v>1690</v>
      </c>
      <c r="F129" s="2" t="s">
        <v>1692</v>
      </c>
      <c r="G129" s="2" t="s">
        <v>1454</v>
      </c>
      <c r="H129" s="2"/>
      <c r="I129" s="2"/>
      <c r="J129" s="2" t="s">
        <v>343</v>
      </c>
      <c r="K129" s="2" t="s">
        <v>358</v>
      </c>
      <c r="L129" s="2" t="s">
        <v>357</v>
      </c>
      <c r="M129" s="2" t="s">
        <v>356</v>
      </c>
      <c r="N129" s="2" t="s">
        <v>1841</v>
      </c>
      <c r="O129" s="2" t="s">
        <v>43</v>
      </c>
      <c r="P129" s="3">
        <v>0</v>
      </c>
      <c r="Q129" s="3">
        <v>0</v>
      </c>
      <c r="R129" s="3">
        <v>0</v>
      </c>
      <c r="S129" s="3">
        <v>0</v>
      </c>
      <c r="T129" s="3">
        <v>15</v>
      </c>
      <c r="U129" s="3">
        <v>0</v>
      </c>
      <c r="V129" s="3">
        <v>15</v>
      </c>
      <c r="W129" s="3">
        <v>683.7</v>
      </c>
      <c r="X129" s="3">
        <v>45.58</v>
      </c>
      <c r="Y129" s="2" t="s">
        <v>1710</v>
      </c>
      <c r="Z129" s="2" t="s">
        <v>1454</v>
      </c>
      <c r="AA129" s="2" t="s">
        <v>1695</v>
      </c>
      <c r="AB129" s="2" t="s">
        <v>1691</v>
      </c>
      <c r="AC129" s="2" t="s">
        <v>1696</v>
      </c>
      <c r="AD129" s="3">
        <v>1</v>
      </c>
    </row>
    <row r="130" customHeight="1" spans="1:30">
      <c r="A130" s="4">
        <v>46311</v>
      </c>
      <c r="B130" s="2" t="s">
        <v>1690</v>
      </c>
      <c r="C130" s="2" t="s">
        <v>43</v>
      </c>
      <c r="D130" s="2" t="s">
        <v>1691</v>
      </c>
      <c r="E130" s="2" t="s">
        <v>1690</v>
      </c>
      <c r="F130" s="2" t="s">
        <v>1692</v>
      </c>
      <c r="G130" s="2" t="s">
        <v>1454</v>
      </c>
      <c r="H130" s="2"/>
      <c r="I130" s="2"/>
      <c r="J130" s="2" t="s">
        <v>44</v>
      </c>
      <c r="K130" s="2" t="s">
        <v>235</v>
      </c>
      <c r="L130" s="2" t="s">
        <v>234</v>
      </c>
      <c r="M130" s="2" t="s">
        <v>233</v>
      </c>
      <c r="N130" s="2" t="s">
        <v>1842</v>
      </c>
      <c r="O130" s="2" t="s">
        <v>43</v>
      </c>
      <c r="P130" s="3">
        <v>10</v>
      </c>
      <c r="Q130" s="3">
        <v>9</v>
      </c>
      <c r="R130" s="3">
        <v>0</v>
      </c>
      <c r="S130" s="3">
        <v>2</v>
      </c>
      <c r="T130" s="3">
        <v>7</v>
      </c>
      <c r="U130" s="3">
        <v>0</v>
      </c>
      <c r="V130" s="3">
        <v>17</v>
      </c>
      <c r="W130" s="3">
        <v>954.89</v>
      </c>
      <c r="X130" s="3">
        <v>56.17</v>
      </c>
      <c r="Y130" s="2" t="s">
        <v>1694</v>
      </c>
      <c r="Z130" s="2" t="s">
        <v>1454</v>
      </c>
      <c r="AA130" s="2" t="s">
        <v>1695</v>
      </c>
      <c r="AB130" s="2" t="s">
        <v>1691</v>
      </c>
      <c r="AC130" s="2" t="s">
        <v>1696</v>
      </c>
      <c r="AD130" s="3">
        <v>1</v>
      </c>
    </row>
    <row r="131" customHeight="1" spans="1:30">
      <c r="A131" s="4">
        <v>46311</v>
      </c>
      <c r="B131" s="2" t="s">
        <v>1690</v>
      </c>
      <c r="C131" s="2" t="s">
        <v>43</v>
      </c>
      <c r="D131" s="2" t="s">
        <v>1691</v>
      </c>
      <c r="E131" s="2" t="s">
        <v>1690</v>
      </c>
      <c r="F131" s="2" t="s">
        <v>1692</v>
      </c>
      <c r="G131" s="2" t="s">
        <v>1454</v>
      </c>
      <c r="H131" s="2"/>
      <c r="I131" s="2"/>
      <c r="J131" s="2" t="s">
        <v>44</v>
      </c>
      <c r="K131" s="2" t="s">
        <v>232</v>
      </c>
      <c r="L131" s="2" t="s">
        <v>231</v>
      </c>
      <c r="M131" s="2" t="s">
        <v>230</v>
      </c>
      <c r="N131" s="2" t="s">
        <v>1843</v>
      </c>
      <c r="O131" s="2" t="s">
        <v>43</v>
      </c>
      <c r="P131" s="3">
        <v>26</v>
      </c>
      <c r="Q131" s="3">
        <v>22</v>
      </c>
      <c r="R131" s="3">
        <v>0</v>
      </c>
      <c r="S131" s="3">
        <v>20</v>
      </c>
      <c r="T131" s="3">
        <v>20</v>
      </c>
      <c r="U131" s="3">
        <v>0</v>
      </c>
      <c r="V131" s="3">
        <v>46</v>
      </c>
      <c r="W131" s="3">
        <v>1751.22</v>
      </c>
      <c r="X131" s="3">
        <v>38.07</v>
      </c>
      <c r="Y131" s="2" t="s">
        <v>1694</v>
      </c>
      <c r="Z131" s="2" t="s">
        <v>1454</v>
      </c>
      <c r="AA131" s="2" t="s">
        <v>1695</v>
      </c>
      <c r="AB131" s="2" t="s">
        <v>1691</v>
      </c>
      <c r="AC131" s="2" t="s">
        <v>1696</v>
      </c>
      <c r="AD131" s="3">
        <v>1</v>
      </c>
    </row>
    <row r="132" customHeight="1" spans="1:30">
      <c r="A132" s="4">
        <v>46303</v>
      </c>
      <c r="B132" s="2" t="s">
        <v>1690</v>
      </c>
      <c r="C132" s="2" t="s">
        <v>43</v>
      </c>
      <c r="D132" s="2" t="s">
        <v>1691</v>
      </c>
      <c r="E132" s="2" t="s">
        <v>1690</v>
      </c>
      <c r="F132" s="2" t="s">
        <v>1692</v>
      </c>
      <c r="G132" s="2" t="s">
        <v>1454</v>
      </c>
      <c r="H132" s="2"/>
      <c r="I132" s="2"/>
      <c r="J132" s="2" t="s">
        <v>55</v>
      </c>
      <c r="K132" s="2" t="s">
        <v>111</v>
      </c>
      <c r="L132" s="2" t="s">
        <v>110</v>
      </c>
      <c r="M132" s="2" t="s">
        <v>109</v>
      </c>
      <c r="N132" s="2" t="s">
        <v>1765</v>
      </c>
      <c r="O132" s="2" t="s">
        <v>43</v>
      </c>
      <c r="P132" s="3">
        <v>8</v>
      </c>
      <c r="Q132" s="3">
        <v>8</v>
      </c>
      <c r="R132" s="3">
        <v>0</v>
      </c>
      <c r="S132" s="3">
        <v>0</v>
      </c>
      <c r="T132" s="3">
        <v>0</v>
      </c>
      <c r="U132" s="3">
        <v>0</v>
      </c>
      <c r="V132" s="3">
        <v>8</v>
      </c>
      <c r="W132" s="3">
        <v>432.24</v>
      </c>
      <c r="X132" s="3">
        <v>54.03</v>
      </c>
      <c r="Y132" s="2" t="s">
        <v>1694</v>
      </c>
      <c r="Z132" s="2" t="s">
        <v>1454</v>
      </c>
      <c r="AA132" s="2" t="s">
        <v>1695</v>
      </c>
      <c r="AB132" s="2" t="s">
        <v>1691</v>
      </c>
      <c r="AC132" s="2" t="s">
        <v>1696</v>
      </c>
      <c r="AD132" s="3">
        <v>1</v>
      </c>
    </row>
    <row r="133" customHeight="1" spans="1:30">
      <c r="A133" s="4">
        <v>46303</v>
      </c>
      <c r="B133" s="2" t="s">
        <v>1690</v>
      </c>
      <c r="C133" s="2" t="s">
        <v>43</v>
      </c>
      <c r="D133" s="2" t="s">
        <v>1691</v>
      </c>
      <c r="E133" s="2" t="s">
        <v>1690</v>
      </c>
      <c r="F133" s="2" t="s">
        <v>1692</v>
      </c>
      <c r="G133" s="2" t="s">
        <v>1454</v>
      </c>
      <c r="H133" s="2"/>
      <c r="I133" s="2"/>
      <c r="J133" s="2" t="s">
        <v>44</v>
      </c>
      <c r="K133" s="2" t="s">
        <v>229</v>
      </c>
      <c r="L133" s="2" t="s">
        <v>228</v>
      </c>
      <c r="M133" s="2" t="s">
        <v>227</v>
      </c>
      <c r="N133" s="2" t="s">
        <v>1761</v>
      </c>
      <c r="O133" s="2" t="s">
        <v>43</v>
      </c>
      <c r="P133" s="3">
        <v>25</v>
      </c>
      <c r="Q133" s="3">
        <v>11</v>
      </c>
      <c r="R133" s="3">
        <v>0</v>
      </c>
      <c r="S133" s="3">
        <v>0</v>
      </c>
      <c r="T133" s="3">
        <v>1</v>
      </c>
      <c r="U133" s="3">
        <v>0</v>
      </c>
      <c r="V133" s="3">
        <v>26</v>
      </c>
      <c r="W133" s="3">
        <v>1334.58</v>
      </c>
      <c r="X133" s="3">
        <v>51.33</v>
      </c>
      <c r="Y133" s="2" t="s">
        <v>1694</v>
      </c>
      <c r="Z133" s="2" t="s">
        <v>1454</v>
      </c>
      <c r="AA133" s="2" t="s">
        <v>1695</v>
      </c>
      <c r="AB133" s="2" t="s">
        <v>1691</v>
      </c>
      <c r="AC133" s="2" t="s">
        <v>1696</v>
      </c>
      <c r="AD133" s="3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253"/>
  <sheetViews>
    <sheetView workbookViewId="0">
      <selection activeCell="A1" sqref="A1"/>
    </sheetView>
  </sheetViews>
  <sheetFormatPr defaultColWidth="10" defaultRowHeight="16.5" customHeight="1"/>
  <sheetData>
    <row r="1" customHeight="1" spans="1:44">
      <c r="A1" s="1" t="s">
        <v>0</v>
      </c>
      <c r="B1" s="1" t="s">
        <v>1667</v>
      </c>
      <c r="C1" s="1" t="s">
        <v>1434</v>
      </c>
      <c r="D1" s="1" t="s">
        <v>1668</v>
      </c>
      <c r="E1" s="1" t="s">
        <v>1669</v>
      </c>
      <c r="F1" s="1" t="s">
        <v>1844</v>
      </c>
      <c r="G1" s="1" t="s">
        <v>1688</v>
      </c>
      <c r="H1" s="1" t="s">
        <v>1845</v>
      </c>
      <c r="I1" s="1" t="s">
        <v>1846</v>
      </c>
      <c r="J1" s="1" t="s">
        <v>32</v>
      </c>
      <c r="K1" s="1" t="s">
        <v>33</v>
      </c>
      <c r="L1" s="1" t="s">
        <v>1847</v>
      </c>
      <c r="M1" s="1" t="s">
        <v>1848</v>
      </c>
      <c r="N1" s="1" t="s">
        <v>1849</v>
      </c>
      <c r="O1" s="1" t="s">
        <v>1850</v>
      </c>
      <c r="P1" s="1" t="s">
        <v>1682</v>
      </c>
      <c r="Q1" s="1" t="s">
        <v>1851</v>
      </c>
      <c r="R1" s="1" t="s">
        <v>1852</v>
      </c>
      <c r="S1" s="1" t="s">
        <v>1853</v>
      </c>
      <c r="T1" s="1" t="s">
        <v>1854</v>
      </c>
      <c r="U1" s="1" t="s">
        <v>1855</v>
      </c>
      <c r="V1" s="1" t="s">
        <v>1856</v>
      </c>
      <c r="W1" s="1" t="s">
        <v>1857</v>
      </c>
      <c r="X1" s="1" t="s">
        <v>1858</v>
      </c>
      <c r="Y1" s="1" t="s">
        <v>1859</v>
      </c>
      <c r="Z1" s="1" t="s">
        <v>1683</v>
      </c>
      <c r="AA1" s="1" t="s">
        <v>1860</v>
      </c>
      <c r="AB1" s="1" t="s">
        <v>1861</v>
      </c>
      <c r="AC1" s="1" t="s">
        <v>1862</v>
      </c>
      <c r="AD1" s="1" t="s">
        <v>1863</v>
      </c>
      <c r="AE1" s="1" t="s">
        <v>1864</v>
      </c>
      <c r="AF1" s="1" t="s">
        <v>1865</v>
      </c>
      <c r="AG1" s="1" t="s">
        <v>1866</v>
      </c>
      <c r="AH1" s="1" t="s">
        <v>1867</v>
      </c>
      <c r="AI1" s="1" t="s">
        <v>1868</v>
      </c>
      <c r="AJ1" s="1" t="s">
        <v>1869</v>
      </c>
      <c r="AK1" s="1" t="s">
        <v>1870</v>
      </c>
      <c r="AL1" s="1" t="s">
        <v>1435</v>
      </c>
      <c r="AM1" s="1" t="s">
        <v>1871</v>
      </c>
      <c r="AN1" s="1" t="s">
        <v>1872</v>
      </c>
      <c r="AO1" s="1" t="s">
        <v>1873</v>
      </c>
      <c r="AP1" s="1" t="s">
        <v>1874</v>
      </c>
      <c r="AQ1" s="1" t="s">
        <v>1875</v>
      </c>
      <c r="AR1" s="1" t="s">
        <v>1876</v>
      </c>
    </row>
    <row r="2" customHeight="1" spans="1:44">
      <c r="A2" s="2" t="s">
        <v>1251</v>
      </c>
      <c r="B2" s="2"/>
      <c r="C2" s="2"/>
      <c r="D2" s="2"/>
      <c r="E2" s="2"/>
      <c r="F2" s="2"/>
      <c r="G2" s="2"/>
      <c r="H2" s="3">
        <v>1678</v>
      </c>
      <c r="I2" s="3">
        <v>682</v>
      </c>
      <c r="J2" s="3">
        <v>2892</v>
      </c>
      <c r="K2" s="3">
        <v>2930</v>
      </c>
      <c r="L2" s="3">
        <v>5102</v>
      </c>
      <c r="M2" s="3">
        <v>13284</v>
      </c>
      <c r="N2" s="3">
        <v>7441</v>
      </c>
      <c r="O2" s="46" t="s">
        <v>1877</v>
      </c>
      <c r="P2" s="3">
        <v>1041678.067</v>
      </c>
      <c r="Q2" s="3">
        <v>1647096.781</v>
      </c>
      <c r="R2" s="3">
        <v>438</v>
      </c>
      <c r="S2" s="3">
        <v>894</v>
      </c>
      <c r="T2" s="3">
        <v>1839</v>
      </c>
      <c r="U2" s="3">
        <v>1668</v>
      </c>
      <c r="V2" s="3">
        <v>1505</v>
      </c>
      <c r="W2" s="3">
        <v>922</v>
      </c>
      <c r="X2" s="3">
        <v>1754</v>
      </c>
      <c r="Y2" s="3">
        <v>2538</v>
      </c>
      <c r="Z2" s="3">
        <v>82.57637591</v>
      </c>
      <c r="AA2" s="3">
        <v>144327.1597</v>
      </c>
      <c r="AB2" s="3"/>
      <c r="AC2" s="3"/>
      <c r="AD2" s="3"/>
      <c r="AE2" s="3"/>
      <c r="AF2" s="3"/>
      <c r="AG2" s="3"/>
      <c r="AH2" s="3"/>
      <c r="AI2" s="3">
        <v>4466</v>
      </c>
      <c r="AJ2" s="3"/>
      <c r="AK2" s="3">
        <v>355993.1636</v>
      </c>
      <c r="AL2" s="2"/>
      <c r="AM2" s="3"/>
      <c r="AN2" s="3"/>
      <c r="AO2" s="2"/>
      <c r="AP2" s="2"/>
      <c r="AQ2" s="2"/>
      <c r="AR2" s="2"/>
    </row>
    <row r="3" customHeight="1" spans="1:44">
      <c r="A3" s="2" t="s">
        <v>230</v>
      </c>
      <c r="B3" s="2" t="s">
        <v>1692</v>
      </c>
      <c r="C3" s="2" t="s">
        <v>1454</v>
      </c>
      <c r="D3" s="2"/>
      <c r="E3" s="2"/>
      <c r="F3" s="2" t="s">
        <v>1878</v>
      </c>
      <c r="G3" s="2" t="s">
        <v>1696</v>
      </c>
      <c r="H3" s="3">
        <v>46</v>
      </c>
      <c r="I3" s="3">
        <v>20</v>
      </c>
      <c r="J3" s="3">
        <v>83</v>
      </c>
      <c r="K3" s="3">
        <v>59</v>
      </c>
      <c r="L3" s="3">
        <v>82</v>
      </c>
      <c r="M3" s="3">
        <v>290</v>
      </c>
      <c r="N3" s="3">
        <v>240</v>
      </c>
      <c r="O3" s="46" t="s">
        <v>869</v>
      </c>
      <c r="P3" s="3">
        <v>11039.71971</v>
      </c>
      <c r="Q3" s="3">
        <v>20176.03947</v>
      </c>
      <c r="R3" s="3">
        <v>7</v>
      </c>
      <c r="S3" s="3">
        <v>15</v>
      </c>
      <c r="T3" s="3">
        <v>46</v>
      </c>
      <c r="U3" s="3">
        <v>31</v>
      </c>
      <c r="V3" s="3">
        <v>21</v>
      </c>
      <c r="W3" s="3">
        <v>0</v>
      </c>
      <c r="X3" s="3">
        <v>0</v>
      </c>
      <c r="Y3" s="3">
        <v>0</v>
      </c>
      <c r="Z3" s="3">
        <v>38.067999</v>
      </c>
      <c r="AA3" s="3">
        <v>1751.127954</v>
      </c>
      <c r="AB3" s="3">
        <v>11.52173913</v>
      </c>
      <c r="AC3" s="3">
        <v>6.304347826</v>
      </c>
      <c r="AD3" s="3">
        <v>4.52173913</v>
      </c>
      <c r="AE3" s="3">
        <v>1</v>
      </c>
      <c r="AF3" s="3">
        <v>1.804347826</v>
      </c>
      <c r="AG3" s="3">
        <v>1.282608696</v>
      </c>
      <c r="AH3" s="3">
        <v>4.5</v>
      </c>
      <c r="AI3" s="3">
        <v>14</v>
      </c>
      <c r="AJ3" s="3">
        <v>6</v>
      </c>
      <c r="AK3" s="3">
        <v>532.951986</v>
      </c>
      <c r="AL3" s="2" t="s">
        <v>1694</v>
      </c>
      <c r="AM3" s="3">
        <v>20</v>
      </c>
      <c r="AN3" s="3">
        <v>26</v>
      </c>
      <c r="AO3" s="4">
        <v>45368</v>
      </c>
      <c r="AP3" s="4">
        <v>45351</v>
      </c>
      <c r="AQ3" s="2" t="s">
        <v>1879</v>
      </c>
      <c r="AR3" s="2" t="s">
        <v>1454</v>
      </c>
    </row>
    <row r="4" customHeight="1" spans="1:44">
      <c r="A4" s="2" t="s">
        <v>175</v>
      </c>
      <c r="B4" s="2" t="s">
        <v>1692</v>
      </c>
      <c r="C4" s="2" t="s">
        <v>1454</v>
      </c>
      <c r="D4" s="2"/>
      <c r="E4" s="2"/>
      <c r="F4" s="2" t="s">
        <v>1880</v>
      </c>
      <c r="G4" s="2" t="s">
        <v>1696</v>
      </c>
      <c r="H4" s="3">
        <v>6</v>
      </c>
      <c r="I4" s="3">
        <v>7</v>
      </c>
      <c r="J4" s="3">
        <v>13</v>
      </c>
      <c r="K4" s="3">
        <v>74</v>
      </c>
      <c r="L4" s="3">
        <v>135</v>
      </c>
      <c r="M4" s="3">
        <v>235</v>
      </c>
      <c r="N4" s="3">
        <v>60</v>
      </c>
      <c r="O4" s="46" t="s">
        <v>1881</v>
      </c>
      <c r="P4" s="3">
        <v>15654.80888</v>
      </c>
      <c r="Q4" s="3">
        <v>19651.78136</v>
      </c>
      <c r="R4" s="3">
        <v>4</v>
      </c>
      <c r="S4" s="3">
        <v>7</v>
      </c>
      <c r="T4" s="3">
        <v>25</v>
      </c>
      <c r="U4" s="3">
        <v>35</v>
      </c>
      <c r="V4" s="3">
        <v>45</v>
      </c>
      <c r="W4" s="3">
        <v>0</v>
      </c>
      <c r="X4" s="3">
        <v>120</v>
      </c>
      <c r="Y4" s="3">
        <v>120</v>
      </c>
      <c r="Z4" s="3">
        <v>66.616208</v>
      </c>
      <c r="AA4" s="3">
        <v>1665.4052</v>
      </c>
      <c r="AB4" s="3">
        <v>11.8</v>
      </c>
      <c r="AC4" s="3">
        <v>9.4</v>
      </c>
      <c r="AD4" s="3">
        <v>4</v>
      </c>
      <c r="AE4" s="3">
        <v>0.24</v>
      </c>
      <c r="AF4" s="3">
        <v>0.52</v>
      </c>
      <c r="AG4" s="3">
        <v>2.96</v>
      </c>
      <c r="AH4" s="3">
        <v>4.5</v>
      </c>
      <c r="AI4" s="3">
        <v>85</v>
      </c>
      <c r="AJ4" s="3">
        <v>6</v>
      </c>
      <c r="AK4" s="3">
        <v>5662.37768</v>
      </c>
      <c r="AL4" s="2" t="s">
        <v>1694</v>
      </c>
      <c r="AM4" s="3">
        <v>4</v>
      </c>
      <c r="AN4" s="3">
        <v>21</v>
      </c>
      <c r="AO4" s="4">
        <v>46044</v>
      </c>
      <c r="AP4" s="4">
        <v>45696</v>
      </c>
      <c r="AQ4" s="2" t="s">
        <v>1879</v>
      </c>
      <c r="AR4" s="2" t="s">
        <v>1454</v>
      </c>
    </row>
    <row r="5" customHeight="1" spans="1:44">
      <c r="A5" s="2" t="s">
        <v>270</v>
      </c>
      <c r="B5" s="2" t="s">
        <v>1692</v>
      </c>
      <c r="C5" s="2" t="s">
        <v>1454</v>
      </c>
      <c r="D5" s="2"/>
      <c r="E5" s="2"/>
      <c r="F5" s="2" t="s">
        <v>1882</v>
      </c>
      <c r="G5" s="2" t="s">
        <v>1696</v>
      </c>
      <c r="H5" s="3">
        <v>24</v>
      </c>
      <c r="I5" s="3">
        <v>0</v>
      </c>
      <c r="J5" s="3">
        <v>22</v>
      </c>
      <c r="K5" s="3">
        <v>48</v>
      </c>
      <c r="L5" s="3">
        <v>139</v>
      </c>
      <c r="M5" s="3">
        <v>233</v>
      </c>
      <c r="N5" s="3">
        <v>0</v>
      </c>
      <c r="O5" s="46" t="s">
        <v>1883</v>
      </c>
      <c r="P5" s="3">
        <v>20239.07248</v>
      </c>
      <c r="Q5" s="3">
        <v>20239.07248</v>
      </c>
      <c r="R5" s="3">
        <v>8</v>
      </c>
      <c r="S5" s="3">
        <v>22</v>
      </c>
      <c r="T5" s="3">
        <v>33</v>
      </c>
      <c r="U5" s="3">
        <v>32</v>
      </c>
      <c r="V5" s="3">
        <v>39</v>
      </c>
      <c r="W5" s="3">
        <v>0</v>
      </c>
      <c r="X5" s="3">
        <v>0</v>
      </c>
      <c r="Y5" s="3">
        <v>30</v>
      </c>
      <c r="Z5" s="3">
        <v>86.862972</v>
      </c>
      <c r="AA5" s="3">
        <v>2866.478076</v>
      </c>
      <c r="AB5" s="3">
        <v>7.060606061</v>
      </c>
      <c r="AC5" s="3">
        <v>7.060606061</v>
      </c>
      <c r="AD5" s="3">
        <v>2.848484848</v>
      </c>
      <c r="AE5" s="3">
        <v>0.727272727</v>
      </c>
      <c r="AF5" s="3">
        <v>0.666666667</v>
      </c>
      <c r="AG5" s="3">
        <v>1.454545455</v>
      </c>
      <c r="AH5" s="3">
        <v>4.5</v>
      </c>
      <c r="AI5" s="3">
        <v>35</v>
      </c>
      <c r="AJ5" s="3">
        <v>6</v>
      </c>
      <c r="AK5" s="3">
        <v>3040.20402</v>
      </c>
      <c r="AL5" s="2" t="s">
        <v>1694</v>
      </c>
      <c r="AM5" s="3">
        <v>7</v>
      </c>
      <c r="AN5" s="3">
        <v>7</v>
      </c>
      <c r="AO5" s="4">
        <v>46035</v>
      </c>
      <c r="AP5" s="4">
        <v>45768</v>
      </c>
      <c r="AQ5" s="2" t="s">
        <v>1879</v>
      </c>
      <c r="AR5" s="2" t="s">
        <v>1454</v>
      </c>
    </row>
    <row r="6" customHeight="1" spans="1:44">
      <c r="A6" s="2" t="s">
        <v>273</v>
      </c>
      <c r="B6" s="2" t="s">
        <v>1692</v>
      </c>
      <c r="C6" s="2" t="s">
        <v>1454</v>
      </c>
      <c r="D6" s="2"/>
      <c r="E6" s="2"/>
      <c r="F6" s="2" t="s">
        <v>1878</v>
      </c>
      <c r="G6" s="2" t="s">
        <v>1696</v>
      </c>
      <c r="H6" s="3">
        <v>46</v>
      </c>
      <c r="I6" s="3">
        <v>4</v>
      </c>
      <c r="J6" s="3">
        <v>44</v>
      </c>
      <c r="K6" s="3">
        <v>24</v>
      </c>
      <c r="L6" s="3">
        <v>98</v>
      </c>
      <c r="M6" s="3">
        <v>216</v>
      </c>
      <c r="N6" s="3">
        <v>0</v>
      </c>
      <c r="O6" s="46" t="s">
        <v>966</v>
      </c>
      <c r="P6" s="3">
        <v>25426.09958</v>
      </c>
      <c r="Q6" s="3">
        <v>25426.09958</v>
      </c>
      <c r="R6" s="3">
        <v>2</v>
      </c>
      <c r="S6" s="3">
        <v>8</v>
      </c>
      <c r="T6" s="3">
        <v>25</v>
      </c>
      <c r="U6" s="3">
        <v>12</v>
      </c>
      <c r="V6" s="3">
        <v>20</v>
      </c>
      <c r="W6" s="3">
        <v>0</v>
      </c>
      <c r="X6" s="3">
        <v>0</v>
      </c>
      <c r="Y6" s="3">
        <v>0</v>
      </c>
      <c r="Z6" s="3">
        <v>117.713424</v>
      </c>
      <c r="AA6" s="3">
        <v>2942.8356</v>
      </c>
      <c r="AB6" s="3">
        <v>8.64</v>
      </c>
      <c r="AC6" s="3">
        <v>8.64</v>
      </c>
      <c r="AD6" s="3">
        <v>4.72</v>
      </c>
      <c r="AE6" s="3">
        <v>1.84</v>
      </c>
      <c r="AF6" s="3">
        <v>1.76</v>
      </c>
      <c r="AG6" s="3">
        <v>0.96</v>
      </c>
      <c r="AH6" s="3">
        <v>4.5</v>
      </c>
      <c r="AI6" s="3">
        <v>66</v>
      </c>
      <c r="AJ6" s="3">
        <v>6</v>
      </c>
      <c r="AK6" s="3">
        <v>7769.085984</v>
      </c>
      <c r="AL6" s="2" t="s">
        <v>1694</v>
      </c>
      <c r="AM6" s="3">
        <v>10</v>
      </c>
      <c r="AN6" s="3">
        <v>9</v>
      </c>
      <c r="AO6" s="4">
        <v>46012</v>
      </c>
      <c r="AP6" s="4">
        <v>45688</v>
      </c>
      <c r="AQ6" s="2" t="s">
        <v>1879</v>
      </c>
      <c r="AR6" s="2" t="s">
        <v>1454</v>
      </c>
    </row>
    <row r="7" customHeight="1" spans="1:44">
      <c r="A7" s="2" t="s">
        <v>184</v>
      </c>
      <c r="B7" s="2" t="s">
        <v>1692</v>
      </c>
      <c r="C7" s="2" t="s">
        <v>1454</v>
      </c>
      <c r="D7" s="2"/>
      <c r="E7" s="2"/>
      <c r="F7" s="2" t="s">
        <v>1878</v>
      </c>
      <c r="G7" s="2" t="s">
        <v>1696</v>
      </c>
      <c r="H7" s="3">
        <v>87</v>
      </c>
      <c r="I7" s="3">
        <v>60</v>
      </c>
      <c r="J7" s="3">
        <v>8</v>
      </c>
      <c r="K7" s="3">
        <v>27</v>
      </c>
      <c r="L7" s="3">
        <v>24</v>
      </c>
      <c r="M7" s="3">
        <v>206</v>
      </c>
      <c r="N7" s="3">
        <v>120</v>
      </c>
      <c r="O7" s="46" t="s">
        <v>757</v>
      </c>
      <c r="P7" s="3">
        <v>9302.34509</v>
      </c>
      <c r="Q7" s="3">
        <v>14721.18689</v>
      </c>
      <c r="R7" s="3">
        <v>9</v>
      </c>
      <c r="S7" s="3">
        <v>16</v>
      </c>
      <c r="T7" s="3">
        <v>39</v>
      </c>
      <c r="U7" s="3">
        <v>23</v>
      </c>
      <c r="V7" s="3">
        <v>33</v>
      </c>
      <c r="W7" s="3">
        <v>40</v>
      </c>
      <c r="X7" s="3">
        <v>40</v>
      </c>
      <c r="Y7" s="3">
        <v>40</v>
      </c>
      <c r="Z7" s="3">
        <v>45.157015</v>
      </c>
      <c r="AA7" s="3">
        <v>1761.123585</v>
      </c>
      <c r="AB7" s="3">
        <v>8.358974359</v>
      </c>
      <c r="AC7" s="3">
        <v>5.282051282</v>
      </c>
      <c r="AD7" s="3">
        <v>4.666666667</v>
      </c>
      <c r="AE7" s="3">
        <v>2.230769231</v>
      </c>
      <c r="AF7" s="3">
        <v>0.205128205</v>
      </c>
      <c r="AG7" s="3">
        <v>0.692307692</v>
      </c>
      <c r="AH7" s="3">
        <v>4.5</v>
      </c>
      <c r="AI7" s="3">
        <v>0</v>
      </c>
      <c r="AJ7" s="3">
        <v>6</v>
      </c>
      <c r="AK7" s="3">
        <v>0</v>
      </c>
      <c r="AL7" s="2" t="s">
        <v>1694</v>
      </c>
      <c r="AM7" s="3">
        <v>13</v>
      </c>
      <c r="AN7" s="3">
        <v>8</v>
      </c>
      <c r="AO7" s="4">
        <v>45368</v>
      </c>
      <c r="AP7" s="4">
        <v>45351</v>
      </c>
      <c r="AQ7" s="2" t="s">
        <v>1879</v>
      </c>
      <c r="AR7" s="2" t="s">
        <v>1454</v>
      </c>
    </row>
    <row r="8" customHeight="1" spans="1:44">
      <c r="A8" s="2" t="s">
        <v>1884</v>
      </c>
      <c r="B8" s="2" t="s">
        <v>1692</v>
      </c>
      <c r="C8" s="2" t="s">
        <v>1454</v>
      </c>
      <c r="D8" s="2"/>
      <c r="E8" s="2"/>
      <c r="F8" s="2" t="s">
        <v>1885</v>
      </c>
      <c r="G8" s="2" t="s">
        <v>1696</v>
      </c>
      <c r="H8" s="3">
        <v>0</v>
      </c>
      <c r="I8" s="3">
        <v>0</v>
      </c>
      <c r="J8" s="3">
        <v>54</v>
      </c>
      <c r="K8" s="3">
        <v>18</v>
      </c>
      <c r="L8" s="3">
        <v>113</v>
      </c>
      <c r="M8" s="3">
        <v>185</v>
      </c>
      <c r="N8" s="3">
        <v>0</v>
      </c>
      <c r="O8" s="46" t="s">
        <v>1886</v>
      </c>
      <c r="P8" s="3">
        <v>15389.76594</v>
      </c>
      <c r="Q8" s="3">
        <v>15389.76594</v>
      </c>
      <c r="R8" s="3">
        <v>4</v>
      </c>
      <c r="S8" s="3">
        <v>5</v>
      </c>
      <c r="T8" s="3">
        <v>16</v>
      </c>
      <c r="U8" s="3">
        <v>10</v>
      </c>
      <c r="V8" s="3">
        <v>10</v>
      </c>
      <c r="W8" s="3">
        <v>0</v>
      </c>
      <c r="X8" s="3">
        <v>0</v>
      </c>
      <c r="Y8" s="3">
        <v>0</v>
      </c>
      <c r="Z8" s="3">
        <v>83.187924</v>
      </c>
      <c r="AA8" s="3">
        <v>1331.006784</v>
      </c>
      <c r="AB8" s="3">
        <v>11.5625</v>
      </c>
      <c r="AC8" s="3">
        <v>11.5625</v>
      </c>
      <c r="AD8" s="3">
        <v>4.5</v>
      </c>
      <c r="AE8" s="3">
        <v>0</v>
      </c>
      <c r="AF8" s="3">
        <v>3.375</v>
      </c>
      <c r="AG8" s="3">
        <v>1.125</v>
      </c>
      <c r="AH8" s="3">
        <v>4.5</v>
      </c>
      <c r="AI8" s="3">
        <v>89</v>
      </c>
      <c r="AJ8" s="3">
        <v>6</v>
      </c>
      <c r="AK8" s="3">
        <v>7403.725236</v>
      </c>
      <c r="AL8" s="2" t="s">
        <v>1694</v>
      </c>
      <c r="AM8" s="3">
        <v>0</v>
      </c>
      <c r="AN8" s="3">
        <v>13</v>
      </c>
      <c r="AO8" s="2"/>
      <c r="AP8" s="4">
        <v>45756</v>
      </c>
      <c r="AQ8" s="2" t="s">
        <v>1879</v>
      </c>
      <c r="AR8" s="2" t="s">
        <v>1454</v>
      </c>
    </row>
    <row r="9" customHeight="1" spans="1:44">
      <c r="A9" s="2" t="s">
        <v>331</v>
      </c>
      <c r="B9" s="2" t="s">
        <v>1692</v>
      </c>
      <c r="C9" s="2" t="s">
        <v>1454</v>
      </c>
      <c r="D9" s="2"/>
      <c r="E9" s="2"/>
      <c r="F9" s="2" t="s">
        <v>1878</v>
      </c>
      <c r="G9" s="2" t="s">
        <v>1696</v>
      </c>
      <c r="H9" s="3">
        <v>25</v>
      </c>
      <c r="I9" s="3">
        <v>0</v>
      </c>
      <c r="J9" s="3">
        <v>0</v>
      </c>
      <c r="K9" s="3">
        <v>66</v>
      </c>
      <c r="L9" s="3">
        <v>91</v>
      </c>
      <c r="M9" s="3">
        <v>182</v>
      </c>
      <c r="N9" s="3">
        <v>24</v>
      </c>
      <c r="O9" s="46" t="s">
        <v>1887</v>
      </c>
      <c r="P9" s="3">
        <v>18038.93801</v>
      </c>
      <c r="Q9" s="3">
        <v>20417.69906</v>
      </c>
      <c r="R9" s="3">
        <v>8</v>
      </c>
      <c r="S9" s="3">
        <v>14</v>
      </c>
      <c r="T9" s="3">
        <v>33</v>
      </c>
      <c r="U9" s="3">
        <v>36</v>
      </c>
      <c r="V9" s="3">
        <v>25</v>
      </c>
      <c r="W9" s="3">
        <v>96</v>
      </c>
      <c r="X9" s="3">
        <v>96</v>
      </c>
      <c r="Y9" s="3">
        <v>150</v>
      </c>
      <c r="Z9" s="3">
        <v>99.115044</v>
      </c>
      <c r="AA9" s="3">
        <v>3270.796452</v>
      </c>
      <c r="AB9" s="3">
        <v>6.242424242</v>
      </c>
      <c r="AC9" s="3">
        <v>5.515151515</v>
      </c>
      <c r="AD9" s="3">
        <v>2.757575758</v>
      </c>
      <c r="AE9" s="3">
        <v>0.757575758</v>
      </c>
      <c r="AF9" s="3">
        <v>0</v>
      </c>
      <c r="AG9" s="3">
        <v>2</v>
      </c>
      <c r="AH9" s="3">
        <v>4.5</v>
      </c>
      <c r="AI9" s="3">
        <v>0</v>
      </c>
      <c r="AJ9" s="3">
        <v>6</v>
      </c>
      <c r="AK9" s="3">
        <v>0</v>
      </c>
      <c r="AL9" s="2" t="s">
        <v>1694</v>
      </c>
      <c r="AM9" s="3">
        <v>8</v>
      </c>
      <c r="AN9" s="3">
        <v>20</v>
      </c>
      <c r="AO9" s="4">
        <v>45368</v>
      </c>
      <c r="AP9" s="4">
        <v>45351</v>
      </c>
      <c r="AQ9" s="2" t="s">
        <v>1879</v>
      </c>
      <c r="AR9" s="2" t="s">
        <v>1454</v>
      </c>
    </row>
    <row r="10" customHeight="1" spans="1:44">
      <c r="A10" s="2" t="s">
        <v>187</v>
      </c>
      <c r="B10" s="2" t="s">
        <v>1692</v>
      </c>
      <c r="C10" s="2" t="s">
        <v>1454</v>
      </c>
      <c r="D10" s="2"/>
      <c r="E10" s="2"/>
      <c r="F10" s="2" t="s">
        <v>1878</v>
      </c>
      <c r="G10" s="2" t="s">
        <v>1696</v>
      </c>
      <c r="H10" s="3">
        <v>28</v>
      </c>
      <c r="I10" s="3">
        <v>23</v>
      </c>
      <c r="J10" s="3">
        <v>35</v>
      </c>
      <c r="K10" s="3">
        <v>14</v>
      </c>
      <c r="L10" s="3">
        <v>76</v>
      </c>
      <c r="M10" s="3">
        <v>176</v>
      </c>
      <c r="N10" s="3">
        <v>60</v>
      </c>
      <c r="O10" s="46" t="s">
        <v>1046</v>
      </c>
      <c r="P10" s="3">
        <v>7013.291472</v>
      </c>
      <c r="Q10" s="3">
        <v>9404.186292</v>
      </c>
      <c r="R10" s="3">
        <v>5</v>
      </c>
      <c r="S10" s="3">
        <v>6</v>
      </c>
      <c r="T10" s="3">
        <v>14</v>
      </c>
      <c r="U10" s="3">
        <v>14</v>
      </c>
      <c r="V10" s="3">
        <v>31</v>
      </c>
      <c r="W10" s="3">
        <v>60</v>
      </c>
      <c r="X10" s="3">
        <v>60</v>
      </c>
      <c r="Y10" s="3">
        <v>60</v>
      </c>
      <c r="Z10" s="3">
        <v>39.848247</v>
      </c>
      <c r="AA10" s="3">
        <v>557.875458</v>
      </c>
      <c r="AB10" s="3">
        <v>16.85714286</v>
      </c>
      <c r="AC10" s="3">
        <v>12.57142857</v>
      </c>
      <c r="AD10" s="3">
        <v>7.142857143</v>
      </c>
      <c r="AE10" s="3">
        <v>2</v>
      </c>
      <c r="AF10" s="3">
        <v>2.5</v>
      </c>
      <c r="AG10" s="3">
        <v>1</v>
      </c>
      <c r="AH10" s="3">
        <v>4.5</v>
      </c>
      <c r="AI10" s="3">
        <v>92</v>
      </c>
      <c r="AJ10" s="3">
        <v>6</v>
      </c>
      <c r="AK10" s="3">
        <v>3666.038724</v>
      </c>
      <c r="AL10" s="2" t="s">
        <v>1694</v>
      </c>
      <c r="AM10" s="3">
        <v>7</v>
      </c>
      <c r="AN10" s="3">
        <v>5</v>
      </c>
      <c r="AO10" s="4">
        <v>46194</v>
      </c>
      <c r="AP10" s="4">
        <v>45767</v>
      </c>
      <c r="AQ10" s="2" t="s">
        <v>1879</v>
      </c>
      <c r="AR10" s="2" t="s">
        <v>1454</v>
      </c>
    </row>
    <row r="11" customHeight="1" spans="1:44">
      <c r="A11" s="2" t="s">
        <v>178</v>
      </c>
      <c r="B11" s="2" t="s">
        <v>1692</v>
      </c>
      <c r="C11" s="2" t="s">
        <v>1454</v>
      </c>
      <c r="D11" s="2"/>
      <c r="E11" s="2"/>
      <c r="F11" s="2" t="s">
        <v>1878</v>
      </c>
      <c r="G11" s="2" t="s">
        <v>1696</v>
      </c>
      <c r="H11" s="3">
        <v>44</v>
      </c>
      <c r="I11" s="3">
        <v>20</v>
      </c>
      <c r="J11" s="3">
        <v>52</v>
      </c>
      <c r="K11" s="3">
        <v>23</v>
      </c>
      <c r="L11" s="3">
        <v>29</v>
      </c>
      <c r="M11" s="3">
        <v>168</v>
      </c>
      <c r="N11" s="3">
        <v>120</v>
      </c>
      <c r="O11" s="46" t="s">
        <v>811</v>
      </c>
      <c r="P11" s="3">
        <v>7341.152784</v>
      </c>
      <c r="Q11" s="3">
        <v>12584.83334</v>
      </c>
      <c r="R11" s="3">
        <v>6</v>
      </c>
      <c r="S11" s="3">
        <v>17</v>
      </c>
      <c r="T11" s="3">
        <v>28</v>
      </c>
      <c r="U11" s="3">
        <v>35</v>
      </c>
      <c r="V11" s="3">
        <v>33</v>
      </c>
      <c r="W11" s="3">
        <v>40</v>
      </c>
      <c r="X11" s="3">
        <v>40</v>
      </c>
      <c r="Y11" s="3">
        <v>40</v>
      </c>
      <c r="Z11" s="3">
        <v>43.697338</v>
      </c>
      <c r="AA11" s="3">
        <v>1223.525464</v>
      </c>
      <c r="AB11" s="3">
        <v>10.28571429</v>
      </c>
      <c r="AC11" s="3">
        <v>6</v>
      </c>
      <c r="AD11" s="3">
        <v>4.964285714</v>
      </c>
      <c r="AE11" s="3">
        <v>1.571428571</v>
      </c>
      <c r="AF11" s="3">
        <v>1.857142857</v>
      </c>
      <c r="AG11" s="3">
        <v>0.821428571</v>
      </c>
      <c r="AH11" s="3">
        <v>4.5</v>
      </c>
      <c r="AI11" s="3">
        <v>0</v>
      </c>
      <c r="AJ11" s="3">
        <v>6</v>
      </c>
      <c r="AK11" s="3">
        <v>0</v>
      </c>
      <c r="AL11" s="2" t="s">
        <v>1694</v>
      </c>
      <c r="AM11" s="3">
        <v>12</v>
      </c>
      <c r="AN11" s="3">
        <v>14</v>
      </c>
      <c r="AO11" s="4">
        <v>45368</v>
      </c>
      <c r="AP11" s="4">
        <v>45366</v>
      </c>
      <c r="AQ11" s="2" t="s">
        <v>1879</v>
      </c>
      <c r="AR11" s="2" t="s">
        <v>1454</v>
      </c>
    </row>
    <row r="12" customHeight="1" spans="1:44">
      <c r="A12" s="2" t="s">
        <v>452</v>
      </c>
      <c r="B12" s="2" t="s">
        <v>1692</v>
      </c>
      <c r="C12" s="2" t="s">
        <v>1454</v>
      </c>
      <c r="D12" s="2"/>
      <c r="E12" s="2"/>
      <c r="F12" s="2" t="s">
        <v>343</v>
      </c>
      <c r="G12" s="2" t="s">
        <v>1696</v>
      </c>
      <c r="H12" s="3">
        <v>20</v>
      </c>
      <c r="I12" s="3">
        <v>0</v>
      </c>
      <c r="J12" s="3">
        <v>13</v>
      </c>
      <c r="K12" s="3">
        <v>4</v>
      </c>
      <c r="L12" s="3">
        <v>122</v>
      </c>
      <c r="M12" s="3">
        <v>159</v>
      </c>
      <c r="N12" s="3">
        <v>0</v>
      </c>
      <c r="O12" s="46" t="s">
        <v>1888</v>
      </c>
      <c r="P12" s="3">
        <v>11538.05315</v>
      </c>
      <c r="Q12" s="3">
        <v>11538.05315</v>
      </c>
      <c r="R12" s="3">
        <v>0</v>
      </c>
      <c r="S12" s="3">
        <v>1</v>
      </c>
      <c r="T12" s="3">
        <v>2</v>
      </c>
      <c r="U12" s="3">
        <v>0</v>
      </c>
      <c r="V12" s="3">
        <v>0</v>
      </c>
      <c r="W12" s="3">
        <v>0</v>
      </c>
      <c r="X12" s="3">
        <v>120</v>
      </c>
      <c r="Y12" s="3">
        <v>120</v>
      </c>
      <c r="Z12" s="3">
        <v>72.566372</v>
      </c>
      <c r="AA12" s="3">
        <v>145.132744</v>
      </c>
      <c r="AB12" s="3">
        <v>79.5</v>
      </c>
      <c r="AC12" s="3">
        <v>79.5</v>
      </c>
      <c r="AD12" s="3">
        <v>18.5</v>
      </c>
      <c r="AE12" s="3">
        <v>10</v>
      </c>
      <c r="AF12" s="3">
        <v>6.5</v>
      </c>
      <c r="AG12" s="3">
        <v>2</v>
      </c>
      <c r="AH12" s="3">
        <v>4.5</v>
      </c>
      <c r="AI12" s="3">
        <v>147</v>
      </c>
      <c r="AJ12" s="3">
        <v>6</v>
      </c>
      <c r="AK12" s="3">
        <v>10667.25668</v>
      </c>
      <c r="AL12" s="2" t="s">
        <v>1710</v>
      </c>
      <c r="AM12" s="3">
        <v>0</v>
      </c>
      <c r="AN12" s="3">
        <v>2</v>
      </c>
      <c r="AO12" s="4">
        <v>46268</v>
      </c>
      <c r="AP12" s="4">
        <v>46277</v>
      </c>
      <c r="AQ12" s="2" t="s">
        <v>1879</v>
      </c>
      <c r="AR12" s="2" t="s">
        <v>1454</v>
      </c>
    </row>
    <row r="13" customHeight="1" spans="1:44">
      <c r="A13" s="2" t="s">
        <v>500</v>
      </c>
      <c r="B13" s="2" t="s">
        <v>1692</v>
      </c>
      <c r="C13" s="2" t="s">
        <v>1454</v>
      </c>
      <c r="D13" s="2"/>
      <c r="E13" s="2"/>
      <c r="F13" s="2" t="s">
        <v>1880</v>
      </c>
      <c r="G13" s="2" t="s">
        <v>1696</v>
      </c>
      <c r="H13" s="3">
        <v>0</v>
      </c>
      <c r="I13" s="3">
        <v>0</v>
      </c>
      <c r="J13" s="3">
        <v>49</v>
      </c>
      <c r="K13" s="3">
        <v>1</v>
      </c>
      <c r="L13" s="3">
        <v>108</v>
      </c>
      <c r="M13" s="3">
        <v>158</v>
      </c>
      <c r="N13" s="3">
        <v>0</v>
      </c>
      <c r="O13" s="46" t="s">
        <v>1129</v>
      </c>
      <c r="P13" s="3">
        <v>8249.557146</v>
      </c>
      <c r="Q13" s="3">
        <v>8249.557146</v>
      </c>
      <c r="R13" s="3">
        <v>2</v>
      </c>
      <c r="S13" s="3">
        <v>3</v>
      </c>
      <c r="T13" s="3">
        <v>7</v>
      </c>
      <c r="U13" s="3">
        <v>6</v>
      </c>
      <c r="V13" s="3">
        <v>8</v>
      </c>
      <c r="W13" s="3">
        <v>0</v>
      </c>
      <c r="X13" s="3">
        <v>0</v>
      </c>
      <c r="Y13" s="3">
        <v>0</v>
      </c>
      <c r="Z13" s="3">
        <v>52.212387</v>
      </c>
      <c r="AA13" s="3">
        <v>365.486709</v>
      </c>
      <c r="AB13" s="3">
        <v>22.57142857</v>
      </c>
      <c r="AC13" s="3">
        <v>22.57142857</v>
      </c>
      <c r="AD13" s="3">
        <v>7.142857143</v>
      </c>
      <c r="AE13" s="3">
        <v>0</v>
      </c>
      <c r="AF13" s="3">
        <v>7</v>
      </c>
      <c r="AG13" s="3">
        <v>0.142857143</v>
      </c>
      <c r="AH13" s="3">
        <v>4.5</v>
      </c>
      <c r="AI13" s="3">
        <v>116</v>
      </c>
      <c r="AJ13" s="3">
        <v>6</v>
      </c>
      <c r="AK13" s="3">
        <v>6056.636892</v>
      </c>
      <c r="AL13" s="2" t="s">
        <v>1694</v>
      </c>
      <c r="AM13" s="3">
        <v>0</v>
      </c>
      <c r="AN13" s="3">
        <v>7</v>
      </c>
      <c r="AO13" s="4">
        <v>45368</v>
      </c>
      <c r="AP13" s="4">
        <v>45351</v>
      </c>
      <c r="AQ13" s="2" t="s">
        <v>1879</v>
      </c>
      <c r="AR13" s="2" t="s">
        <v>1454</v>
      </c>
    </row>
    <row r="14" customHeight="1" spans="1:44">
      <c r="A14" s="2" t="s">
        <v>215</v>
      </c>
      <c r="B14" s="2" t="s">
        <v>1692</v>
      </c>
      <c r="C14" s="2" t="s">
        <v>1454</v>
      </c>
      <c r="D14" s="2"/>
      <c r="E14" s="2"/>
      <c r="F14" s="2" t="s">
        <v>1878</v>
      </c>
      <c r="G14" s="2" t="s">
        <v>1696</v>
      </c>
      <c r="H14" s="3">
        <v>34</v>
      </c>
      <c r="I14" s="3">
        <v>18</v>
      </c>
      <c r="J14" s="3">
        <v>36</v>
      </c>
      <c r="K14" s="3">
        <v>7</v>
      </c>
      <c r="L14" s="3">
        <v>60</v>
      </c>
      <c r="M14" s="3">
        <v>155</v>
      </c>
      <c r="N14" s="3">
        <v>60</v>
      </c>
      <c r="O14" s="46" t="s">
        <v>1226</v>
      </c>
      <c r="P14" s="3">
        <v>14405.58716</v>
      </c>
      <c r="Q14" s="3">
        <v>19981.94348</v>
      </c>
      <c r="R14" s="3">
        <v>0</v>
      </c>
      <c r="S14" s="3">
        <v>4</v>
      </c>
      <c r="T14" s="3">
        <v>9</v>
      </c>
      <c r="U14" s="3">
        <v>26</v>
      </c>
      <c r="V14" s="3">
        <v>10</v>
      </c>
      <c r="W14" s="3">
        <v>48</v>
      </c>
      <c r="X14" s="3">
        <v>48</v>
      </c>
      <c r="Y14" s="3">
        <v>48</v>
      </c>
      <c r="Z14" s="3">
        <v>92.939272</v>
      </c>
      <c r="AA14" s="3">
        <v>836.453448</v>
      </c>
      <c r="AB14" s="3">
        <v>23.88888889</v>
      </c>
      <c r="AC14" s="3">
        <v>17.22222222</v>
      </c>
      <c r="AD14" s="3">
        <v>10.55555556</v>
      </c>
      <c r="AE14" s="3">
        <v>3.777777778</v>
      </c>
      <c r="AF14" s="3">
        <v>4</v>
      </c>
      <c r="AG14" s="3">
        <v>0.777777778</v>
      </c>
      <c r="AH14" s="3">
        <v>4.5</v>
      </c>
      <c r="AI14" s="3">
        <v>101</v>
      </c>
      <c r="AJ14" s="3">
        <v>6</v>
      </c>
      <c r="AK14" s="3">
        <v>9386.866472</v>
      </c>
      <c r="AL14" s="2" t="s">
        <v>1714</v>
      </c>
      <c r="AM14" s="3">
        <v>2</v>
      </c>
      <c r="AN14" s="3">
        <v>4</v>
      </c>
      <c r="AO14" s="4">
        <v>46184</v>
      </c>
      <c r="AP14" s="4">
        <v>44803</v>
      </c>
      <c r="AQ14" s="2" t="s">
        <v>1879</v>
      </c>
      <c r="AR14" s="2" t="s">
        <v>1454</v>
      </c>
    </row>
    <row r="15" customHeight="1" spans="1:44">
      <c r="A15" s="2" t="s">
        <v>233</v>
      </c>
      <c r="B15" s="2" t="s">
        <v>1692</v>
      </c>
      <c r="C15" s="2" t="s">
        <v>1454</v>
      </c>
      <c r="D15" s="2"/>
      <c r="E15" s="2"/>
      <c r="F15" s="2" t="s">
        <v>1878</v>
      </c>
      <c r="G15" s="2" t="s">
        <v>1696</v>
      </c>
      <c r="H15" s="3">
        <v>12</v>
      </c>
      <c r="I15" s="3">
        <v>7</v>
      </c>
      <c r="J15" s="3">
        <v>53</v>
      </c>
      <c r="K15" s="3">
        <v>28</v>
      </c>
      <c r="L15" s="3">
        <v>54</v>
      </c>
      <c r="M15" s="3">
        <v>154</v>
      </c>
      <c r="N15" s="3">
        <v>140</v>
      </c>
      <c r="O15" s="46" t="s">
        <v>1079</v>
      </c>
      <c r="P15" s="3">
        <v>8649.878006</v>
      </c>
      <c r="Q15" s="3">
        <v>16513.40347</v>
      </c>
      <c r="R15" s="3">
        <v>7</v>
      </c>
      <c r="S15" s="3">
        <v>19</v>
      </c>
      <c r="T15" s="3">
        <v>29</v>
      </c>
      <c r="U15" s="3">
        <v>28</v>
      </c>
      <c r="V15" s="3">
        <v>19</v>
      </c>
      <c r="W15" s="3">
        <v>0</v>
      </c>
      <c r="X15" s="3">
        <v>0</v>
      </c>
      <c r="Y15" s="3">
        <v>0</v>
      </c>
      <c r="Z15" s="3">
        <v>56.168039</v>
      </c>
      <c r="AA15" s="3">
        <v>1628.873131</v>
      </c>
      <c r="AB15" s="3">
        <v>10.13793103</v>
      </c>
      <c r="AC15" s="3">
        <v>5.310344828</v>
      </c>
      <c r="AD15" s="3">
        <v>3.448275862</v>
      </c>
      <c r="AE15" s="3">
        <v>0.413793103</v>
      </c>
      <c r="AF15" s="3">
        <v>1.827586207</v>
      </c>
      <c r="AG15" s="3">
        <v>0.965517241</v>
      </c>
      <c r="AH15" s="3">
        <v>4.5</v>
      </c>
      <c r="AI15" s="3">
        <v>0</v>
      </c>
      <c r="AJ15" s="3">
        <v>6</v>
      </c>
      <c r="AK15" s="3">
        <v>0</v>
      </c>
      <c r="AL15" s="2" t="s">
        <v>1694</v>
      </c>
      <c r="AM15" s="3">
        <v>19</v>
      </c>
      <c r="AN15" s="3">
        <v>7</v>
      </c>
      <c r="AO15" s="4">
        <v>46203</v>
      </c>
      <c r="AP15" s="4">
        <v>45704</v>
      </c>
      <c r="AQ15" s="2" t="s">
        <v>1879</v>
      </c>
      <c r="AR15" s="2" t="s">
        <v>1454</v>
      </c>
    </row>
    <row r="16" customHeight="1" spans="1:44">
      <c r="A16" s="2" t="s">
        <v>476</v>
      </c>
      <c r="B16" s="2" t="s">
        <v>1692</v>
      </c>
      <c r="C16" s="2" t="s">
        <v>1454</v>
      </c>
      <c r="D16" s="2"/>
      <c r="E16" s="2"/>
      <c r="F16" s="2" t="s">
        <v>1885</v>
      </c>
      <c r="G16" s="2" t="s">
        <v>1696</v>
      </c>
      <c r="H16" s="3">
        <v>0</v>
      </c>
      <c r="I16" s="3">
        <v>0</v>
      </c>
      <c r="J16" s="3">
        <v>68</v>
      </c>
      <c r="K16" s="3">
        <v>48</v>
      </c>
      <c r="L16" s="3">
        <v>33</v>
      </c>
      <c r="M16" s="3">
        <v>149</v>
      </c>
      <c r="N16" s="3">
        <v>56</v>
      </c>
      <c r="O16" s="46" t="s">
        <v>1889</v>
      </c>
      <c r="P16" s="3">
        <v>11875.16113</v>
      </c>
      <c r="Q16" s="3">
        <v>16338.30894</v>
      </c>
      <c r="R16" s="3">
        <v>3</v>
      </c>
      <c r="S16" s="3">
        <v>10</v>
      </c>
      <c r="T16" s="3">
        <v>17</v>
      </c>
      <c r="U16" s="3">
        <v>19</v>
      </c>
      <c r="V16" s="3">
        <v>21</v>
      </c>
      <c r="W16" s="3">
        <v>0</v>
      </c>
      <c r="X16" s="3">
        <v>48</v>
      </c>
      <c r="Y16" s="3">
        <v>48</v>
      </c>
      <c r="Z16" s="3">
        <v>79.699068</v>
      </c>
      <c r="AA16" s="3">
        <v>1354.884156</v>
      </c>
      <c r="AB16" s="3">
        <v>12.05882353</v>
      </c>
      <c r="AC16" s="3">
        <v>8.764705882</v>
      </c>
      <c r="AD16" s="3">
        <v>6.823529412</v>
      </c>
      <c r="AE16" s="3">
        <v>0</v>
      </c>
      <c r="AF16" s="3">
        <v>4</v>
      </c>
      <c r="AG16" s="3">
        <v>2.823529412</v>
      </c>
      <c r="AH16" s="3">
        <v>4.5</v>
      </c>
      <c r="AI16" s="3">
        <v>47</v>
      </c>
      <c r="AJ16" s="3">
        <v>6</v>
      </c>
      <c r="AK16" s="3">
        <v>3745.856196</v>
      </c>
      <c r="AL16" s="2" t="s">
        <v>1694</v>
      </c>
      <c r="AM16" s="3">
        <v>0</v>
      </c>
      <c r="AN16" s="3">
        <v>16</v>
      </c>
      <c r="AO16" s="4">
        <v>45368</v>
      </c>
      <c r="AP16" s="4">
        <v>45351</v>
      </c>
      <c r="AQ16" s="2" t="s">
        <v>1879</v>
      </c>
      <c r="AR16" s="2" t="s">
        <v>1454</v>
      </c>
    </row>
    <row r="17" customHeight="1" spans="1:44">
      <c r="A17" s="2" t="s">
        <v>60</v>
      </c>
      <c r="B17" s="2" t="s">
        <v>1692</v>
      </c>
      <c r="C17" s="2" t="s">
        <v>1454</v>
      </c>
      <c r="D17" s="2"/>
      <c r="E17" s="2"/>
      <c r="F17" s="2" t="s">
        <v>1880</v>
      </c>
      <c r="G17" s="2" t="s">
        <v>1696</v>
      </c>
      <c r="H17" s="3">
        <v>23</v>
      </c>
      <c r="I17" s="3">
        <v>0</v>
      </c>
      <c r="J17" s="3">
        <v>3</v>
      </c>
      <c r="K17" s="3">
        <v>21</v>
      </c>
      <c r="L17" s="3">
        <v>99</v>
      </c>
      <c r="M17" s="3">
        <v>146</v>
      </c>
      <c r="N17" s="3">
        <v>0</v>
      </c>
      <c r="O17" s="46" t="s">
        <v>1890</v>
      </c>
      <c r="P17" s="3">
        <v>6848.937964</v>
      </c>
      <c r="Q17" s="3">
        <v>6848.937964</v>
      </c>
      <c r="R17" s="3">
        <v>3</v>
      </c>
      <c r="S17" s="3">
        <v>3</v>
      </c>
      <c r="T17" s="3">
        <v>9</v>
      </c>
      <c r="U17" s="3">
        <v>10</v>
      </c>
      <c r="V17" s="3">
        <v>28</v>
      </c>
      <c r="W17" s="3">
        <v>80</v>
      </c>
      <c r="X17" s="3">
        <v>80</v>
      </c>
      <c r="Y17" s="3">
        <v>80</v>
      </c>
      <c r="Z17" s="3">
        <v>46.910534</v>
      </c>
      <c r="AA17" s="3">
        <v>422.194806</v>
      </c>
      <c r="AB17" s="3">
        <v>16.22222222</v>
      </c>
      <c r="AC17" s="3">
        <v>16.22222222</v>
      </c>
      <c r="AD17" s="3">
        <v>5.222222222</v>
      </c>
      <c r="AE17" s="3">
        <v>2.555555556</v>
      </c>
      <c r="AF17" s="3">
        <v>0.333333333</v>
      </c>
      <c r="AG17" s="3">
        <v>2.333333333</v>
      </c>
      <c r="AH17" s="3">
        <v>4.5</v>
      </c>
      <c r="AI17" s="3">
        <v>92</v>
      </c>
      <c r="AJ17" s="3">
        <v>6</v>
      </c>
      <c r="AK17" s="3">
        <v>4315.769128</v>
      </c>
      <c r="AL17" s="2" t="s">
        <v>1694</v>
      </c>
      <c r="AM17" s="3">
        <v>1</v>
      </c>
      <c r="AN17" s="3">
        <v>8</v>
      </c>
      <c r="AO17" s="4">
        <v>46206</v>
      </c>
      <c r="AP17" s="4">
        <v>45758</v>
      </c>
      <c r="AQ17" s="2" t="s">
        <v>1879</v>
      </c>
      <c r="AR17" s="2" t="s">
        <v>1454</v>
      </c>
    </row>
    <row r="18" customHeight="1" spans="1:44">
      <c r="A18" s="2" t="s">
        <v>276</v>
      </c>
      <c r="B18" s="2" t="s">
        <v>1692</v>
      </c>
      <c r="C18" s="2" t="s">
        <v>1454</v>
      </c>
      <c r="D18" s="2"/>
      <c r="E18" s="2"/>
      <c r="F18" s="2" t="s">
        <v>1878</v>
      </c>
      <c r="G18" s="2" t="s">
        <v>1696</v>
      </c>
      <c r="H18" s="3">
        <v>21</v>
      </c>
      <c r="I18" s="3">
        <v>0</v>
      </c>
      <c r="J18" s="3">
        <v>39</v>
      </c>
      <c r="K18" s="3">
        <v>31</v>
      </c>
      <c r="L18" s="3">
        <v>52</v>
      </c>
      <c r="M18" s="3">
        <v>143</v>
      </c>
      <c r="N18" s="3">
        <v>160</v>
      </c>
      <c r="O18" s="46" t="s">
        <v>1891</v>
      </c>
      <c r="P18" s="3">
        <v>6707.352509</v>
      </c>
      <c r="Q18" s="3">
        <v>14212.08259</v>
      </c>
      <c r="R18" s="3">
        <v>3</v>
      </c>
      <c r="S18" s="3">
        <v>7</v>
      </c>
      <c r="T18" s="3">
        <v>30</v>
      </c>
      <c r="U18" s="3">
        <v>26</v>
      </c>
      <c r="V18" s="3">
        <v>19</v>
      </c>
      <c r="W18" s="3">
        <v>0</v>
      </c>
      <c r="X18" s="3">
        <v>0</v>
      </c>
      <c r="Y18" s="3">
        <v>0</v>
      </c>
      <c r="Z18" s="3">
        <v>46.904563</v>
      </c>
      <c r="AA18" s="3">
        <v>1407.13689</v>
      </c>
      <c r="AB18" s="3">
        <v>10.1</v>
      </c>
      <c r="AC18" s="3">
        <v>4.766666667</v>
      </c>
      <c r="AD18" s="3">
        <v>3.033333333</v>
      </c>
      <c r="AE18" s="3">
        <v>0.7</v>
      </c>
      <c r="AF18" s="3">
        <v>1.3</v>
      </c>
      <c r="AG18" s="3">
        <v>1.033333333</v>
      </c>
      <c r="AH18" s="3">
        <v>4.5</v>
      </c>
      <c r="AI18" s="3">
        <v>0</v>
      </c>
      <c r="AJ18" s="3">
        <v>6</v>
      </c>
      <c r="AK18" s="3">
        <v>0</v>
      </c>
      <c r="AL18" s="2" t="s">
        <v>1694</v>
      </c>
      <c r="AM18" s="3">
        <v>11</v>
      </c>
      <c r="AN18" s="3">
        <v>18</v>
      </c>
      <c r="AO18" s="4">
        <v>46044</v>
      </c>
      <c r="AP18" s="4">
        <v>45757</v>
      </c>
      <c r="AQ18" s="2" t="s">
        <v>1879</v>
      </c>
      <c r="AR18" s="2" t="s">
        <v>1454</v>
      </c>
    </row>
    <row r="19" customHeight="1" spans="1:44">
      <c r="A19" s="2" t="s">
        <v>142</v>
      </c>
      <c r="B19" s="2" t="s">
        <v>1692</v>
      </c>
      <c r="C19" s="2" t="s">
        <v>1454</v>
      </c>
      <c r="D19" s="2"/>
      <c r="E19" s="2"/>
      <c r="F19" s="2" t="s">
        <v>1880</v>
      </c>
      <c r="G19" s="2" t="s">
        <v>1696</v>
      </c>
      <c r="H19" s="3">
        <v>19</v>
      </c>
      <c r="I19" s="3">
        <v>0</v>
      </c>
      <c r="J19" s="3">
        <v>37</v>
      </c>
      <c r="K19" s="3">
        <v>12</v>
      </c>
      <c r="L19" s="3">
        <v>72</v>
      </c>
      <c r="M19" s="3">
        <v>140</v>
      </c>
      <c r="N19" s="3">
        <v>0</v>
      </c>
      <c r="O19" s="46" t="s">
        <v>1078</v>
      </c>
      <c r="P19" s="3">
        <v>26369.65422</v>
      </c>
      <c r="Q19" s="3">
        <v>26369.65422</v>
      </c>
      <c r="R19" s="3">
        <v>4</v>
      </c>
      <c r="S19" s="3">
        <v>9</v>
      </c>
      <c r="T19" s="3">
        <v>24</v>
      </c>
      <c r="U19" s="3">
        <v>10</v>
      </c>
      <c r="V19" s="3">
        <v>6</v>
      </c>
      <c r="W19" s="3">
        <v>0</v>
      </c>
      <c r="X19" s="3">
        <v>0</v>
      </c>
      <c r="Y19" s="3">
        <v>0</v>
      </c>
      <c r="Z19" s="3">
        <v>188.354673</v>
      </c>
      <c r="AA19" s="3">
        <v>4520.512152</v>
      </c>
      <c r="AB19" s="3">
        <v>5.833333333</v>
      </c>
      <c r="AC19" s="3">
        <v>5.833333333</v>
      </c>
      <c r="AD19" s="3">
        <v>2.833333333</v>
      </c>
      <c r="AE19" s="3">
        <v>0.791666667</v>
      </c>
      <c r="AF19" s="3">
        <v>1.541666667</v>
      </c>
      <c r="AG19" s="3">
        <v>0.5</v>
      </c>
      <c r="AH19" s="3">
        <v>4.5</v>
      </c>
      <c r="AI19" s="3">
        <v>0</v>
      </c>
      <c r="AJ19" s="3">
        <v>6</v>
      </c>
      <c r="AK19" s="3">
        <v>0</v>
      </c>
      <c r="AL19" s="2" t="s">
        <v>1694</v>
      </c>
      <c r="AM19" s="3">
        <v>2</v>
      </c>
      <c r="AN19" s="3">
        <v>19</v>
      </c>
      <c r="AO19" s="4">
        <v>45368</v>
      </c>
      <c r="AP19" s="4">
        <v>45351</v>
      </c>
      <c r="AQ19" s="2" t="s">
        <v>1879</v>
      </c>
      <c r="AR19" s="2" t="s">
        <v>1454</v>
      </c>
    </row>
    <row r="20" customHeight="1" spans="1:44">
      <c r="A20" s="2" t="s">
        <v>193</v>
      </c>
      <c r="B20" s="2" t="s">
        <v>1692</v>
      </c>
      <c r="C20" s="2" t="s">
        <v>1454</v>
      </c>
      <c r="D20" s="2"/>
      <c r="E20" s="2"/>
      <c r="F20" s="2" t="s">
        <v>1878</v>
      </c>
      <c r="G20" s="2" t="s">
        <v>1696</v>
      </c>
      <c r="H20" s="3">
        <v>20</v>
      </c>
      <c r="I20" s="3">
        <v>20</v>
      </c>
      <c r="J20" s="3">
        <v>14</v>
      </c>
      <c r="K20" s="3">
        <v>83</v>
      </c>
      <c r="L20" s="3">
        <v>1</v>
      </c>
      <c r="M20" s="3">
        <v>138</v>
      </c>
      <c r="N20" s="3">
        <v>0</v>
      </c>
      <c r="O20" s="46" t="s">
        <v>1094</v>
      </c>
      <c r="P20" s="3">
        <v>7083.381162</v>
      </c>
      <c r="Q20" s="3">
        <v>7083.381162</v>
      </c>
      <c r="R20" s="3">
        <v>1</v>
      </c>
      <c r="S20" s="3">
        <v>5</v>
      </c>
      <c r="T20" s="3">
        <v>17</v>
      </c>
      <c r="U20" s="3">
        <v>16</v>
      </c>
      <c r="V20" s="3">
        <v>9</v>
      </c>
      <c r="W20" s="3">
        <v>0</v>
      </c>
      <c r="X20" s="3">
        <v>0</v>
      </c>
      <c r="Y20" s="3">
        <v>0</v>
      </c>
      <c r="Z20" s="3">
        <v>51.328849</v>
      </c>
      <c r="AA20" s="3">
        <v>872.590433</v>
      </c>
      <c r="AB20" s="3">
        <v>8.117647059</v>
      </c>
      <c r="AC20" s="3">
        <v>8.117647059</v>
      </c>
      <c r="AD20" s="3">
        <v>8.058823529</v>
      </c>
      <c r="AE20" s="3">
        <v>1.176470588</v>
      </c>
      <c r="AF20" s="3">
        <v>0.823529412</v>
      </c>
      <c r="AG20" s="3">
        <v>4.882352941</v>
      </c>
      <c r="AH20" s="3">
        <v>4.5</v>
      </c>
      <c r="AI20" s="3">
        <v>36</v>
      </c>
      <c r="AJ20" s="3">
        <v>6</v>
      </c>
      <c r="AK20" s="3">
        <v>1847.838564</v>
      </c>
      <c r="AL20" s="2" t="s">
        <v>1694</v>
      </c>
      <c r="AM20" s="3">
        <v>0</v>
      </c>
      <c r="AN20" s="3">
        <v>17</v>
      </c>
      <c r="AO20" s="4">
        <v>46206</v>
      </c>
      <c r="AP20" s="4">
        <v>45757</v>
      </c>
      <c r="AQ20" s="2" t="s">
        <v>1879</v>
      </c>
      <c r="AR20" s="2" t="s">
        <v>1454</v>
      </c>
    </row>
    <row r="21" customHeight="1" spans="1:44">
      <c r="A21" s="2" t="s">
        <v>467</v>
      </c>
      <c r="B21" s="2" t="s">
        <v>1692</v>
      </c>
      <c r="C21" s="2" t="s">
        <v>1454</v>
      </c>
      <c r="D21" s="2"/>
      <c r="E21" s="2"/>
      <c r="F21" s="2" t="s">
        <v>343</v>
      </c>
      <c r="G21" s="2" t="s">
        <v>1696</v>
      </c>
      <c r="H21" s="3">
        <v>8</v>
      </c>
      <c r="I21" s="3">
        <v>0</v>
      </c>
      <c r="J21" s="3">
        <v>2</v>
      </c>
      <c r="K21" s="3">
        <v>4</v>
      </c>
      <c r="L21" s="3">
        <v>124</v>
      </c>
      <c r="M21" s="3">
        <v>138</v>
      </c>
      <c r="N21" s="3">
        <v>0</v>
      </c>
      <c r="O21" s="46" t="s">
        <v>1094</v>
      </c>
      <c r="P21" s="3">
        <v>6228.318534</v>
      </c>
      <c r="Q21" s="3">
        <v>6228.318534</v>
      </c>
      <c r="R21" s="3">
        <v>7</v>
      </c>
      <c r="S21" s="3">
        <v>12</v>
      </c>
      <c r="T21" s="3">
        <v>19</v>
      </c>
      <c r="U21" s="3">
        <v>2</v>
      </c>
      <c r="V21" s="3">
        <v>0</v>
      </c>
      <c r="W21" s="3">
        <v>60</v>
      </c>
      <c r="X21" s="3">
        <v>60</v>
      </c>
      <c r="Y21" s="3">
        <v>120</v>
      </c>
      <c r="Z21" s="3">
        <v>45.132743</v>
      </c>
      <c r="AA21" s="3">
        <v>857.522117</v>
      </c>
      <c r="AB21" s="3">
        <v>7.263157895</v>
      </c>
      <c r="AC21" s="3">
        <v>7.263157895</v>
      </c>
      <c r="AD21" s="3">
        <v>0.736842105</v>
      </c>
      <c r="AE21" s="3">
        <v>0.421052632</v>
      </c>
      <c r="AF21" s="3">
        <v>0.105263158</v>
      </c>
      <c r="AG21" s="3">
        <v>0.210526316</v>
      </c>
      <c r="AH21" s="3">
        <v>4.5</v>
      </c>
      <c r="AI21" s="3">
        <v>24</v>
      </c>
      <c r="AJ21" s="3">
        <v>6</v>
      </c>
      <c r="AK21" s="3">
        <v>1083.185832</v>
      </c>
      <c r="AL21" s="2" t="s">
        <v>1710</v>
      </c>
      <c r="AM21" s="3">
        <v>10</v>
      </c>
      <c r="AN21" s="3">
        <v>9</v>
      </c>
      <c r="AO21" s="4">
        <v>46264</v>
      </c>
      <c r="AP21" s="4">
        <v>46275</v>
      </c>
      <c r="AQ21" s="2" t="s">
        <v>1879</v>
      </c>
      <c r="AR21" s="2" t="s">
        <v>1454</v>
      </c>
    </row>
    <row r="22" customHeight="1" spans="1:44">
      <c r="A22" s="2" t="s">
        <v>246</v>
      </c>
      <c r="B22" s="2" t="s">
        <v>1692</v>
      </c>
      <c r="C22" s="2" t="s">
        <v>1454</v>
      </c>
      <c r="D22" s="2"/>
      <c r="E22" s="2"/>
      <c r="F22" s="2" t="s">
        <v>1882</v>
      </c>
      <c r="G22" s="2" t="s">
        <v>1696</v>
      </c>
      <c r="H22" s="3">
        <v>22</v>
      </c>
      <c r="I22" s="3">
        <v>21</v>
      </c>
      <c r="J22" s="3">
        <v>47</v>
      </c>
      <c r="K22" s="3">
        <v>36</v>
      </c>
      <c r="L22" s="3">
        <v>10</v>
      </c>
      <c r="M22" s="3">
        <v>136</v>
      </c>
      <c r="N22" s="3">
        <v>150</v>
      </c>
      <c r="O22" s="46" t="s">
        <v>1892</v>
      </c>
      <c r="P22" s="3">
        <v>13240.8429</v>
      </c>
      <c r="Q22" s="3">
        <v>27844.71375</v>
      </c>
      <c r="R22" s="3">
        <v>3</v>
      </c>
      <c r="S22" s="3">
        <v>7</v>
      </c>
      <c r="T22" s="3">
        <v>19</v>
      </c>
      <c r="U22" s="3">
        <v>31</v>
      </c>
      <c r="V22" s="3">
        <v>28</v>
      </c>
      <c r="W22" s="3">
        <v>0</v>
      </c>
      <c r="X22" s="3">
        <v>0</v>
      </c>
      <c r="Y22" s="3">
        <v>0</v>
      </c>
      <c r="Z22" s="3">
        <v>97.359139</v>
      </c>
      <c r="AA22" s="3">
        <v>1849.823641</v>
      </c>
      <c r="AB22" s="3">
        <v>15.05263158</v>
      </c>
      <c r="AC22" s="3">
        <v>7.157894737</v>
      </c>
      <c r="AD22" s="3">
        <v>6.631578947</v>
      </c>
      <c r="AE22" s="3">
        <v>1.157894737</v>
      </c>
      <c r="AF22" s="3">
        <v>2.473684211</v>
      </c>
      <c r="AG22" s="3">
        <v>1.894736842</v>
      </c>
      <c r="AH22" s="3">
        <v>4.5</v>
      </c>
      <c r="AI22" s="3">
        <v>22</v>
      </c>
      <c r="AJ22" s="3">
        <v>6</v>
      </c>
      <c r="AK22" s="3">
        <v>2141.901058</v>
      </c>
      <c r="AL22" s="2" t="s">
        <v>1694</v>
      </c>
      <c r="AM22" s="3">
        <v>6</v>
      </c>
      <c r="AN22" s="3">
        <v>10</v>
      </c>
      <c r="AO22" s="4">
        <v>45368</v>
      </c>
      <c r="AP22" s="4">
        <v>45351</v>
      </c>
      <c r="AQ22" s="2" t="s">
        <v>1879</v>
      </c>
      <c r="AR22" s="2" t="s">
        <v>1454</v>
      </c>
    </row>
    <row r="23" customHeight="1" spans="1:44">
      <c r="A23" s="2" t="s">
        <v>169</v>
      </c>
      <c r="B23" s="2" t="s">
        <v>1692</v>
      </c>
      <c r="C23" s="2" t="s">
        <v>1454</v>
      </c>
      <c r="D23" s="2"/>
      <c r="E23" s="2"/>
      <c r="F23" s="2" t="s">
        <v>1878</v>
      </c>
      <c r="G23" s="2" t="s">
        <v>1696</v>
      </c>
      <c r="H23" s="3">
        <v>24</v>
      </c>
      <c r="I23" s="3">
        <v>40</v>
      </c>
      <c r="J23" s="3">
        <v>1</v>
      </c>
      <c r="K23" s="3">
        <v>36</v>
      </c>
      <c r="L23" s="3">
        <v>34</v>
      </c>
      <c r="M23" s="3">
        <v>135</v>
      </c>
      <c r="N23" s="3">
        <v>0</v>
      </c>
      <c r="O23" s="46" t="s">
        <v>982</v>
      </c>
      <c r="P23" s="3">
        <v>10398.7071</v>
      </c>
      <c r="Q23" s="3">
        <v>10398.7071</v>
      </c>
      <c r="R23" s="3">
        <v>2</v>
      </c>
      <c r="S23" s="3">
        <v>3</v>
      </c>
      <c r="T23" s="3">
        <v>10</v>
      </c>
      <c r="U23" s="3">
        <v>15</v>
      </c>
      <c r="V23" s="3">
        <v>16</v>
      </c>
      <c r="W23" s="3">
        <v>0</v>
      </c>
      <c r="X23" s="3">
        <v>0</v>
      </c>
      <c r="Y23" s="3">
        <v>0</v>
      </c>
      <c r="Z23" s="3">
        <v>77.02746</v>
      </c>
      <c r="AA23" s="3">
        <v>770.2746</v>
      </c>
      <c r="AB23" s="3">
        <v>13.5</v>
      </c>
      <c r="AC23" s="3">
        <v>13.5</v>
      </c>
      <c r="AD23" s="3">
        <v>10.1</v>
      </c>
      <c r="AE23" s="3">
        <v>2.4</v>
      </c>
      <c r="AF23" s="3">
        <v>0.1</v>
      </c>
      <c r="AG23" s="3">
        <v>3.6</v>
      </c>
      <c r="AH23" s="3">
        <v>4.5</v>
      </c>
      <c r="AI23" s="3">
        <v>75</v>
      </c>
      <c r="AJ23" s="3">
        <v>6</v>
      </c>
      <c r="AK23" s="3">
        <v>5777.0595</v>
      </c>
      <c r="AL23" s="2" t="s">
        <v>1694</v>
      </c>
      <c r="AM23" s="3">
        <v>2</v>
      </c>
      <c r="AN23" s="3">
        <v>6</v>
      </c>
      <c r="AO23" s="4">
        <v>46044</v>
      </c>
      <c r="AP23" s="4">
        <v>45770</v>
      </c>
      <c r="AQ23" s="2" t="s">
        <v>1879</v>
      </c>
      <c r="AR23" s="2" t="s">
        <v>1454</v>
      </c>
    </row>
    <row r="24" customHeight="1" spans="1:44">
      <c r="A24" s="2" t="s">
        <v>124</v>
      </c>
      <c r="B24" s="2" t="s">
        <v>1692</v>
      </c>
      <c r="C24" s="2" t="s">
        <v>1454</v>
      </c>
      <c r="D24" s="2"/>
      <c r="E24" s="2"/>
      <c r="F24" s="2" t="s">
        <v>1878</v>
      </c>
      <c r="G24" s="2" t="s">
        <v>1696</v>
      </c>
      <c r="H24" s="3">
        <v>29</v>
      </c>
      <c r="I24" s="3">
        <v>0</v>
      </c>
      <c r="J24" s="3">
        <v>0</v>
      </c>
      <c r="K24" s="3">
        <v>83</v>
      </c>
      <c r="L24" s="3">
        <v>20</v>
      </c>
      <c r="M24" s="3">
        <v>132</v>
      </c>
      <c r="N24" s="3">
        <v>160</v>
      </c>
      <c r="O24" s="46" t="s">
        <v>1893</v>
      </c>
      <c r="P24" s="3">
        <v>9571.04346</v>
      </c>
      <c r="Q24" s="3">
        <v>21172.30826</v>
      </c>
      <c r="R24" s="3">
        <v>8</v>
      </c>
      <c r="S24" s="3">
        <v>15</v>
      </c>
      <c r="T24" s="3">
        <v>33</v>
      </c>
      <c r="U24" s="3">
        <v>35</v>
      </c>
      <c r="V24" s="3">
        <v>18</v>
      </c>
      <c r="W24" s="3">
        <v>0</v>
      </c>
      <c r="X24" s="3">
        <v>0</v>
      </c>
      <c r="Y24" s="3">
        <v>40</v>
      </c>
      <c r="Z24" s="3">
        <v>72.507905</v>
      </c>
      <c r="AA24" s="3">
        <v>2392.760865</v>
      </c>
      <c r="AB24" s="3">
        <v>8.848484848</v>
      </c>
      <c r="AC24" s="3">
        <v>4</v>
      </c>
      <c r="AD24" s="3">
        <v>3.393939394</v>
      </c>
      <c r="AE24" s="3">
        <v>0.878787879</v>
      </c>
      <c r="AF24" s="3">
        <v>0</v>
      </c>
      <c r="AG24" s="3">
        <v>2.515151515</v>
      </c>
      <c r="AH24" s="3">
        <v>4.5</v>
      </c>
      <c r="AI24" s="3">
        <v>0</v>
      </c>
      <c r="AJ24" s="3">
        <v>6</v>
      </c>
      <c r="AK24" s="3">
        <v>0</v>
      </c>
      <c r="AL24" s="2" t="s">
        <v>1694</v>
      </c>
      <c r="AM24" s="3">
        <v>7</v>
      </c>
      <c r="AN24" s="3">
        <v>16</v>
      </c>
      <c r="AO24" s="4">
        <v>46012</v>
      </c>
      <c r="AP24" s="4">
        <v>45798</v>
      </c>
      <c r="AQ24" s="2" t="s">
        <v>1879</v>
      </c>
      <c r="AR24" s="2" t="s">
        <v>1454</v>
      </c>
    </row>
    <row r="25" customHeight="1" spans="1:44">
      <c r="A25" s="2" t="s">
        <v>240</v>
      </c>
      <c r="B25" s="2" t="s">
        <v>1692</v>
      </c>
      <c r="C25" s="2" t="s">
        <v>1454</v>
      </c>
      <c r="D25" s="2"/>
      <c r="E25" s="2"/>
      <c r="F25" s="2" t="s">
        <v>1878</v>
      </c>
      <c r="G25" s="2" t="s">
        <v>1696</v>
      </c>
      <c r="H25" s="3">
        <v>14</v>
      </c>
      <c r="I25" s="3">
        <v>8</v>
      </c>
      <c r="J25" s="3">
        <v>10</v>
      </c>
      <c r="K25" s="3">
        <v>6</v>
      </c>
      <c r="L25" s="3">
        <v>91</v>
      </c>
      <c r="M25" s="3">
        <v>129</v>
      </c>
      <c r="N25" s="3">
        <v>144</v>
      </c>
      <c r="O25" s="46" t="s">
        <v>1894</v>
      </c>
      <c r="P25" s="3">
        <v>10277.41091</v>
      </c>
      <c r="Q25" s="3">
        <v>21749.8696</v>
      </c>
      <c r="R25" s="3">
        <v>10</v>
      </c>
      <c r="S25" s="3">
        <v>11</v>
      </c>
      <c r="T25" s="3">
        <v>26</v>
      </c>
      <c r="U25" s="3">
        <v>24</v>
      </c>
      <c r="V25" s="3">
        <v>43</v>
      </c>
      <c r="W25" s="3">
        <v>72</v>
      </c>
      <c r="X25" s="3">
        <v>72</v>
      </c>
      <c r="Y25" s="3">
        <v>72</v>
      </c>
      <c r="Z25" s="3">
        <v>79.669852</v>
      </c>
      <c r="AA25" s="3">
        <v>2071.416152</v>
      </c>
      <c r="AB25" s="3">
        <v>10.5</v>
      </c>
      <c r="AC25" s="3">
        <v>4.961538462</v>
      </c>
      <c r="AD25" s="3">
        <v>1.461538462</v>
      </c>
      <c r="AE25" s="3">
        <v>0.538461538</v>
      </c>
      <c r="AF25" s="3">
        <v>0.384615385</v>
      </c>
      <c r="AG25" s="3">
        <v>0.230769231</v>
      </c>
      <c r="AH25" s="3">
        <v>4.5</v>
      </c>
      <c r="AI25" s="3">
        <v>0</v>
      </c>
      <c r="AJ25" s="3">
        <v>6</v>
      </c>
      <c r="AK25" s="3">
        <v>0</v>
      </c>
      <c r="AL25" s="2" t="s">
        <v>1694</v>
      </c>
      <c r="AM25" s="3">
        <v>4</v>
      </c>
      <c r="AN25" s="3">
        <v>22</v>
      </c>
      <c r="AO25" s="4">
        <v>46207</v>
      </c>
      <c r="AP25" s="4">
        <v>45770</v>
      </c>
      <c r="AQ25" s="2" t="s">
        <v>1879</v>
      </c>
      <c r="AR25" s="2" t="s">
        <v>1454</v>
      </c>
    </row>
    <row r="26" customHeight="1" spans="1:44">
      <c r="A26" s="2" t="s">
        <v>212</v>
      </c>
      <c r="B26" s="2" t="s">
        <v>1692</v>
      </c>
      <c r="C26" s="2" t="s">
        <v>1454</v>
      </c>
      <c r="D26" s="2"/>
      <c r="E26" s="2"/>
      <c r="F26" s="2" t="s">
        <v>1878</v>
      </c>
      <c r="G26" s="2" t="s">
        <v>1696</v>
      </c>
      <c r="H26" s="3">
        <v>2</v>
      </c>
      <c r="I26" s="3">
        <v>35</v>
      </c>
      <c r="J26" s="3">
        <v>15</v>
      </c>
      <c r="K26" s="3">
        <v>64</v>
      </c>
      <c r="L26" s="3">
        <v>12</v>
      </c>
      <c r="M26" s="3">
        <v>128</v>
      </c>
      <c r="N26" s="3">
        <v>128</v>
      </c>
      <c r="O26" s="46" t="s">
        <v>795</v>
      </c>
      <c r="P26" s="3">
        <v>26063.08096</v>
      </c>
      <c r="Q26" s="3">
        <v>52126.16192</v>
      </c>
      <c r="R26" s="3">
        <v>4</v>
      </c>
      <c r="S26" s="3">
        <v>8</v>
      </c>
      <c r="T26" s="3">
        <v>15</v>
      </c>
      <c r="U26" s="3">
        <v>23</v>
      </c>
      <c r="V26" s="3">
        <v>34</v>
      </c>
      <c r="W26" s="3">
        <v>0</v>
      </c>
      <c r="X26" s="3">
        <v>0</v>
      </c>
      <c r="Y26" s="3">
        <v>0</v>
      </c>
      <c r="Z26" s="3">
        <v>203.61782</v>
      </c>
      <c r="AA26" s="3">
        <v>3054.2673</v>
      </c>
      <c r="AB26" s="3">
        <v>17.06666667</v>
      </c>
      <c r="AC26" s="3">
        <v>8.533333333</v>
      </c>
      <c r="AD26" s="3">
        <v>7.733333333</v>
      </c>
      <c r="AE26" s="3">
        <v>0.133333333</v>
      </c>
      <c r="AF26" s="3">
        <v>1</v>
      </c>
      <c r="AG26" s="3">
        <v>4.266666667</v>
      </c>
      <c r="AH26" s="3">
        <v>4.5</v>
      </c>
      <c r="AI26" s="3">
        <v>38</v>
      </c>
      <c r="AJ26" s="3">
        <v>6</v>
      </c>
      <c r="AK26" s="3">
        <v>7737.47716</v>
      </c>
      <c r="AL26" s="2" t="s">
        <v>1694</v>
      </c>
      <c r="AM26" s="3">
        <v>0</v>
      </c>
      <c r="AN26" s="3">
        <v>15</v>
      </c>
      <c r="AO26" s="4">
        <v>46012</v>
      </c>
      <c r="AP26" s="4">
        <v>45368</v>
      </c>
      <c r="AQ26" s="2" t="s">
        <v>1879</v>
      </c>
      <c r="AR26" s="2" t="s">
        <v>1454</v>
      </c>
    </row>
    <row r="27" customHeight="1" spans="1:44">
      <c r="A27" s="2" t="s">
        <v>285</v>
      </c>
      <c r="B27" s="2" t="s">
        <v>1692</v>
      </c>
      <c r="C27" s="2" t="s">
        <v>1454</v>
      </c>
      <c r="D27" s="2"/>
      <c r="E27" s="2"/>
      <c r="F27" s="2" t="s">
        <v>1882</v>
      </c>
      <c r="G27" s="2" t="s">
        <v>1696</v>
      </c>
      <c r="H27" s="3">
        <v>24</v>
      </c>
      <c r="I27" s="3">
        <v>24</v>
      </c>
      <c r="J27" s="3">
        <v>13</v>
      </c>
      <c r="K27" s="3">
        <v>42</v>
      </c>
      <c r="L27" s="3">
        <v>24</v>
      </c>
      <c r="M27" s="3">
        <v>127</v>
      </c>
      <c r="N27" s="3">
        <v>96</v>
      </c>
      <c r="O27" s="46" t="s">
        <v>1895</v>
      </c>
      <c r="P27" s="3">
        <v>13725.18693</v>
      </c>
      <c r="Q27" s="3">
        <v>24100.13137</v>
      </c>
      <c r="R27" s="3">
        <v>9</v>
      </c>
      <c r="S27" s="3">
        <v>12</v>
      </c>
      <c r="T27" s="3">
        <v>18</v>
      </c>
      <c r="U27" s="3">
        <v>24</v>
      </c>
      <c r="V27" s="3">
        <v>21</v>
      </c>
      <c r="W27" s="3">
        <v>18</v>
      </c>
      <c r="X27" s="3">
        <v>18</v>
      </c>
      <c r="Y27" s="3">
        <v>18</v>
      </c>
      <c r="Z27" s="3">
        <v>108.072338</v>
      </c>
      <c r="AA27" s="3">
        <v>1945.302084</v>
      </c>
      <c r="AB27" s="3">
        <v>12.38888889</v>
      </c>
      <c r="AC27" s="3">
        <v>7.055555556</v>
      </c>
      <c r="AD27" s="3">
        <v>5.722222222</v>
      </c>
      <c r="AE27" s="3">
        <v>1.333333333</v>
      </c>
      <c r="AF27" s="3">
        <v>0.722222222</v>
      </c>
      <c r="AG27" s="3">
        <v>2.333333333</v>
      </c>
      <c r="AH27" s="3">
        <v>4.5</v>
      </c>
      <c r="AI27" s="3">
        <v>19</v>
      </c>
      <c r="AJ27" s="3">
        <v>6</v>
      </c>
      <c r="AK27" s="3">
        <v>2053.374422</v>
      </c>
      <c r="AL27" s="2" t="s">
        <v>1694</v>
      </c>
      <c r="AM27" s="3">
        <v>0</v>
      </c>
      <c r="AN27" s="3">
        <v>7</v>
      </c>
      <c r="AO27" s="4">
        <v>46012</v>
      </c>
      <c r="AP27" s="4">
        <v>45760</v>
      </c>
      <c r="AQ27" s="2" t="s">
        <v>1879</v>
      </c>
      <c r="AR27" s="2" t="s">
        <v>1454</v>
      </c>
    </row>
    <row r="28" customHeight="1" spans="1:44">
      <c r="A28" s="2" t="s">
        <v>340</v>
      </c>
      <c r="B28" s="2" t="s">
        <v>1692</v>
      </c>
      <c r="C28" s="2" t="s">
        <v>1454</v>
      </c>
      <c r="D28" s="2"/>
      <c r="E28" s="2"/>
      <c r="F28" s="2" t="s">
        <v>1885</v>
      </c>
      <c r="G28" s="2" t="s">
        <v>1696</v>
      </c>
      <c r="H28" s="3">
        <v>0</v>
      </c>
      <c r="I28" s="3">
        <v>0</v>
      </c>
      <c r="J28" s="3">
        <v>41</v>
      </c>
      <c r="K28" s="3">
        <v>30</v>
      </c>
      <c r="L28" s="3">
        <v>55</v>
      </c>
      <c r="M28" s="3">
        <v>126</v>
      </c>
      <c r="N28" s="3">
        <v>0</v>
      </c>
      <c r="O28" s="46" t="s">
        <v>938</v>
      </c>
      <c r="P28" s="3">
        <v>14718.58403</v>
      </c>
      <c r="Q28" s="3">
        <v>14718.58403</v>
      </c>
      <c r="R28" s="3">
        <v>0</v>
      </c>
      <c r="S28" s="3">
        <v>0</v>
      </c>
      <c r="T28" s="3">
        <v>0</v>
      </c>
      <c r="U28" s="3">
        <v>1</v>
      </c>
      <c r="V28" s="3">
        <v>0</v>
      </c>
      <c r="W28" s="3">
        <v>0</v>
      </c>
      <c r="X28" s="3">
        <v>72</v>
      </c>
      <c r="Y28" s="3">
        <v>72</v>
      </c>
      <c r="Z28" s="3">
        <v>116.814159</v>
      </c>
      <c r="AA28" s="3">
        <v>0</v>
      </c>
      <c r="AB28" s="3"/>
      <c r="AC28" s="3"/>
      <c r="AD28" s="3"/>
      <c r="AE28" s="3"/>
      <c r="AF28" s="3"/>
      <c r="AG28" s="3"/>
      <c r="AH28" s="3">
        <v>4.5</v>
      </c>
      <c r="AI28" s="3">
        <v>126</v>
      </c>
      <c r="AJ28" s="3">
        <v>6</v>
      </c>
      <c r="AK28" s="3">
        <v>14718.58403</v>
      </c>
      <c r="AL28" s="2" t="s">
        <v>1710</v>
      </c>
      <c r="AM28" s="3">
        <v>0</v>
      </c>
      <c r="AN28" s="3">
        <v>0</v>
      </c>
      <c r="AO28" s="2"/>
      <c r="AP28" s="4">
        <v>46233</v>
      </c>
      <c r="AQ28" s="2" t="s">
        <v>1879</v>
      </c>
      <c r="AR28" s="2" t="s">
        <v>1454</v>
      </c>
    </row>
    <row r="29" customHeight="1" spans="1:44">
      <c r="A29" s="2" t="s">
        <v>310</v>
      </c>
      <c r="B29" s="2" t="s">
        <v>1692</v>
      </c>
      <c r="C29" s="2" t="s">
        <v>1454</v>
      </c>
      <c r="D29" s="2"/>
      <c r="E29" s="2"/>
      <c r="F29" s="2" t="s">
        <v>1880</v>
      </c>
      <c r="G29" s="2" t="s">
        <v>1696</v>
      </c>
      <c r="H29" s="3">
        <v>25</v>
      </c>
      <c r="I29" s="3">
        <v>5</v>
      </c>
      <c r="J29" s="3">
        <v>10</v>
      </c>
      <c r="K29" s="3">
        <v>11</v>
      </c>
      <c r="L29" s="3">
        <v>73</v>
      </c>
      <c r="M29" s="3">
        <v>124</v>
      </c>
      <c r="N29" s="3">
        <v>0</v>
      </c>
      <c r="O29" s="46" t="s">
        <v>1896</v>
      </c>
      <c r="P29" s="3">
        <v>5246.572804</v>
      </c>
      <c r="Q29" s="3">
        <v>5246.572804</v>
      </c>
      <c r="R29" s="3">
        <v>8</v>
      </c>
      <c r="S29" s="3">
        <v>11</v>
      </c>
      <c r="T29" s="3">
        <v>15</v>
      </c>
      <c r="U29" s="3">
        <v>11</v>
      </c>
      <c r="V29" s="3">
        <v>11</v>
      </c>
      <c r="W29" s="3">
        <v>0</v>
      </c>
      <c r="X29" s="3">
        <v>0</v>
      </c>
      <c r="Y29" s="3">
        <v>80</v>
      </c>
      <c r="Z29" s="3">
        <v>42.311071</v>
      </c>
      <c r="AA29" s="3">
        <v>634.666065</v>
      </c>
      <c r="AB29" s="3">
        <v>8.266666667</v>
      </c>
      <c r="AC29" s="3">
        <v>8.266666667</v>
      </c>
      <c r="AD29" s="3">
        <v>3.4</v>
      </c>
      <c r="AE29" s="3">
        <v>1.666666667</v>
      </c>
      <c r="AF29" s="3">
        <v>0.666666667</v>
      </c>
      <c r="AG29" s="3">
        <v>0.733333333</v>
      </c>
      <c r="AH29" s="3">
        <v>4.5</v>
      </c>
      <c r="AI29" s="3">
        <v>34</v>
      </c>
      <c r="AJ29" s="3">
        <v>6</v>
      </c>
      <c r="AK29" s="3">
        <v>1438.576414</v>
      </c>
      <c r="AL29" s="2" t="s">
        <v>1694</v>
      </c>
      <c r="AM29" s="3">
        <v>7</v>
      </c>
      <c r="AN29" s="3">
        <v>7</v>
      </c>
      <c r="AO29" s="4">
        <v>46012</v>
      </c>
      <c r="AP29" s="4">
        <v>45744</v>
      </c>
      <c r="AQ29" s="2" t="s">
        <v>1879</v>
      </c>
      <c r="AR29" s="2" t="s">
        <v>1454</v>
      </c>
    </row>
    <row r="30" customHeight="1" spans="1:44">
      <c r="A30" s="2" t="s">
        <v>218</v>
      </c>
      <c r="B30" s="2" t="s">
        <v>1692</v>
      </c>
      <c r="C30" s="2" t="s">
        <v>1454</v>
      </c>
      <c r="D30" s="2"/>
      <c r="E30" s="2"/>
      <c r="F30" s="2" t="s">
        <v>1878</v>
      </c>
      <c r="G30" s="2" t="s">
        <v>1696</v>
      </c>
      <c r="H30" s="3">
        <v>22</v>
      </c>
      <c r="I30" s="3">
        <v>0</v>
      </c>
      <c r="J30" s="3">
        <v>3</v>
      </c>
      <c r="K30" s="3">
        <v>47</v>
      </c>
      <c r="L30" s="3">
        <v>50</v>
      </c>
      <c r="M30" s="3">
        <v>122</v>
      </c>
      <c r="N30" s="3">
        <v>160</v>
      </c>
      <c r="O30" s="46" t="s">
        <v>1897</v>
      </c>
      <c r="P30" s="3">
        <v>4750.538602</v>
      </c>
      <c r="Q30" s="3">
        <v>10980.75316</v>
      </c>
      <c r="R30" s="3">
        <v>5</v>
      </c>
      <c r="S30" s="3">
        <v>12</v>
      </c>
      <c r="T30" s="3">
        <v>32</v>
      </c>
      <c r="U30" s="3">
        <v>31</v>
      </c>
      <c r="V30" s="3">
        <v>41</v>
      </c>
      <c r="W30" s="3">
        <v>0</v>
      </c>
      <c r="X30" s="3">
        <v>0</v>
      </c>
      <c r="Y30" s="3">
        <v>80</v>
      </c>
      <c r="Z30" s="3">
        <v>38.938841</v>
      </c>
      <c r="AA30" s="3">
        <v>1246.042912</v>
      </c>
      <c r="AB30" s="3">
        <v>8.8125</v>
      </c>
      <c r="AC30" s="3">
        <v>3.8125</v>
      </c>
      <c r="AD30" s="3">
        <v>2.25</v>
      </c>
      <c r="AE30" s="3">
        <v>0.6875</v>
      </c>
      <c r="AF30" s="3">
        <v>0.09375</v>
      </c>
      <c r="AG30" s="3">
        <v>1.46875</v>
      </c>
      <c r="AH30" s="3">
        <v>4.5</v>
      </c>
      <c r="AI30" s="3">
        <v>0</v>
      </c>
      <c r="AJ30" s="3">
        <v>6</v>
      </c>
      <c r="AK30" s="3">
        <v>0</v>
      </c>
      <c r="AL30" s="2" t="s">
        <v>1694</v>
      </c>
      <c r="AM30" s="3">
        <v>17</v>
      </c>
      <c r="AN30" s="3">
        <v>12</v>
      </c>
      <c r="AO30" s="4">
        <v>46184</v>
      </c>
      <c r="AP30" s="4">
        <v>45757</v>
      </c>
      <c r="AQ30" s="2" t="s">
        <v>1879</v>
      </c>
      <c r="AR30" s="2" t="s">
        <v>1454</v>
      </c>
    </row>
    <row r="31" customHeight="1" spans="1:44">
      <c r="A31" s="2" t="s">
        <v>160</v>
      </c>
      <c r="B31" s="2" t="s">
        <v>1692</v>
      </c>
      <c r="C31" s="2" t="s">
        <v>1454</v>
      </c>
      <c r="D31" s="2"/>
      <c r="E31" s="2"/>
      <c r="F31" s="2" t="s">
        <v>1878</v>
      </c>
      <c r="G31" s="2" t="s">
        <v>1696</v>
      </c>
      <c r="H31" s="3">
        <v>35</v>
      </c>
      <c r="I31" s="3">
        <v>20</v>
      </c>
      <c r="J31" s="3">
        <v>11</v>
      </c>
      <c r="K31" s="3">
        <v>28</v>
      </c>
      <c r="L31" s="3">
        <v>23</v>
      </c>
      <c r="M31" s="3">
        <v>117</v>
      </c>
      <c r="N31" s="3">
        <v>120</v>
      </c>
      <c r="O31" s="46" t="s">
        <v>1100</v>
      </c>
      <c r="P31" s="3">
        <v>4970.015505</v>
      </c>
      <c r="Q31" s="3">
        <v>10067.46731</v>
      </c>
      <c r="R31" s="3">
        <v>4</v>
      </c>
      <c r="S31" s="3">
        <v>8</v>
      </c>
      <c r="T31" s="3">
        <v>21</v>
      </c>
      <c r="U31" s="3">
        <v>21</v>
      </c>
      <c r="V31" s="3">
        <v>21</v>
      </c>
      <c r="W31" s="3">
        <v>0</v>
      </c>
      <c r="X31" s="3">
        <v>0</v>
      </c>
      <c r="Y31" s="3">
        <v>0</v>
      </c>
      <c r="Z31" s="3">
        <v>42.478765</v>
      </c>
      <c r="AA31" s="3">
        <v>892.054065</v>
      </c>
      <c r="AB31" s="3">
        <v>11.28571429</v>
      </c>
      <c r="AC31" s="3">
        <v>5.571428571</v>
      </c>
      <c r="AD31" s="3">
        <v>4.476190476</v>
      </c>
      <c r="AE31" s="3">
        <v>1.666666667</v>
      </c>
      <c r="AF31" s="3">
        <v>0.523809524</v>
      </c>
      <c r="AG31" s="3">
        <v>1.333333333</v>
      </c>
      <c r="AH31" s="3">
        <v>4.5</v>
      </c>
      <c r="AI31" s="3">
        <v>0</v>
      </c>
      <c r="AJ31" s="3">
        <v>6</v>
      </c>
      <c r="AK31" s="3">
        <v>0</v>
      </c>
      <c r="AL31" s="2" t="s">
        <v>1694</v>
      </c>
      <c r="AM31" s="3">
        <v>10</v>
      </c>
      <c r="AN31" s="3">
        <v>4</v>
      </c>
      <c r="AO31" s="4">
        <v>46184</v>
      </c>
      <c r="AP31" s="4">
        <v>45757</v>
      </c>
      <c r="AQ31" s="2" t="s">
        <v>1879</v>
      </c>
      <c r="AR31" s="2" t="s">
        <v>1454</v>
      </c>
    </row>
    <row r="32" customHeight="1" spans="1:44">
      <c r="A32" s="2" t="s">
        <v>121</v>
      </c>
      <c r="B32" s="2" t="s">
        <v>1692</v>
      </c>
      <c r="C32" s="2" t="s">
        <v>1454</v>
      </c>
      <c r="D32" s="2"/>
      <c r="E32" s="2"/>
      <c r="F32" s="2" t="s">
        <v>1878</v>
      </c>
      <c r="G32" s="2" t="s">
        <v>1696</v>
      </c>
      <c r="H32" s="3">
        <v>15</v>
      </c>
      <c r="I32" s="3">
        <v>0</v>
      </c>
      <c r="J32" s="3">
        <v>19</v>
      </c>
      <c r="K32" s="3">
        <v>12</v>
      </c>
      <c r="L32" s="3">
        <v>67</v>
      </c>
      <c r="M32" s="3">
        <v>113</v>
      </c>
      <c r="N32" s="3">
        <v>20</v>
      </c>
      <c r="O32" s="46" t="s">
        <v>1216</v>
      </c>
      <c r="P32" s="3">
        <v>6610.812897</v>
      </c>
      <c r="Q32" s="3">
        <v>7780.868277</v>
      </c>
      <c r="R32" s="3">
        <v>2</v>
      </c>
      <c r="S32" s="3">
        <v>7</v>
      </c>
      <c r="T32" s="3">
        <v>12</v>
      </c>
      <c r="U32" s="3">
        <v>13</v>
      </c>
      <c r="V32" s="3">
        <v>14</v>
      </c>
      <c r="W32" s="3">
        <v>60</v>
      </c>
      <c r="X32" s="3">
        <v>60</v>
      </c>
      <c r="Y32" s="3">
        <v>60</v>
      </c>
      <c r="Z32" s="3">
        <v>58.502769</v>
      </c>
      <c r="AA32" s="3">
        <v>702.033228</v>
      </c>
      <c r="AB32" s="3">
        <v>11.08333333</v>
      </c>
      <c r="AC32" s="3">
        <v>9.416666667</v>
      </c>
      <c r="AD32" s="3">
        <v>3.833333333</v>
      </c>
      <c r="AE32" s="3">
        <v>1.25</v>
      </c>
      <c r="AF32" s="3">
        <v>1.583333333</v>
      </c>
      <c r="AG32" s="3">
        <v>1</v>
      </c>
      <c r="AH32" s="3">
        <v>4.5</v>
      </c>
      <c r="AI32" s="3">
        <v>41</v>
      </c>
      <c r="AJ32" s="3">
        <v>6</v>
      </c>
      <c r="AK32" s="3">
        <v>2398.613529</v>
      </c>
      <c r="AL32" s="2" t="s">
        <v>1714</v>
      </c>
      <c r="AM32" s="3">
        <v>1</v>
      </c>
      <c r="AN32" s="3">
        <v>10</v>
      </c>
      <c r="AO32" s="4">
        <v>46249</v>
      </c>
      <c r="AP32" s="4">
        <v>44804</v>
      </c>
      <c r="AQ32" s="2" t="s">
        <v>1879</v>
      </c>
      <c r="AR32" s="2" t="s">
        <v>1454</v>
      </c>
    </row>
    <row r="33" customHeight="1" spans="1:44">
      <c r="A33" s="2" t="s">
        <v>163</v>
      </c>
      <c r="B33" s="2" t="s">
        <v>1692</v>
      </c>
      <c r="C33" s="2" t="s">
        <v>1454</v>
      </c>
      <c r="D33" s="2"/>
      <c r="E33" s="2"/>
      <c r="F33" s="2" t="s">
        <v>1880</v>
      </c>
      <c r="G33" s="2" t="s">
        <v>1696</v>
      </c>
      <c r="H33" s="3">
        <v>31</v>
      </c>
      <c r="I33" s="3">
        <v>17</v>
      </c>
      <c r="J33" s="3">
        <v>15</v>
      </c>
      <c r="K33" s="3">
        <v>13</v>
      </c>
      <c r="L33" s="3">
        <v>35</v>
      </c>
      <c r="M33" s="3">
        <v>111</v>
      </c>
      <c r="N33" s="3">
        <v>0</v>
      </c>
      <c r="O33" s="46" t="s">
        <v>1198</v>
      </c>
      <c r="P33" s="3">
        <v>6764.716956</v>
      </c>
      <c r="Q33" s="3">
        <v>6764.716956</v>
      </c>
      <c r="R33" s="3">
        <v>1</v>
      </c>
      <c r="S33" s="3">
        <v>2</v>
      </c>
      <c r="T33" s="3">
        <v>8</v>
      </c>
      <c r="U33" s="3">
        <v>11</v>
      </c>
      <c r="V33" s="3">
        <v>2</v>
      </c>
      <c r="W33" s="3">
        <v>0</v>
      </c>
      <c r="X33" s="3">
        <v>30</v>
      </c>
      <c r="Y33" s="3">
        <v>30</v>
      </c>
      <c r="Z33" s="3">
        <v>60.943396</v>
      </c>
      <c r="AA33" s="3">
        <v>487.547168</v>
      </c>
      <c r="AB33" s="3">
        <v>13.875</v>
      </c>
      <c r="AC33" s="3">
        <v>13.875</v>
      </c>
      <c r="AD33" s="3">
        <v>9.5</v>
      </c>
      <c r="AE33" s="3">
        <v>3.875</v>
      </c>
      <c r="AF33" s="3">
        <v>1.875</v>
      </c>
      <c r="AG33" s="3">
        <v>1.625</v>
      </c>
      <c r="AH33" s="3">
        <v>4.5</v>
      </c>
      <c r="AI33" s="3">
        <v>63</v>
      </c>
      <c r="AJ33" s="3">
        <v>6</v>
      </c>
      <c r="AK33" s="3">
        <v>3839.433948</v>
      </c>
      <c r="AL33" s="2" t="s">
        <v>1694</v>
      </c>
      <c r="AM33" s="3">
        <v>1</v>
      </c>
      <c r="AN33" s="3">
        <v>2</v>
      </c>
      <c r="AO33" s="4">
        <v>46212</v>
      </c>
      <c r="AP33" s="4">
        <v>45738</v>
      </c>
      <c r="AQ33" s="2" t="s">
        <v>1879</v>
      </c>
      <c r="AR33" s="2" t="s">
        <v>1454</v>
      </c>
    </row>
    <row r="34" customHeight="1" spans="1:44">
      <c r="A34" s="2" t="s">
        <v>289</v>
      </c>
      <c r="B34" s="2" t="s">
        <v>1692</v>
      </c>
      <c r="C34" s="2" t="s">
        <v>1454</v>
      </c>
      <c r="D34" s="2"/>
      <c r="E34" s="2"/>
      <c r="F34" s="2" t="s">
        <v>1885</v>
      </c>
      <c r="G34" s="2" t="s">
        <v>1696</v>
      </c>
      <c r="H34" s="3">
        <v>19</v>
      </c>
      <c r="I34" s="3">
        <v>0</v>
      </c>
      <c r="J34" s="3">
        <v>18</v>
      </c>
      <c r="K34" s="3">
        <v>2</v>
      </c>
      <c r="L34" s="3">
        <v>67</v>
      </c>
      <c r="M34" s="3">
        <v>106</v>
      </c>
      <c r="N34" s="3">
        <v>0</v>
      </c>
      <c r="O34" s="46" t="s">
        <v>1898</v>
      </c>
      <c r="P34" s="3">
        <v>12246.02598</v>
      </c>
      <c r="Q34" s="3">
        <v>12246.02598</v>
      </c>
      <c r="R34" s="3">
        <v>1</v>
      </c>
      <c r="S34" s="3">
        <v>4</v>
      </c>
      <c r="T34" s="3">
        <v>9</v>
      </c>
      <c r="U34" s="3">
        <v>12</v>
      </c>
      <c r="V34" s="3">
        <v>10</v>
      </c>
      <c r="W34" s="3">
        <v>0</v>
      </c>
      <c r="X34" s="3">
        <v>0</v>
      </c>
      <c r="Y34" s="3">
        <v>0</v>
      </c>
      <c r="Z34" s="3">
        <v>115.528547</v>
      </c>
      <c r="AA34" s="3">
        <v>1039.756923</v>
      </c>
      <c r="AB34" s="3">
        <v>11.77777778</v>
      </c>
      <c r="AC34" s="3">
        <v>11.77777778</v>
      </c>
      <c r="AD34" s="3">
        <v>4.333333333</v>
      </c>
      <c r="AE34" s="3">
        <v>2.111111111</v>
      </c>
      <c r="AF34" s="3">
        <v>2</v>
      </c>
      <c r="AG34" s="3">
        <v>0.222222222</v>
      </c>
      <c r="AH34" s="3">
        <v>4.5</v>
      </c>
      <c r="AI34" s="3">
        <v>52</v>
      </c>
      <c r="AJ34" s="3">
        <v>6</v>
      </c>
      <c r="AK34" s="3">
        <v>6007.484444</v>
      </c>
      <c r="AL34" s="2" t="s">
        <v>1694</v>
      </c>
      <c r="AM34" s="3">
        <v>4</v>
      </c>
      <c r="AN34" s="3">
        <v>5</v>
      </c>
      <c r="AO34" s="4">
        <v>45368</v>
      </c>
      <c r="AP34" s="4">
        <v>45351</v>
      </c>
      <c r="AQ34" s="2" t="s">
        <v>1879</v>
      </c>
      <c r="AR34" s="2" t="s">
        <v>1454</v>
      </c>
    </row>
    <row r="35" customHeight="1" spans="1:44">
      <c r="A35" s="2" t="s">
        <v>243</v>
      </c>
      <c r="B35" s="2" t="s">
        <v>1692</v>
      </c>
      <c r="C35" s="2" t="s">
        <v>1454</v>
      </c>
      <c r="D35" s="2"/>
      <c r="E35" s="2"/>
      <c r="F35" s="2" t="s">
        <v>1880</v>
      </c>
      <c r="G35" s="2" t="s">
        <v>1696</v>
      </c>
      <c r="H35" s="3">
        <v>8</v>
      </c>
      <c r="I35" s="3">
        <v>3</v>
      </c>
      <c r="J35" s="3">
        <v>20</v>
      </c>
      <c r="K35" s="3">
        <v>13</v>
      </c>
      <c r="L35" s="3">
        <v>60</v>
      </c>
      <c r="M35" s="3">
        <v>104</v>
      </c>
      <c r="N35" s="3">
        <v>60</v>
      </c>
      <c r="O35" s="46" t="s">
        <v>1899</v>
      </c>
      <c r="P35" s="3">
        <v>5614.464544</v>
      </c>
      <c r="Q35" s="3">
        <v>8853.578704</v>
      </c>
      <c r="R35" s="3">
        <v>5</v>
      </c>
      <c r="S35" s="3">
        <v>9</v>
      </c>
      <c r="T35" s="3">
        <v>18</v>
      </c>
      <c r="U35" s="3">
        <v>15</v>
      </c>
      <c r="V35" s="3">
        <v>16</v>
      </c>
      <c r="W35" s="3">
        <v>20</v>
      </c>
      <c r="X35" s="3">
        <v>20</v>
      </c>
      <c r="Y35" s="3">
        <v>20</v>
      </c>
      <c r="Z35" s="3">
        <v>53.985236</v>
      </c>
      <c r="AA35" s="3">
        <v>971.734248</v>
      </c>
      <c r="AB35" s="3">
        <v>9.111111111</v>
      </c>
      <c r="AC35" s="3">
        <v>5.777777778</v>
      </c>
      <c r="AD35" s="3">
        <v>2.444444444</v>
      </c>
      <c r="AE35" s="3">
        <v>0.444444444</v>
      </c>
      <c r="AF35" s="3">
        <v>1.111111111</v>
      </c>
      <c r="AG35" s="3">
        <v>0.722222222</v>
      </c>
      <c r="AH35" s="3">
        <v>4.5</v>
      </c>
      <c r="AI35" s="3">
        <v>0</v>
      </c>
      <c r="AJ35" s="3">
        <v>6</v>
      </c>
      <c r="AK35" s="3">
        <v>0</v>
      </c>
      <c r="AL35" s="2" t="s">
        <v>1694</v>
      </c>
      <c r="AM35" s="3">
        <v>2</v>
      </c>
      <c r="AN35" s="3">
        <v>12</v>
      </c>
      <c r="AO35" s="4">
        <v>46035</v>
      </c>
      <c r="AP35" s="4">
        <v>45758</v>
      </c>
      <c r="AQ35" s="2" t="s">
        <v>1879</v>
      </c>
      <c r="AR35" s="2" t="s">
        <v>1454</v>
      </c>
    </row>
    <row r="36" customHeight="1" spans="1:44">
      <c r="A36" s="2" t="s">
        <v>190</v>
      </c>
      <c r="B36" s="2" t="s">
        <v>1692</v>
      </c>
      <c r="C36" s="2" t="s">
        <v>1454</v>
      </c>
      <c r="D36" s="2"/>
      <c r="E36" s="2"/>
      <c r="F36" s="2" t="s">
        <v>1880</v>
      </c>
      <c r="G36" s="2" t="s">
        <v>1696</v>
      </c>
      <c r="H36" s="3">
        <v>25</v>
      </c>
      <c r="I36" s="3">
        <v>0</v>
      </c>
      <c r="J36" s="3">
        <v>40</v>
      </c>
      <c r="K36" s="3">
        <v>8</v>
      </c>
      <c r="L36" s="3">
        <v>31</v>
      </c>
      <c r="M36" s="3">
        <v>104</v>
      </c>
      <c r="N36" s="3">
        <v>50</v>
      </c>
      <c r="O36" s="46" t="s">
        <v>1900</v>
      </c>
      <c r="P36" s="3">
        <v>10349.12965</v>
      </c>
      <c r="Q36" s="3">
        <v>15324.67275</v>
      </c>
      <c r="R36" s="3">
        <v>1</v>
      </c>
      <c r="S36" s="3">
        <v>5</v>
      </c>
      <c r="T36" s="3">
        <v>9</v>
      </c>
      <c r="U36" s="3">
        <v>11</v>
      </c>
      <c r="V36" s="3">
        <v>8</v>
      </c>
      <c r="W36" s="3">
        <v>0</v>
      </c>
      <c r="X36" s="3">
        <v>0</v>
      </c>
      <c r="Y36" s="3">
        <v>0</v>
      </c>
      <c r="Z36" s="3">
        <v>99.510862</v>
      </c>
      <c r="AA36" s="3">
        <v>895.597758</v>
      </c>
      <c r="AB36" s="3">
        <v>17.11111111</v>
      </c>
      <c r="AC36" s="3">
        <v>11.55555556</v>
      </c>
      <c r="AD36" s="3">
        <v>8.111111111</v>
      </c>
      <c r="AE36" s="3">
        <v>2.777777778</v>
      </c>
      <c r="AF36" s="3">
        <v>4.444444444</v>
      </c>
      <c r="AG36" s="3">
        <v>0.888888889</v>
      </c>
      <c r="AH36" s="3">
        <v>4.5</v>
      </c>
      <c r="AI36" s="3">
        <v>50</v>
      </c>
      <c r="AJ36" s="3">
        <v>6</v>
      </c>
      <c r="AK36" s="3">
        <v>4975.5431</v>
      </c>
      <c r="AL36" s="2" t="s">
        <v>1694</v>
      </c>
      <c r="AM36" s="3">
        <v>1</v>
      </c>
      <c r="AN36" s="3">
        <v>6</v>
      </c>
      <c r="AO36" s="4">
        <v>46181</v>
      </c>
      <c r="AP36" s="4">
        <v>45688</v>
      </c>
      <c r="AQ36" s="2" t="s">
        <v>1879</v>
      </c>
      <c r="AR36" s="2" t="s">
        <v>1454</v>
      </c>
    </row>
    <row r="37" customHeight="1" spans="1:44">
      <c r="A37" s="2" t="s">
        <v>479</v>
      </c>
      <c r="B37" s="2" t="s">
        <v>1692</v>
      </c>
      <c r="C37" s="2" t="s">
        <v>1454</v>
      </c>
      <c r="D37" s="2"/>
      <c r="E37" s="2"/>
      <c r="F37" s="2" t="s">
        <v>1885</v>
      </c>
      <c r="G37" s="2" t="s">
        <v>1696</v>
      </c>
      <c r="H37" s="3">
        <v>5</v>
      </c>
      <c r="I37" s="3">
        <v>0</v>
      </c>
      <c r="J37" s="3">
        <v>0</v>
      </c>
      <c r="K37" s="3">
        <v>72</v>
      </c>
      <c r="L37" s="3">
        <v>27</v>
      </c>
      <c r="M37" s="3">
        <v>104</v>
      </c>
      <c r="N37" s="3">
        <v>56</v>
      </c>
      <c r="O37" s="46" t="s">
        <v>1901</v>
      </c>
      <c r="P37" s="3">
        <v>6111.945424</v>
      </c>
      <c r="Q37" s="3">
        <v>9402.99296</v>
      </c>
      <c r="R37" s="3">
        <v>13</v>
      </c>
      <c r="S37" s="3">
        <v>30</v>
      </c>
      <c r="T37" s="3">
        <v>40</v>
      </c>
      <c r="U37" s="3">
        <v>41</v>
      </c>
      <c r="V37" s="3">
        <v>26</v>
      </c>
      <c r="W37" s="3">
        <v>24</v>
      </c>
      <c r="X37" s="3">
        <v>24</v>
      </c>
      <c r="Y37" s="3">
        <v>24</v>
      </c>
      <c r="Z37" s="3">
        <v>58.768706</v>
      </c>
      <c r="AA37" s="3">
        <v>2350.74824</v>
      </c>
      <c r="AB37" s="3">
        <v>4</v>
      </c>
      <c r="AC37" s="3">
        <v>2.6</v>
      </c>
      <c r="AD37" s="3">
        <v>1.925</v>
      </c>
      <c r="AE37" s="3">
        <v>0.125</v>
      </c>
      <c r="AF37" s="3">
        <v>0</v>
      </c>
      <c r="AG37" s="3">
        <v>1.8</v>
      </c>
      <c r="AH37" s="3">
        <v>4.5</v>
      </c>
      <c r="AI37" s="3">
        <v>0</v>
      </c>
      <c r="AJ37" s="3">
        <v>6</v>
      </c>
      <c r="AK37" s="3">
        <v>0</v>
      </c>
      <c r="AL37" s="2" t="s">
        <v>1694</v>
      </c>
      <c r="AM37" s="3">
        <v>1</v>
      </c>
      <c r="AN37" s="3">
        <v>39</v>
      </c>
      <c r="AO37" s="4">
        <v>45368</v>
      </c>
      <c r="AP37" s="4">
        <v>45351</v>
      </c>
      <c r="AQ37" s="2" t="s">
        <v>1879</v>
      </c>
      <c r="AR37" s="2" t="s">
        <v>1454</v>
      </c>
    </row>
    <row r="38" customHeight="1" spans="1:44">
      <c r="A38" s="2" t="s">
        <v>482</v>
      </c>
      <c r="B38" s="2" t="s">
        <v>1692</v>
      </c>
      <c r="C38" s="2" t="s">
        <v>1454</v>
      </c>
      <c r="D38" s="2"/>
      <c r="E38" s="2"/>
      <c r="F38" s="2" t="s">
        <v>1880</v>
      </c>
      <c r="G38" s="2" t="s">
        <v>1696</v>
      </c>
      <c r="H38" s="3">
        <v>0</v>
      </c>
      <c r="I38" s="3">
        <v>0</v>
      </c>
      <c r="J38" s="3">
        <v>28</v>
      </c>
      <c r="K38" s="3">
        <v>1</v>
      </c>
      <c r="L38" s="3">
        <v>74</v>
      </c>
      <c r="M38" s="3">
        <v>103</v>
      </c>
      <c r="N38" s="3">
        <v>0</v>
      </c>
      <c r="O38" s="46" t="s">
        <v>1902</v>
      </c>
      <c r="P38" s="3">
        <v>7657.234858</v>
      </c>
      <c r="Q38" s="3">
        <v>7657.234858</v>
      </c>
      <c r="R38" s="3">
        <v>3</v>
      </c>
      <c r="S38" s="3">
        <v>4</v>
      </c>
      <c r="T38" s="3">
        <v>5</v>
      </c>
      <c r="U38" s="3">
        <v>4</v>
      </c>
      <c r="V38" s="3">
        <v>1</v>
      </c>
      <c r="W38" s="3">
        <v>0</v>
      </c>
      <c r="X38" s="3">
        <v>0</v>
      </c>
      <c r="Y38" s="3">
        <v>0</v>
      </c>
      <c r="Z38" s="3">
        <v>74.342086</v>
      </c>
      <c r="AA38" s="3">
        <v>371.71043</v>
      </c>
      <c r="AB38" s="3">
        <v>20.6</v>
      </c>
      <c r="AC38" s="3">
        <v>20.6</v>
      </c>
      <c r="AD38" s="3">
        <v>5.8</v>
      </c>
      <c r="AE38" s="3">
        <v>0</v>
      </c>
      <c r="AF38" s="3">
        <v>5.6</v>
      </c>
      <c r="AG38" s="3">
        <v>0.2</v>
      </c>
      <c r="AH38" s="3">
        <v>4.5</v>
      </c>
      <c r="AI38" s="3">
        <v>73</v>
      </c>
      <c r="AJ38" s="3">
        <v>6</v>
      </c>
      <c r="AK38" s="3">
        <v>5426.972278</v>
      </c>
      <c r="AL38" s="2" t="s">
        <v>1694</v>
      </c>
      <c r="AM38" s="3">
        <v>0</v>
      </c>
      <c r="AN38" s="3">
        <v>5</v>
      </c>
      <c r="AO38" s="4">
        <v>46012</v>
      </c>
      <c r="AP38" s="4">
        <v>45759</v>
      </c>
      <c r="AQ38" s="2" t="s">
        <v>1879</v>
      </c>
      <c r="AR38" s="2" t="s">
        <v>1454</v>
      </c>
    </row>
    <row r="39" customHeight="1" spans="1:44">
      <c r="A39" s="2" t="s">
        <v>109</v>
      </c>
      <c r="B39" s="2" t="s">
        <v>1692</v>
      </c>
      <c r="C39" s="2" t="s">
        <v>1454</v>
      </c>
      <c r="D39" s="2"/>
      <c r="E39" s="2"/>
      <c r="F39" s="2" t="s">
        <v>1885</v>
      </c>
      <c r="G39" s="2" t="s">
        <v>1696</v>
      </c>
      <c r="H39" s="3">
        <v>7</v>
      </c>
      <c r="I39" s="3">
        <v>0</v>
      </c>
      <c r="J39" s="3">
        <v>29</v>
      </c>
      <c r="K39" s="3">
        <v>27</v>
      </c>
      <c r="L39" s="3">
        <v>37</v>
      </c>
      <c r="M39" s="3">
        <v>100</v>
      </c>
      <c r="N39" s="3">
        <v>48</v>
      </c>
      <c r="O39" s="46" t="s">
        <v>1903</v>
      </c>
      <c r="P39" s="3">
        <v>5402.9328</v>
      </c>
      <c r="Q39" s="3">
        <v>7996.340544</v>
      </c>
      <c r="R39" s="3">
        <v>9</v>
      </c>
      <c r="S39" s="3">
        <v>19</v>
      </c>
      <c r="T39" s="3">
        <v>27</v>
      </c>
      <c r="U39" s="3">
        <v>14</v>
      </c>
      <c r="V39" s="3">
        <v>32</v>
      </c>
      <c r="W39" s="3">
        <v>0</v>
      </c>
      <c r="X39" s="3">
        <v>16</v>
      </c>
      <c r="Y39" s="3">
        <v>16</v>
      </c>
      <c r="Z39" s="3">
        <v>54.029328</v>
      </c>
      <c r="AA39" s="3">
        <v>1458.791856</v>
      </c>
      <c r="AB39" s="3">
        <v>5.481481481</v>
      </c>
      <c r="AC39" s="3">
        <v>3.703703704</v>
      </c>
      <c r="AD39" s="3">
        <v>2.333333333</v>
      </c>
      <c r="AE39" s="3">
        <v>0.259259259</v>
      </c>
      <c r="AF39" s="3">
        <v>1.074074074</v>
      </c>
      <c r="AG39" s="3">
        <v>1</v>
      </c>
      <c r="AH39" s="3">
        <v>4.5</v>
      </c>
      <c r="AI39" s="3">
        <v>0</v>
      </c>
      <c r="AJ39" s="3">
        <v>6</v>
      </c>
      <c r="AK39" s="3">
        <v>0</v>
      </c>
      <c r="AL39" s="2" t="s">
        <v>1694</v>
      </c>
      <c r="AM39" s="3">
        <v>2</v>
      </c>
      <c r="AN39" s="3">
        <v>24</v>
      </c>
      <c r="AO39" s="4">
        <v>45368</v>
      </c>
      <c r="AP39" s="4">
        <v>45351</v>
      </c>
      <c r="AQ39" s="2" t="s">
        <v>1879</v>
      </c>
      <c r="AR39" s="2" t="s">
        <v>1454</v>
      </c>
    </row>
    <row r="40" customHeight="1" spans="1:44">
      <c r="A40" s="2" t="s">
        <v>100</v>
      </c>
      <c r="B40" s="2" t="s">
        <v>1692</v>
      </c>
      <c r="C40" s="2" t="s">
        <v>1454</v>
      </c>
      <c r="D40" s="2"/>
      <c r="E40" s="2"/>
      <c r="F40" s="2" t="s">
        <v>1880</v>
      </c>
      <c r="G40" s="2" t="s">
        <v>1696</v>
      </c>
      <c r="H40" s="3">
        <v>5</v>
      </c>
      <c r="I40" s="3">
        <v>0</v>
      </c>
      <c r="J40" s="3">
        <v>0</v>
      </c>
      <c r="K40" s="3">
        <v>50</v>
      </c>
      <c r="L40" s="3">
        <v>44</v>
      </c>
      <c r="M40" s="3">
        <v>99</v>
      </c>
      <c r="N40" s="3">
        <v>115</v>
      </c>
      <c r="O40" s="46" t="s">
        <v>1904</v>
      </c>
      <c r="P40" s="3">
        <v>8061.95709</v>
      </c>
      <c r="Q40" s="3">
        <v>17426.85674</v>
      </c>
      <c r="R40" s="3">
        <v>2</v>
      </c>
      <c r="S40" s="3">
        <v>2</v>
      </c>
      <c r="T40" s="3">
        <v>18</v>
      </c>
      <c r="U40" s="3">
        <v>17</v>
      </c>
      <c r="V40" s="3">
        <v>6</v>
      </c>
      <c r="W40" s="3">
        <v>0</v>
      </c>
      <c r="X40" s="3">
        <v>0</v>
      </c>
      <c r="Y40" s="3">
        <v>57</v>
      </c>
      <c r="Z40" s="3">
        <v>81.43391</v>
      </c>
      <c r="AA40" s="3">
        <v>1465.81038</v>
      </c>
      <c r="AB40" s="3">
        <v>11.88888889</v>
      </c>
      <c r="AC40" s="3">
        <v>5.5</v>
      </c>
      <c r="AD40" s="3">
        <v>3.055555556</v>
      </c>
      <c r="AE40" s="3">
        <v>0.277777778</v>
      </c>
      <c r="AF40" s="3">
        <v>0</v>
      </c>
      <c r="AG40" s="3">
        <v>2.777777778</v>
      </c>
      <c r="AH40" s="3">
        <v>4.5</v>
      </c>
      <c r="AI40" s="3">
        <v>0</v>
      </c>
      <c r="AJ40" s="3">
        <v>6</v>
      </c>
      <c r="AK40" s="3">
        <v>0</v>
      </c>
      <c r="AL40" s="2" t="s">
        <v>1694</v>
      </c>
      <c r="AM40" s="3">
        <v>5</v>
      </c>
      <c r="AN40" s="3">
        <v>13</v>
      </c>
      <c r="AO40" s="4">
        <v>46012</v>
      </c>
      <c r="AP40" s="4">
        <v>45766</v>
      </c>
      <c r="AQ40" s="2" t="s">
        <v>1879</v>
      </c>
      <c r="AR40" s="2" t="s">
        <v>1454</v>
      </c>
    </row>
    <row r="41" customHeight="1" spans="1:44">
      <c r="A41" s="2" t="s">
        <v>130</v>
      </c>
      <c r="B41" s="2" t="s">
        <v>1692</v>
      </c>
      <c r="C41" s="2" t="s">
        <v>1454</v>
      </c>
      <c r="D41" s="2"/>
      <c r="E41" s="2"/>
      <c r="F41" s="2" t="s">
        <v>1880</v>
      </c>
      <c r="G41" s="2" t="s">
        <v>1696</v>
      </c>
      <c r="H41" s="3">
        <v>32</v>
      </c>
      <c r="I41" s="3">
        <v>0</v>
      </c>
      <c r="J41" s="3">
        <v>42</v>
      </c>
      <c r="K41" s="3">
        <v>2</v>
      </c>
      <c r="L41" s="3">
        <v>22</v>
      </c>
      <c r="M41" s="3">
        <v>98</v>
      </c>
      <c r="N41" s="3">
        <v>42</v>
      </c>
      <c r="O41" s="46" t="s">
        <v>1078</v>
      </c>
      <c r="P41" s="3">
        <v>11881.4906</v>
      </c>
      <c r="Q41" s="3">
        <v>16973.558</v>
      </c>
      <c r="R41" s="3">
        <v>3</v>
      </c>
      <c r="S41" s="3">
        <v>9</v>
      </c>
      <c r="T41" s="3">
        <v>16</v>
      </c>
      <c r="U41" s="3">
        <v>14</v>
      </c>
      <c r="V41" s="3">
        <v>13</v>
      </c>
      <c r="W41" s="3">
        <v>0</v>
      </c>
      <c r="X41" s="3">
        <v>0</v>
      </c>
      <c r="Y41" s="3">
        <v>0</v>
      </c>
      <c r="Z41" s="3">
        <v>121.2397</v>
      </c>
      <c r="AA41" s="3">
        <v>1939.8352</v>
      </c>
      <c r="AB41" s="3">
        <v>8.75</v>
      </c>
      <c r="AC41" s="3">
        <v>6.125</v>
      </c>
      <c r="AD41" s="3">
        <v>4.75</v>
      </c>
      <c r="AE41" s="3">
        <v>2</v>
      </c>
      <c r="AF41" s="3">
        <v>2.625</v>
      </c>
      <c r="AG41" s="3">
        <v>0.125</v>
      </c>
      <c r="AH41" s="3">
        <v>4.5</v>
      </c>
      <c r="AI41" s="3">
        <v>2</v>
      </c>
      <c r="AJ41" s="3">
        <v>6</v>
      </c>
      <c r="AK41" s="3">
        <v>242.4794</v>
      </c>
      <c r="AL41" s="2" t="s">
        <v>1694</v>
      </c>
      <c r="AM41" s="3">
        <v>12</v>
      </c>
      <c r="AN41" s="3">
        <v>3</v>
      </c>
      <c r="AO41" s="4">
        <v>46186</v>
      </c>
      <c r="AP41" s="4">
        <v>45758</v>
      </c>
      <c r="AQ41" s="2" t="s">
        <v>1879</v>
      </c>
      <c r="AR41" s="2" t="s">
        <v>1454</v>
      </c>
    </row>
    <row r="42" customHeight="1" spans="1:44">
      <c r="A42" s="2" t="s">
        <v>106</v>
      </c>
      <c r="B42" s="2" t="s">
        <v>1692</v>
      </c>
      <c r="C42" s="2" t="s">
        <v>1454</v>
      </c>
      <c r="D42" s="2"/>
      <c r="E42" s="2"/>
      <c r="F42" s="2" t="s">
        <v>1880</v>
      </c>
      <c r="G42" s="2" t="s">
        <v>1696</v>
      </c>
      <c r="H42" s="3">
        <v>26</v>
      </c>
      <c r="I42" s="3">
        <v>0</v>
      </c>
      <c r="J42" s="3">
        <v>11</v>
      </c>
      <c r="K42" s="3">
        <v>0</v>
      </c>
      <c r="L42" s="3">
        <v>60</v>
      </c>
      <c r="M42" s="3">
        <v>97</v>
      </c>
      <c r="N42" s="3">
        <v>0</v>
      </c>
      <c r="O42" s="46" t="s">
        <v>1905</v>
      </c>
      <c r="P42" s="3">
        <v>5837.579698</v>
      </c>
      <c r="Q42" s="3">
        <v>5837.579698</v>
      </c>
      <c r="R42" s="3">
        <v>6</v>
      </c>
      <c r="S42" s="3">
        <v>11</v>
      </c>
      <c r="T42" s="3">
        <v>25</v>
      </c>
      <c r="U42" s="3">
        <v>8</v>
      </c>
      <c r="V42" s="3">
        <v>9</v>
      </c>
      <c r="W42" s="3">
        <v>0</v>
      </c>
      <c r="X42" s="3">
        <v>0</v>
      </c>
      <c r="Y42" s="3">
        <v>0</v>
      </c>
      <c r="Z42" s="3">
        <v>60.181234</v>
      </c>
      <c r="AA42" s="3">
        <v>1504.53085</v>
      </c>
      <c r="AB42" s="3">
        <v>3.88</v>
      </c>
      <c r="AC42" s="3">
        <v>3.88</v>
      </c>
      <c r="AD42" s="3">
        <v>1.48</v>
      </c>
      <c r="AE42" s="3">
        <v>1.04</v>
      </c>
      <c r="AF42" s="3">
        <v>0.44</v>
      </c>
      <c r="AG42" s="3">
        <v>0</v>
      </c>
      <c r="AH42" s="3">
        <v>4.5</v>
      </c>
      <c r="AI42" s="3">
        <v>0</v>
      </c>
      <c r="AJ42" s="3">
        <v>6</v>
      </c>
      <c r="AK42" s="3">
        <v>0</v>
      </c>
      <c r="AL42" s="2" t="s">
        <v>1694</v>
      </c>
      <c r="AM42" s="3">
        <v>11</v>
      </c>
      <c r="AN42" s="3">
        <v>5</v>
      </c>
      <c r="AO42" s="4">
        <v>46139</v>
      </c>
      <c r="AP42" s="4">
        <v>45770</v>
      </c>
      <c r="AQ42" s="2" t="s">
        <v>1879</v>
      </c>
      <c r="AR42" s="2" t="s">
        <v>1454</v>
      </c>
    </row>
    <row r="43" customHeight="1" spans="1:44">
      <c r="A43" s="2" t="s">
        <v>258</v>
      </c>
      <c r="B43" s="2" t="s">
        <v>1692</v>
      </c>
      <c r="C43" s="2" t="s">
        <v>1454</v>
      </c>
      <c r="D43" s="2"/>
      <c r="E43" s="2"/>
      <c r="F43" s="2" t="s">
        <v>1880</v>
      </c>
      <c r="G43" s="2" t="s">
        <v>1696</v>
      </c>
      <c r="H43" s="3">
        <v>10</v>
      </c>
      <c r="I43" s="3">
        <v>21</v>
      </c>
      <c r="J43" s="3">
        <v>5</v>
      </c>
      <c r="K43" s="3">
        <v>23</v>
      </c>
      <c r="L43" s="3">
        <v>36</v>
      </c>
      <c r="M43" s="3">
        <v>95</v>
      </c>
      <c r="N43" s="3">
        <v>100</v>
      </c>
      <c r="O43" s="46" t="s">
        <v>1091</v>
      </c>
      <c r="P43" s="3">
        <v>5134.64474</v>
      </c>
      <c r="Q43" s="3">
        <v>10539.53394</v>
      </c>
      <c r="R43" s="3">
        <v>2</v>
      </c>
      <c r="S43" s="3">
        <v>5</v>
      </c>
      <c r="T43" s="3">
        <v>12</v>
      </c>
      <c r="U43" s="3">
        <v>21</v>
      </c>
      <c r="V43" s="3">
        <v>13</v>
      </c>
      <c r="W43" s="3">
        <v>0</v>
      </c>
      <c r="X43" s="3">
        <v>0</v>
      </c>
      <c r="Y43" s="3">
        <v>40</v>
      </c>
      <c r="Z43" s="3">
        <v>54.048892</v>
      </c>
      <c r="AA43" s="3">
        <v>648.586704</v>
      </c>
      <c r="AB43" s="3">
        <v>16.25</v>
      </c>
      <c r="AC43" s="3">
        <v>7.916666667</v>
      </c>
      <c r="AD43" s="3">
        <v>4.916666667</v>
      </c>
      <c r="AE43" s="3">
        <v>0.833333333</v>
      </c>
      <c r="AF43" s="3">
        <v>0.416666667</v>
      </c>
      <c r="AG43" s="3">
        <v>1.916666667</v>
      </c>
      <c r="AH43" s="3">
        <v>4.5</v>
      </c>
      <c r="AI43" s="3">
        <v>23</v>
      </c>
      <c r="AJ43" s="3">
        <v>6</v>
      </c>
      <c r="AK43" s="3">
        <v>1243.124516</v>
      </c>
      <c r="AL43" s="2" t="s">
        <v>1694</v>
      </c>
      <c r="AM43" s="3">
        <v>4</v>
      </c>
      <c r="AN43" s="3">
        <v>8</v>
      </c>
      <c r="AO43" s="4">
        <v>46035</v>
      </c>
      <c r="AP43" s="4">
        <v>45766</v>
      </c>
      <c r="AQ43" s="2" t="s">
        <v>1879</v>
      </c>
      <c r="AR43" s="2" t="s">
        <v>1454</v>
      </c>
    </row>
    <row r="44" customHeight="1" spans="1:44">
      <c r="A44" s="2" t="s">
        <v>337</v>
      </c>
      <c r="B44" s="2" t="s">
        <v>1692</v>
      </c>
      <c r="C44" s="2" t="s">
        <v>1454</v>
      </c>
      <c r="D44" s="2"/>
      <c r="E44" s="2"/>
      <c r="F44" s="2" t="s">
        <v>1880</v>
      </c>
      <c r="G44" s="2" t="s">
        <v>1696</v>
      </c>
      <c r="H44" s="3">
        <v>20</v>
      </c>
      <c r="I44" s="3">
        <v>0</v>
      </c>
      <c r="J44" s="3">
        <v>14</v>
      </c>
      <c r="K44" s="3">
        <v>38</v>
      </c>
      <c r="L44" s="3">
        <v>23</v>
      </c>
      <c r="M44" s="3">
        <v>95</v>
      </c>
      <c r="N44" s="3">
        <v>80</v>
      </c>
      <c r="O44" s="46" t="s">
        <v>913</v>
      </c>
      <c r="P44" s="3">
        <v>5317.43538</v>
      </c>
      <c r="Q44" s="3">
        <v>9795.2757</v>
      </c>
      <c r="R44" s="3">
        <v>5</v>
      </c>
      <c r="S44" s="3">
        <v>13</v>
      </c>
      <c r="T44" s="3">
        <v>23</v>
      </c>
      <c r="U44" s="3">
        <v>15</v>
      </c>
      <c r="V44" s="3">
        <v>7</v>
      </c>
      <c r="W44" s="3">
        <v>0</v>
      </c>
      <c r="X44" s="3">
        <v>0</v>
      </c>
      <c r="Y44" s="3">
        <v>0</v>
      </c>
      <c r="Z44" s="3">
        <v>55.973004</v>
      </c>
      <c r="AA44" s="3">
        <v>1287.379092</v>
      </c>
      <c r="AB44" s="3">
        <v>7.608695652</v>
      </c>
      <c r="AC44" s="3">
        <v>4.130434783</v>
      </c>
      <c r="AD44" s="3">
        <v>3.130434783</v>
      </c>
      <c r="AE44" s="3">
        <v>0.869565217</v>
      </c>
      <c r="AF44" s="3">
        <v>0.608695652</v>
      </c>
      <c r="AG44" s="3">
        <v>1.652173913</v>
      </c>
      <c r="AH44" s="3">
        <v>4.5</v>
      </c>
      <c r="AI44" s="3">
        <v>0</v>
      </c>
      <c r="AJ44" s="3">
        <v>6</v>
      </c>
      <c r="AK44" s="3">
        <v>0</v>
      </c>
      <c r="AL44" s="2" t="s">
        <v>1694</v>
      </c>
      <c r="AM44" s="3">
        <v>0</v>
      </c>
      <c r="AN44" s="3">
        <v>23</v>
      </c>
      <c r="AO44" s="4">
        <v>45368</v>
      </c>
      <c r="AP44" s="4">
        <v>45366</v>
      </c>
      <c r="AQ44" s="2" t="s">
        <v>1879</v>
      </c>
      <c r="AR44" s="2" t="s">
        <v>1454</v>
      </c>
    </row>
    <row r="45" customHeight="1" spans="1:44">
      <c r="A45" s="2" t="s">
        <v>97</v>
      </c>
      <c r="B45" s="2" t="s">
        <v>1692</v>
      </c>
      <c r="C45" s="2" t="s">
        <v>1454</v>
      </c>
      <c r="D45" s="2"/>
      <c r="E45" s="2"/>
      <c r="F45" s="2" t="s">
        <v>1880</v>
      </c>
      <c r="G45" s="2" t="s">
        <v>1696</v>
      </c>
      <c r="H45" s="3">
        <v>12</v>
      </c>
      <c r="I45" s="3">
        <v>0</v>
      </c>
      <c r="J45" s="3">
        <v>10</v>
      </c>
      <c r="K45" s="3">
        <v>51</v>
      </c>
      <c r="L45" s="3">
        <v>20</v>
      </c>
      <c r="M45" s="3">
        <v>93</v>
      </c>
      <c r="N45" s="3">
        <v>100</v>
      </c>
      <c r="O45" s="46" t="s">
        <v>1906</v>
      </c>
      <c r="P45" s="3">
        <v>4866.830709</v>
      </c>
      <c r="Q45" s="3">
        <v>10099.98201</v>
      </c>
      <c r="R45" s="3">
        <v>4</v>
      </c>
      <c r="S45" s="3">
        <v>7</v>
      </c>
      <c r="T45" s="3">
        <v>25</v>
      </c>
      <c r="U45" s="3">
        <v>12</v>
      </c>
      <c r="V45" s="3">
        <v>12</v>
      </c>
      <c r="W45" s="3">
        <v>0</v>
      </c>
      <c r="X45" s="3">
        <v>0</v>
      </c>
      <c r="Y45" s="3">
        <v>0</v>
      </c>
      <c r="Z45" s="3">
        <v>52.331513</v>
      </c>
      <c r="AA45" s="3">
        <v>1308.287825</v>
      </c>
      <c r="AB45" s="3">
        <v>7.72</v>
      </c>
      <c r="AC45" s="3">
        <v>3.72</v>
      </c>
      <c r="AD45" s="3">
        <v>2.92</v>
      </c>
      <c r="AE45" s="3">
        <v>0.48</v>
      </c>
      <c r="AF45" s="3">
        <v>0.4</v>
      </c>
      <c r="AG45" s="3">
        <v>2.04</v>
      </c>
      <c r="AH45" s="3">
        <v>4.5</v>
      </c>
      <c r="AI45" s="3">
        <v>0</v>
      </c>
      <c r="AJ45" s="3">
        <v>6</v>
      </c>
      <c r="AK45" s="3">
        <v>0</v>
      </c>
      <c r="AL45" s="2" t="s">
        <v>1694</v>
      </c>
      <c r="AM45" s="3">
        <v>3</v>
      </c>
      <c r="AN45" s="3">
        <v>22</v>
      </c>
      <c r="AO45" s="4">
        <v>46206</v>
      </c>
      <c r="AP45" s="4">
        <v>45688</v>
      </c>
      <c r="AQ45" s="2" t="s">
        <v>1879</v>
      </c>
      <c r="AR45" s="2" t="s">
        <v>1454</v>
      </c>
    </row>
    <row r="46" customHeight="1" spans="1:44">
      <c r="A46" s="2" t="s">
        <v>334</v>
      </c>
      <c r="B46" s="2" t="s">
        <v>1692</v>
      </c>
      <c r="C46" s="2" t="s">
        <v>1454</v>
      </c>
      <c r="D46" s="2"/>
      <c r="E46" s="2"/>
      <c r="F46" s="2" t="s">
        <v>1880</v>
      </c>
      <c r="G46" s="2" t="s">
        <v>1696</v>
      </c>
      <c r="H46" s="3">
        <v>15</v>
      </c>
      <c r="I46" s="3">
        <v>6</v>
      </c>
      <c r="J46" s="3">
        <v>29</v>
      </c>
      <c r="K46" s="3">
        <v>25</v>
      </c>
      <c r="L46" s="3">
        <v>17</v>
      </c>
      <c r="M46" s="3">
        <v>92</v>
      </c>
      <c r="N46" s="3">
        <v>99</v>
      </c>
      <c r="O46" s="46" t="s">
        <v>998</v>
      </c>
      <c r="P46" s="3">
        <v>14378.96143</v>
      </c>
      <c r="Q46" s="3">
        <v>29851.97427</v>
      </c>
      <c r="R46" s="3">
        <v>4</v>
      </c>
      <c r="S46" s="3">
        <v>7</v>
      </c>
      <c r="T46" s="3">
        <v>16</v>
      </c>
      <c r="U46" s="3">
        <v>17</v>
      </c>
      <c r="V46" s="3">
        <v>10</v>
      </c>
      <c r="W46" s="3">
        <v>0</v>
      </c>
      <c r="X46" s="3">
        <v>0</v>
      </c>
      <c r="Y46" s="3">
        <v>0</v>
      </c>
      <c r="Z46" s="3">
        <v>156.293059</v>
      </c>
      <c r="AA46" s="3">
        <v>2500.688944</v>
      </c>
      <c r="AB46" s="3">
        <v>11.9375</v>
      </c>
      <c r="AC46" s="3">
        <v>5.75</v>
      </c>
      <c r="AD46" s="3">
        <v>4.6875</v>
      </c>
      <c r="AE46" s="3">
        <v>0.9375</v>
      </c>
      <c r="AF46" s="3">
        <v>1.8125</v>
      </c>
      <c r="AG46" s="3">
        <v>1.5625</v>
      </c>
      <c r="AH46" s="3">
        <v>4.5</v>
      </c>
      <c r="AI46" s="3">
        <v>0</v>
      </c>
      <c r="AJ46" s="3">
        <v>6</v>
      </c>
      <c r="AK46" s="3">
        <v>0</v>
      </c>
      <c r="AL46" s="2" t="s">
        <v>1714</v>
      </c>
      <c r="AM46" s="3">
        <v>0</v>
      </c>
      <c r="AN46" s="3">
        <v>16</v>
      </c>
      <c r="AO46" s="4">
        <v>46012</v>
      </c>
      <c r="AP46" s="4">
        <v>44804</v>
      </c>
      <c r="AQ46" s="2" t="s">
        <v>1879</v>
      </c>
      <c r="AR46" s="2" t="s">
        <v>1454</v>
      </c>
    </row>
    <row r="47" customHeight="1" spans="1:44">
      <c r="A47" s="2" t="s">
        <v>94</v>
      </c>
      <c r="B47" s="2" t="s">
        <v>1692</v>
      </c>
      <c r="C47" s="2" t="s">
        <v>1454</v>
      </c>
      <c r="D47" s="2"/>
      <c r="E47" s="2"/>
      <c r="F47" s="2" t="s">
        <v>1880</v>
      </c>
      <c r="G47" s="2" t="s">
        <v>1696</v>
      </c>
      <c r="H47" s="3">
        <v>13</v>
      </c>
      <c r="I47" s="3">
        <v>0</v>
      </c>
      <c r="J47" s="3">
        <v>46</v>
      </c>
      <c r="K47" s="3">
        <v>0</v>
      </c>
      <c r="L47" s="3">
        <v>33</v>
      </c>
      <c r="M47" s="3">
        <v>92</v>
      </c>
      <c r="N47" s="3">
        <v>0</v>
      </c>
      <c r="O47" s="46" t="s">
        <v>1907</v>
      </c>
      <c r="P47" s="3">
        <v>5626.069744</v>
      </c>
      <c r="Q47" s="3">
        <v>5626.069744</v>
      </c>
      <c r="R47" s="3">
        <v>1</v>
      </c>
      <c r="S47" s="3">
        <v>1</v>
      </c>
      <c r="T47" s="3">
        <v>8</v>
      </c>
      <c r="U47" s="3">
        <v>7</v>
      </c>
      <c r="V47" s="3">
        <v>2</v>
      </c>
      <c r="W47" s="3">
        <v>0</v>
      </c>
      <c r="X47" s="3">
        <v>0</v>
      </c>
      <c r="Y47" s="3">
        <v>0</v>
      </c>
      <c r="Z47" s="3">
        <v>61.152932</v>
      </c>
      <c r="AA47" s="3">
        <v>489.223456</v>
      </c>
      <c r="AB47" s="3">
        <v>11.5</v>
      </c>
      <c r="AC47" s="3">
        <v>11.5</v>
      </c>
      <c r="AD47" s="3">
        <v>7.375</v>
      </c>
      <c r="AE47" s="3">
        <v>1.625</v>
      </c>
      <c r="AF47" s="3">
        <v>5.75</v>
      </c>
      <c r="AG47" s="3">
        <v>0</v>
      </c>
      <c r="AH47" s="3">
        <v>4.5</v>
      </c>
      <c r="AI47" s="3">
        <v>44</v>
      </c>
      <c r="AJ47" s="3">
        <v>6</v>
      </c>
      <c r="AK47" s="3">
        <v>2690.729008</v>
      </c>
      <c r="AL47" s="2" t="s">
        <v>1694</v>
      </c>
      <c r="AM47" s="3">
        <v>4</v>
      </c>
      <c r="AN47" s="3">
        <v>4</v>
      </c>
      <c r="AO47" s="4">
        <v>46012</v>
      </c>
      <c r="AP47" s="4">
        <v>45760</v>
      </c>
      <c r="AQ47" s="2" t="s">
        <v>1879</v>
      </c>
      <c r="AR47" s="2" t="s">
        <v>1454</v>
      </c>
    </row>
    <row r="48" customHeight="1" spans="1:44">
      <c r="A48" s="2" t="s">
        <v>202</v>
      </c>
      <c r="B48" s="2" t="s">
        <v>1692</v>
      </c>
      <c r="C48" s="2" t="s">
        <v>1454</v>
      </c>
      <c r="D48" s="2"/>
      <c r="E48" s="2"/>
      <c r="F48" s="2" t="s">
        <v>1878</v>
      </c>
      <c r="G48" s="2" t="s">
        <v>1696</v>
      </c>
      <c r="H48" s="3">
        <v>43</v>
      </c>
      <c r="I48" s="3">
        <v>20</v>
      </c>
      <c r="J48" s="3">
        <v>23</v>
      </c>
      <c r="K48" s="3">
        <v>5</v>
      </c>
      <c r="L48" s="3">
        <v>0</v>
      </c>
      <c r="M48" s="3">
        <v>91</v>
      </c>
      <c r="N48" s="3">
        <v>100</v>
      </c>
      <c r="O48" s="46" t="s">
        <v>998</v>
      </c>
      <c r="P48" s="3">
        <v>3623.979359</v>
      </c>
      <c r="Q48" s="3">
        <v>7606.374259</v>
      </c>
      <c r="R48" s="3">
        <v>1</v>
      </c>
      <c r="S48" s="3">
        <v>2</v>
      </c>
      <c r="T48" s="3">
        <v>5</v>
      </c>
      <c r="U48" s="3">
        <v>23</v>
      </c>
      <c r="V48" s="3">
        <v>10</v>
      </c>
      <c r="W48" s="3">
        <v>0</v>
      </c>
      <c r="X48" s="3">
        <v>0</v>
      </c>
      <c r="Y48" s="3">
        <v>20</v>
      </c>
      <c r="Z48" s="3">
        <v>39.823949</v>
      </c>
      <c r="AA48" s="3">
        <v>199.119745</v>
      </c>
      <c r="AB48" s="3">
        <v>38.2</v>
      </c>
      <c r="AC48" s="3">
        <v>18.2</v>
      </c>
      <c r="AD48" s="3">
        <v>18.2</v>
      </c>
      <c r="AE48" s="3">
        <v>8.6</v>
      </c>
      <c r="AF48" s="3">
        <v>4.6</v>
      </c>
      <c r="AG48" s="3">
        <v>1</v>
      </c>
      <c r="AH48" s="3">
        <v>4.5</v>
      </c>
      <c r="AI48" s="3">
        <v>61</v>
      </c>
      <c r="AJ48" s="3">
        <v>6</v>
      </c>
      <c r="AK48" s="3">
        <v>2429.260889</v>
      </c>
      <c r="AL48" s="2" t="s">
        <v>1694</v>
      </c>
      <c r="AM48" s="3">
        <v>3</v>
      </c>
      <c r="AN48" s="3">
        <v>2</v>
      </c>
      <c r="AO48" s="4">
        <v>46244</v>
      </c>
      <c r="AP48" s="4">
        <v>45757</v>
      </c>
      <c r="AQ48" s="2" t="s">
        <v>1879</v>
      </c>
      <c r="AR48" s="2" t="s">
        <v>1454</v>
      </c>
    </row>
    <row r="49" customHeight="1" spans="1:44">
      <c r="A49" s="2" t="s">
        <v>503</v>
      </c>
      <c r="B49" s="2" t="s">
        <v>1692</v>
      </c>
      <c r="C49" s="2" t="s">
        <v>1454</v>
      </c>
      <c r="D49" s="2"/>
      <c r="E49" s="2"/>
      <c r="F49" s="2" t="s">
        <v>1885</v>
      </c>
      <c r="G49" s="2" t="s">
        <v>1696</v>
      </c>
      <c r="H49" s="3">
        <v>0</v>
      </c>
      <c r="I49" s="3">
        <v>0</v>
      </c>
      <c r="J49" s="3">
        <v>43</v>
      </c>
      <c r="K49" s="3">
        <v>3</v>
      </c>
      <c r="L49" s="3">
        <v>43</v>
      </c>
      <c r="M49" s="3">
        <v>89</v>
      </c>
      <c r="N49" s="3">
        <v>0</v>
      </c>
      <c r="O49" s="46" t="s">
        <v>1908</v>
      </c>
      <c r="P49" s="3">
        <v>3762.699369</v>
      </c>
      <c r="Q49" s="3">
        <v>3762.699369</v>
      </c>
      <c r="R49" s="3">
        <v>1</v>
      </c>
      <c r="S49" s="3">
        <v>1</v>
      </c>
      <c r="T49" s="3">
        <v>2</v>
      </c>
      <c r="U49" s="3">
        <v>1</v>
      </c>
      <c r="V49" s="3">
        <v>2</v>
      </c>
      <c r="W49" s="3">
        <v>0</v>
      </c>
      <c r="X49" s="3">
        <v>0</v>
      </c>
      <c r="Y49" s="3">
        <v>0</v>
      </c>
      <c r="Z49" s="3">
        <v>42.277521</v>
      </c>
      <c r="AA49" s="3">
        <v>84.555042</v>
      </c>
      <c r="AB49" s="3">
        <v>44.5</v>
      </c>
      <c r="AC49" s="3">
        <v>44.5</v>
      </c>
      <c r="AD49" s="3">
        <v>23</v>
      </c>
      <c r="AE49" s="3">
        <v>0</v>
      </c>
      <c r="AF49" s="3">
        <v>21.5</v>
      </c>
      <c r="AG49" s="3">
        <v>1.5</v>
      </c>
      <c r="AH49" s="3">
        <v>4.5</v>
      </c>
      <c r="AI49" s="3">
        <v>77</v>
      </c>
      <c r="AJ49" s="3">
        <v>6</v>
      </c>
      <c r="AK49" s="3">
        <v>3255.369117</v>
      </c>
      <c r="AL49" s="2" t="s">
        <v>1694</v>
      </c>
      <c r="AM49" s="3">
        <v>0</v>
      </c>
      <c r="AN49" s="3">
        <v>2</v>
      </c>
      <c r="AO49" s="4">
        <v>45368</v>
      </c>
      <c r="AP49" s="4">
        <v>45366</v>
      </c>
      <c r="AQ49" s="2" t="s">
        <v>1879</v>
      </c>
      <c r="AR49" s="2" t="s">
        <v>1454</v>
      </c>
    </row>
    <row r="50" customHeight="1" spans="1:44">
      <c r="A50" s="2" t="s">
        <v>40</v>
      </c>
      <c r="B50" s="2" t="s">
        <v>1692</v>
      </c>
      <c r="C50" s="2" t="s">
        <v>1454</v>
      </c>
      <c r="D50" s="2"/>
      <c r="E50" s="2"/>
      <c r="F50" s="2" t="s">
        <v>1878</v>
      </c>
      <c r="G50" s="2" t="s">
        <v>1696</v>
      </c>
      <c r="H50" s="3">
        <v>3</v>
      </c>
      <c r="I50" s="3">
        <v>1</v>
      </c>
      <c r="J50" s="3">
        <v>21</v>
      </c>
      <c r="K50" s="3">
        <v>37</v>
      </c>
      <c r="L50" s="3">
        <v>27</v>
      </c>
      <c r="M50" s="3">
        <v>89</v>
      </c>
      <c r="N50" s="3">
        <v>128</v>
      </c>
      <c r="O50" s="46" t="s">
        <v>1909</v>
      </c>
      <c r="P50" s="3">
        <v>4568.249494</v>
      </c>
      <c r="Q50" s="3">
        <v>11138.31618</v>
      </c>
      <c r="R50" s="3">
        <v>2</v>
      </c>
      <c r="S50" s="3">
        <v>9</v>
      </c>
      <c r="T50" s="3">
        <v>21</v>
      </c>
      <c r="U50" s="3">
        <v>24</v>
      </c>
      <c r="V50" s="3">
        <v>35</v>
      </c>
      <c r="W50" s="3">
        <v>0</v>
      </c>
      <c r="X50" s="3">
        <v>0</v>
      </c>
      <c r="Y50" s="3">
        <v>0</v>
      </c>
      <c r="Z50" s="3">
        <v>51.328646</v>
      </c>
      <c r="AA50" s="3">
        <v>1077.901566</v>
      </c>
      <c r="AB50" s="3">
        <v>10.33333333</v>
      </c>
      <c r="AC50" s="3">
        <v>4.238095238</v>
      </c>
      <c r="AD50" s="3">
        <v>2.952380952</v>
      </c>
      <c r="AE50" s="3">
        <v>0.142857143</v>
      </c>
      <c r="AF50" s="3">
        <v>1</v>
      </c>
      <c r="AG50" s="3">
        <v>1.761904762</v>
      </c>
      <c r="AH50" s="3">
        <v>4.5</v>
      </c>
      <c r="AI50" s="3">
        <v>0</v>
      </c>
      <c r="AJ50" s="3">
        <v>6</v>
      </c>
      <c r="AK50" s="3">
        <v>0</v>
      </c>
      <c r="AL50" s="2" t="s">
        <v>1694</v>
      </c>
      <c r="AM50" s="3">
        <v>15</v>
      </c>
      <c r="AN50" s="3">
        <v>6</v>
      </c>
      <c r="AO50" s="4">
        <v>46042</v>
      </c>
      <c r="AP50" s="4">
        <v>45756</v>
      </c>
      <c r="AQ50" s="2" t="s">
        <v>1879</v>
      </c>
      <c r="AR50" s="2" t="s">
        <v>1454</v>
      </c>
    </row>
    <row r="51" customHeight="1" spans="1:44">
      <c r="A51" s="2" t="s">
        <v>199</v>
      </c>
      <c r="B51" s="2" t="s">
        <v>1692</v>
      </c>
      <c r="C51" s="2" t="s">
        <v>1454</v>
      </c>
      <c r="D51" s="2"/>
      <c r="E51" s="2"/>
      <c r="F51" s="2" t="s">
        <v>1878</v>
      </c>
      <c r="G51" s="2" t="s">
        <v>1696</v>
      </c>
      <c r="H51" s="3">
        <v>9</v>
      </c>
      <c r="I51" s="3">
        <v>0</v>
      </c>
      <c r="J51" s="3">
        <v>0</v>
      </c>
      <c r="K51" s="3">
        <v>59</v>
      </c>
      <c r="L51" s="3">
        <v>21</v>
      </c>
      <c r="M51" s="3">
        <v>89</v>
      </c>
      <c r="N51" s="3">
        <v>156</v>
      </c>
      <c r="O51" s="46" t="s">
        <v>1173</v>
      </c>
      <c r="P51" s="3">
        <v>4883.3232</v>
      </c>
      <c r="Q51" s="3">
        <v>13442.856</v>
      </c>
      <c r="R51" s="3">
        <v>4</v>
      </c>
      <c r="S51" s="3">
        <v>9</v>
      </c>
      <c r="T51" s="3">
        <v>19</v>
      </c>
      <c r="U51" s="3">
        <v>23</v>
      </c>
      <c r="V51" s="3">
        <v>30</v>
      </c>
      <c r="W51" s="3">
        <v>0</v>
      </c>
      <c r="X51" s="3">
        <v>0</v>
      </c>
      <c r="Y51" s="3">
        <v>0</v>
      </c>
      <c r="Z51" s="3">
        <v>54.8688</v>
      </c>
      <c r="AA51" s="3">
        <v>1042.5072</v>
      </c>
      <c r="AB51" s="3">
        <v>12.89473684</v>
      </c>
      <c r="AC51" s="3">
        <v>4.684210526</v>
      </c>
      <c r="AD51" s="3">
        <v>3.578947368</v>
      </c>
      <c r="AE51" s="3">
        <v>0.473684211</v>
      </c>
      <c r="AF51" s="3">
        <v>0</v>
      </c>
      <c r="AG51" s="3">
        <v>3.105263158</v>
      </c>
      <c r="AH51" s="3">
        <v>4.5</v>
      </c>
      <c r="AI51" s="3">
        <v>0</v>
      </c>
      <c r="AJ51" s="3">
        <v>6</v>
      </c>
      <c r="AK51" s="3">
        <v>0</v>
      </c>
      <c r="AL51" s="2" t="s">
        <v>1694</v>
      </c>
      <c r="AM51" s="3">
        <v>10</v>
      </c>
      <c r="AN51" s="3">
        <v>5</v>
      </c>
      <c r="AO51" s="4">
        <v>46184</v>
      </c>
      <c r="AP51" s="4">
        <v>45756</v>
      </c>
      <c r="AQ51" s="2" t="s">
        <v>1879</v>
      </c>
      <c r="AR51" s="2" t="s">
        <v>1454</v>
      </c>
    </row>
    <row r="52" customHeight="1" spans="1:44">
      <c r="A52" s="2" t="s">
        <v>172</v>
      </c>
      <c r="B52" s="2" t="s">
        <v>1692</v>
      </c>
      <c r="C52" s="2" t="s">
        <v>1454</v>
      </c>
      <c r="D52" s="2"/>
      <c r="E52" s="2"/>
      <c r="F52" s="2" t="s">
        <v>1880</v>
      </c>
      <c r="G52" s="2" t="s">
        <v>1696</v>
      </c>
      <c r="H52" s="3">
        <v>11</v>
      </c>
      <c r="I52" s="3">
        <v>0</v>
      </c>
      <c r="J52" s="3">
        <v>23</v>
      </c>
      <c r="K52" s="3">
        <v>9</v>
      </c>
      <c r="L52" s="3">
        <v>45</v>
      </c>
      <c r="M52" s="3">
        <v>88</v>
      </c>
      <c r="N52" s="3">
        <v>80</v>
      </c>
      <c r="O52" s="46" t="s">
        <v>1029</v>
      </c>
      <c r="P52" s="3">
        <v>4828.53404</v>
      </c>
      <c r="Q52" s="3">
        <v>9218.11044</v>
      </c>
      <c r="R52" s="3">
        <v>3</v>
      </c>
      <c r="S52" s="3">
        <v>4</v>
      </c>
      <c r="T52" s="3">
        <v>9</v>
      </c>
      <c r="U52" s="3">
        <v>14</v>
      </c>
      <c r="V52" s="3">
        <v>10</v>
      </c>
      <c r="W52" s="3">
        <v>0</v>
      </c>
      <c r="X52" s="3">
        <v>0</v>
      </c>
      <c r="Y52" s="3">
        <v>0</v>
      </c>
      <c r="Z52" s="3">
        <v>54.869705</v>
      </c>
      <c r="AA52" s="3">
        <v>493.827345</v>
      </c>
      <c r="AB52" s="3">
        <v>18.66666667</v>
      </c>
      <c r="AC52" s="3">
        <v>9.777777778</v>
      </c>
      <c r="AD52" s="3">
        <v>4.777777778</v>
      </c>
      <c r="AE52" s="3">
        <v>1.222222222</v>
      </c>
      <c r="AF52" s="3">
        <v>2.555555556</v>
      </c>
      <c r="AG52" s="3">
        <v>1</v>
      </c>
      <c r="AH52" s="3">
        <v>4.5</v>
      </c>
      <c r="AI52" s="3">
        <v>34</v>
      </c>
      <c r="AJ52" s="3">
        <v>6</v>
      </c>
      <c r="AK52" s="3">
        <v>1865.56997</v>
      </c>
      <c r="AL52" s="2" t="s">
        <v>1694</v>
      </c>
      <c r="AM52" s="3">
        <v>6</v>
      </c>
      <c r="AN52" s="3">
        <v>2</v>
      </c>
      <c r="AO52" s="4">
        <v>46184</v>
      </c>
      <c r="AP52" s="4">
        <v>45770</v>
      </c>
      <c r="AQ52" s="2" t="s">
        <v>1879</v>
      </c>
      <c r="AR52" s="2" t="s">
        <v>1454</v>
      </c>
    </row>
    <row r="53" customHeight="1" spans="1:44">
      <c r="A53" s="2" t="s">
        <v>145</v>
      </c>
      <c r="B53" s="2" t="s">
        <v>1692</v>
      </c>
      <c r="C53" s="2" t="s">
        <v>1454</v>
      </c>
      <c r="D53" s="2"/>
      <c r="E53" s="2"/>
      <c r="F53" s="2" t="s">
        <v>1880</v>
      </c>
      <c r="G53" s="2" t="s">
        <v>1696</v>
      </c>
      <c r="H53" s="3">
        <v>15</v>
      </c>
      <c r="I53" s="3">
        <v>0</v>
      </c>
      <c r="J53" s="3">
        <v>15</v>
      </c>
      <c r="K53" s="3">
        <v>22</v>
      </c>
      <c r="L53" s="3">
        <v>33</v>
      </c>
      <c r="M53" s="3">
        <v>85</v>
      </c>
      <c r="N53" s="3">
        <v>60</v>
      </c>
      <c r="O53" s="46" t="s">
        <v>1910</v>
      </c>
      <c r="P53" s="3">
        <v>3240.93848</v>
      </c>
      <c r="Q53" s="3">
        <v>5528.65976</v>
      </c>
      <c r="R53" s="3">
        <v>2</v>
      </c>
      <c r="S53" s="3">
        <v>5</v>
      </c>
      <c r="T53" s="3">
        <v>9</v>
      </c>
      <c r="U53" s="3">
        <v>14</v>
      </c>
      <c r="V53" s="3">
        <v>14</v>
      </c>
      <c r="W53" s="3">
        <v>0</v>
      </c>
      <c r="X53" s="3">
        <v>0</v>
      </c>
      <c r="Y53" s="3">
        <v>0</v>
      </c>
      <c r="Z53" s="3">
        <v>38.128688</v>
      </c>
      <c r="AA53" s="3">
        <v>343.158192</v>
      </c>
      <c r="AB53" s="3">
        <v>16.11111111</v>
      </c>
      <c r="AC53" s="3">
        <v>9.444444444</v>
      </c>
      <c r="AD53" s="3">
        <v>5.777777778</v>
      </c>
      <c r="AE53" s="3">
        <v>1.666666667</v>
      </c>
      <c r="AF53" s="3">
        <v>1.666666667</v>
      </c>
      <c r="AG53" s="3">
        <v>2.444444444</v>
      </c>
      <c r="AH53" s="3">
        <v>4.5</v>
      </c>
      <c r="AI53" s="3">
        <v>31</v>
      </c>
      <c r="AJ53" s="3">
        <v>6</v>
      </c>
      <c r="AK53" s="3">
        <v>1181.989328</v>
      </c>
      <c r="AL53" s="2" t="s">
        <v>1694</v>
      </c>
      <c r="AM53" s="3">
        <v>0</v>
      </c>
      <c r="AN53" s="3">
        <v>5</v>
      </c>
      <c r="AO53" s="4">
        <v>46012</v>
      </c>
      <c r="AP53" s="4">
        <v>45767</v>
      </c>
      <c r="AQ53" s="2" t="s">
        <v>1879</v>
      </c>
      <c r="AR53" s="2" t="s">
        <v>1454</v>
      </c>
    </row>
    <row r="54" customHeight="1" spans="1:44">
      <c r="A54" s="2" t="s">
        <v>470</v>
      </c>
      <c r="B54" s="2" t="s">
        <v>1692</v>
      </c>
      <c r="C54" s="2" t="s">
        <v>1454</v>
      </c>
      <c r="D54" s="2"/>
      <c r="E54" s="2"/>
      <c r="F54" s="2" t="s">
        <v>343</v>
      </c>
      <c r="G54" s="2" t="s">
        <v>1696</v>
      </c>
      <c r="H54" s="3">
        <v>0</v>
      </c>
      <c r="I54" s="3">
        <v>0</v>
      </c>
      <c r="J54" s="3">
        <v>0</v>
      </c>
      <c r="K54" s="3">
        <v>36</v>
      </c>
      <c r="L54" s="3">
        <v>49</v>
      </c>
      <c r="M54" s="3">
        <v>85</v>
      </c>
      <c r="N54" s="3">
        <v>42</v>
      </c>
      <c r="O54" s="46" t="s">
        <v>829</v>
      </c>
      <c r="P54" s="3">
        <v>27455.75225</v>
      </c>
      <c r="Q54" s="3">
        <v>41022.12395</v>
      </c>
      <c r="R54" s="3">
        <v>7</v>
      </c>
      <c r="S54" s="3">
        <v>17</v>
      </c>
      <c r="T54" s="3">
        <v>28</v>
      </c>
      <c r="U54" s="3">
        <v>24</v>
      </c>
      <c r="V54" s="3">
        <v>0</v>
      </c>
      <c r="W54" s="3">
        <v>0</v>
      </c>
      <c r="X54" s="3">
        <v>84</v>
      </c>
      <c r="Y54" s="3">
        <v>84</v>
      </c>
      <c r="Z54" s="3">
        <v>323.00885</v>
      </c>
      <c r="AA54" s="3">
        <v>9044.2478</v>
      </c>
      <c r="AB54" s="3">
        <v>4.535714286</v>
      </c>
      <c r="AC54" s="3">
        <v>3.035714286</v>
      </c>
      <c r="AD54" s="3">
        <v>1.285714286</v>
      </c>
      <c r="AE54" s="3">
        <v>0</v>
      </c>
      <c r="AF54" s="3">
        <v>0</v>
      </c>
      <c r="AG54" s="3">
        <v>1.285714286</v>
      </c>
      <c r="AH54" s="3">
        <v>4.5</v>
      </c>
      <c r="AI54" s="3">
        <v>0</v>
      </c>
      <c r="AJ54" s="3">
        <v>6</v>
      </c>
      <c r="AK54" s="3">
        <v>0</v>
      </c>
      <c r="AL54" s="2" t="s">
        <v>1710</v>
      </c>
      <c r="AM54" s="3">
        <v>8</v>
      </c>
      <c r="AN54" s="3">
        <v>20</v>
      </c>
      <c r="AO54" s="4">
        <v>46245</v>
      </c>
      <c r="AP54" s="4">
        <v>46233</v>
      </c>
      <c r="AQ54" s="2" t="s">
        <v>1879</v>
      </c>
      <c r="AR54" s="2" t="s">
        <v>1454</v>
      </c>
    </row>
    <row r="55" customHeight="1" spans="1:44">
      <c r="A55" s="2" t="s">
        <v>249</v>
      </c>
      <c r="B55" s="2" t="s">
        <v>1692</v>
      </c>
      <c r="C55" s="2" t="s">
        <v>1454</v>
      </c>
      <c r="D55" s="2"/>
      <c r="E55" s="2"/>
      <c r="F55" s="2" t="s">
        <v>1880</v>
      </c>
      <c r="G55" s="2" t="s">
        <v>1696</v>
      </c>
      <c r="H55" s="3">
        <v>0</v>
      </c>
      <c r="I55" s="3">
        <v>0</v>
      </c>
      <c r="J55" s="3">
        <v>5</v>
      </c>
      <c r="K55" s="3">
        <v>24</v>
      </c>
      <c r="L55" s="3">
        <v>56</v>
      </c>
      <c r="M55" s="3">
        <v>85</v>
      </c>
      <c r="N55" s="3">
        <v>96</v>
      </c>
      <c r="O55" s="46" t="s">
        <v>925</v>
      </c>
      <c r="P55" s="3">
        <v>7176.99115</v>
      </c>
      <c r="Q55" s="3">
        <v>15282.76939</v>
      </c>
      <c r="R55" s="3">
        <v>1</v>
      </c>
      <c r="S55" s="3">
        <v>1</v>
      </c>
      <c r="T55" s="3">
        <v>4</v>
      </c>
      <c r="U55" s="3">
        <v>20</v>
      </c>
      <c r="V55" s="3">
        <v>14</v>
      </c>
      <c r="W55" s="3">
        <v>0</v>
      </c>
      <c r="X55" s="3">
        <v>0</v>
      </c>
      <c r="Y55" s="3">
        <v>0</v>
      </c>
      <c r="Z55" s="3">
        <v>84.43519</v>
      </c>
      <c r="AA55" s="3">
        <v>337.74076</v>
      </c>
      <c r="AB55" s="3">
        <v>45.25</v>
      </c>
      <c r="AC55" s="3">
        <v>21.25</v>
      </c>
      <c r="AD55" s="3">
        <v>7.25</v>
      </c>
      <c r="AE55" s="3">
        <v>0</v>
      </c>
      <c r="AF55" s="3">
        <v>1.25</v>
      </c>
      <c r="AG55" s="3">
        <v>6</v>
      </c>
      <c r="AH55" s="3">
        <v>4.5</v>
      </c>
      <c r="AI55" s="3">
        <v>61</v>
      </c>
      <c r="AJ55" s="3">
        <v>6</v>
      </c>
      <c r="AK55" s="3">
        <v>5150.54659</v>
      </c>
      <c r="AL55" s="2" t="s">
        <v>1694</v>
      </c>
      <c r="AM55" s="3">
        <v>2</v>
      </c>
      <c r="AN55" s="3">
        <v>2</v>
      </c>
      <c r="AO55" s="4">
        <v>46187</v>
      </c>
      <c r="AP55" s="4">
        <v>45798</v>
      </c>
      <c r="AQ55" s="2" t="s">
        <v>1879</v>
      </c>
      <c r="AR55" s="2" t="s">
        <v>1454</v>
      </c>
    </row>
    <row r="56" customHeight="1" spans="1:44">
      <c r="A56" s="2" t="s">
        <v>224</v>
      </c>
      <c r="B56" s="2" t="s">
        <v>1692</v>
      </c>
      <c r="C56" s="2" t="s">
        <v>1454</v>
      </c>
      <c r="D56" s="2"/>
      <c r="E56" s="2"/>
      <c r="F56" s="2" t="s">
        <v>1880</v>
      </c>
      <c r="G56" s="2" t="s">
        <v>1696</v>
      </c>
      <c r="H56" s="3">
        <v>0</v>
      </c>
      <c r="I56" s="3">
        <v>20</v>
      </c>
      <c r="J56" s="3">
        <v>19</v>
      </c>
      <c r="K56" s="3">
        <v>13</v>
      </c>
      <c r="L56" s="3">
        <v>29</v>
      </c>
      <c r="M56" s="3">
        <v>81</v>
      </c>
      <c r="N56" s="3">
        <v>80</v>
      </c>
      <c r="O56" s="46" t="s">
        <v>1235</v>
      </c>
      <c r="P56" s="3">
        <v>3727.881144</v>
      </c>
      <c r="Q56" s="3">
        <v>7409.739064</v>
      </c>
      <c r="R56" s="3">
        <v>4</v>
      </c>
      <c r="S56" s="3">
        <v>5</v>
      </c>
      <c r="T56" s="3">
        <v>17</v>
      </c>
      <c r="U56" s="3">
        <v>18</v>
      </c>
      <c r="V56" s="3">
        <v>10</v>
      </c>
      <c r="W56" s="3">
        <v>0</v>
      </c>
      <c r="X56" s="3">
        <v>0</v>
      </c>
      <c r="Y56" s="3">
        <v>20</v>
      </c>
      <c r="Z56" s="3">
        <v>46.023224</v>
      </c>
      <c r="AA56" s="3">
        <v>782.394808</v>
      </c>
      <c r="AB56" s="3">
        <v>9.470588235</v>
      </c>
      <c r="AC56" s="3">
        <v>4.764705882</v>
      </c>
      <c r="AD56" s="3">
        <v>3.058823529</v>
      </c>
      <c r="AE56" s="3">
        <v>0</v>
      </c>
      <c r="AF56" s="3">
        <v>1.117647059</v>
      </c>
      <c r="AG56" s="3">
        <v>0.764705882</v>
      </c>
      <c r="AH56" s="3">
        <v>4.5</v>
      </c>
      <c r="AI56" s="3">
        <v>0</v>
      </c>
      <c r="AJ56" s="3">
        <v>6</v>
      </c>
      <c r="AK56" s="3">
        <v>0</v>
      </c>
      <c r="AL56" s="2" t="s">
        <v>1694</v>
      </c>
      <c r="AM56" s="3">
        <v>5</v>
      </c>
      <c r="AN56" s="3">
        <v>10</v>
      </c>
      <c r="AO56" s="4">
        <v>46139</v>
      </c>
      <c r="AP56" s="4">
        <v>45754</v>
      </c>
      <c r="AQ56" s="2" t="s">
        <v>1879</v>
      </c>
      <c r="AR56" s="2" t="s">
        <v>1454</v>
      </c>
    </row>
    <row r="57" customHeight="1" spans="1:44">
      <c r="A57" s="2" t="s">
        <v>325</v>
      </c>
      <c r="B57" s="2" t="s">
        <v>1692</v>
      </c>
      <c r="C57" s="2" t="s">
        <v>1454</v>
      </c>
      <c r="D57" s="2"/>
      <c r="E57" s="2"/>
      <c r="F57" s="2" t="s">
        <v>1880</v>
      </c>
      <c r="G57" s="2" t="s">
        <v>1696</v>
      </c>
      <c r="H57" s="3">
        <v>13</v>
      </c>
      <c r="I57" s="3">
        <v>0</v>
      </c>
      <c r="J57" s="3">
        <v>0</v>
      </c>
      <c r="K57" s="3">
        <v>11</v>
      </c>
      <c r="L57" s="3">
        <v>55</v>
      </c>
      <c r="M57" s="3">
        <v>79</v>
      </c>
      <c r="N57" s="3">
        <v>0</v>
      </c>
      <c r="O57" s="46" t="s">
        <v>1014</v>
      </c>
      <c r="P57" s="3">
        <v>5453.097371</v>
      </c>
      <c r="Q57" s="3">
        <v>5453.097371</v>
      </c>
      <c r="R57" s="3">
        <v>2</v>
      </c>
      <c r="S57" s="3">
        <v>3</v>
      </c>
      <c r="T57" s="3">
        <v>5</v>
      </c>
      <c r="U57" s="3">
        <v>7</v>
      </c>
      <c r="V57" s="3">
        <v>19</v>
      </c>
      <c r="W57" s="3">
        <v>48</v>
      </c>
      <c r="X57" s="3">
        <v>48</v>
      </c>
      <c r="Y57" s="3">
        <v>48</v>
      </c>
      <c r="Z57" s="3">
        <v>69.026549</v>
      </c>
      <c r="AA57" s="3">
        <v>345.132745</v>
      </c>
      <c r="AB57" s="3">
        <v>15.8</v>
      </c>
      <c r="AC57" s="3">
        <v>15.8</v>
      </c>
      <c r="AD57" s="3">
        <v>4.8</v>
      </c>
      <c r="AE57" s="3">
        <v>2.6</v>
      </c>
      <c r="AF57" s="3">
        <v>0</v>
      </c>
      <c r="AG57" s="3">
        <v>2.2</v>
      </c>
      <c r="AH57" s="3">
        <v>4.5</v>
      </c>
      <c r="AI57" s="3">
        <v>49</v>
      </c>
      <c r="AJ57" s="3">
        <v>6</v>
      </c>
      <c r="AK57" s="3">
        <v>3382.300901</v>
      </c>
      <c r="AL57" s="2" t="s">
        <v>1694</v>
      </c>
      <c r="AM57" s="3">
        <v>3</v>
      </c>
      <c r="AN57" s="3">
        <v>1</v>
      </c>
      <c r="AO57" s="4">
        <v>45368</v>
      </c>
      <c r="AP57" s="4">
        <v>45366</v>
      </c>
      <c r="AQ57" s="2" t="s">
        <v>1879</v>
      </c>
      <c r="AR57" s="2" t="s">
        <v>1454</v>
      </c>
    </row>
    <row r="58" customHeight="1" spans="1:44">
      <c r="A58" s="2" t="s">
        <v>252</v>
      </c>
      <c r="B58" s="2" t="s">
        <v>1692</v>
      </c>
      <c r="C58" s="2" t="s">
        <v>1454</v>
      </c>
      <c r="D58" s="2"/>
      <c r="E58" s="2"/>
      <c r="F58" s="2" t="s">
        <v>1885</v>
      </c>
      <c r="G58" s="2" t="s">
        <v>1696</v>
      </c>
      <c r="H58" s="3">
        <v>4</v>
      </c>
      <c r="I58" s="3">
        <v>2</v>
      </c>
      <c r="J58" s="3">
        <v>5</v>
      </c>
      <c r="K58" s="3">
        <v>16</v>
      </c>
      <c r="L58" s="3">
        <v>52</v>
      </c>
      <c r="M58" s="3">
        <v>79</v>
      </c>
      <c r="N58" s="3">
        <v>0</v>
      </c>
      <c r="O58" s="46" t="s">
        <v>1014</v>
      </c>
      <c r="P58" s="3">
        <v>4483.108985</v>
      </c>
      <c r="Q58" s="3">
        <v>4483.108985</v>
      </c>
      <c r="R58" s="3">
        <v>2</v>
      </c>
      <c r="S58" s="3">
        <v>2</v>
      </c>
      <c r="T58" s="3">
        <v>11</v>
      </c>
      <c r="U58" s="3">
        <v>12</v>
      </c>
      <c r="V58" s="3">
        <v>16</v>
      </c>
      <c r="W58" s="3">
        <v>40</v>
      </c>
      <c r="X58" s="3">
        <v>40</v>
      </c>
      <c r="Y58" s="3">
        <v>40</v>
      </c>
      <c r="Z58" s="3">
        <v>56.748215</v>
      </c>
      <c r="AA58" s="3">
        <v>624.230365</v>
      </c>
      <c r="AB58" s="3">
        <v>7.181818182</v>
      </c>
      <c r="AC58" s="3">
        <v>7.181818182</v>
      </c>
      <c r="AD58" s="3">
        <v>2.454545455</v>
      </c>
      <c r="AE58" s="3">
        <v>0.363636364</v>
      </c>
      <c r="AF58" s="3">
        <v>0.454545455</v>
      </c>
      <c r="AG58" s="3">
        <v>1.454545455</v>
      </c>
      <c r="AH58" s="3">
        <v>4.5</v>
      </c>
      <c r="AI58" s="3">
        <v>13</v>
      </c>
      <c r="AJ58" s="3">
        <v>6</v>
      </c>
      <c r="AK58" s="3">
        <v>737.726795</v>
      </c>
      <c r="AL58" s="2" t="s">
        <v>1694</v>
      </c>
      <c r="AM58" s="3">
        <v>5</v>
      </c>
      <c r="AN58" s="3">
        <v>6</v>
      </c>
      <c r="AO58" s="4">
        <v>46139</v>
      </c>
      <c r="AP58" s="4">
        <v>45767</v>
      </c>
      <c r="AQ58" s="2" t="s">
        <v>1879</v>
      </c>
      <c r="AR58" s="2" t="s">
        <v>1454</v>
      </c>
    </row>
    <row r="59" customHeight="1" spans="1:44">
      <c r="A59" s="2" t="s">
        <v>181</v>
      </c>
      <c r="B59" s="2" t="s">
        <v>1692</v>
      </c>
      <c r="C59" s="2" t="s">
        <v>1454</v>
      </c>
      <c r="D59" s="2"/>
      <c r="E59" s="2"/>
      <c r="F59" s="2" t="s">
        <v>1878</v>
      </c>
      <c r="G59" s="2" t="s">
        <v>1696</v>
      </c>
      <c r="H59" s="3">
        <v>28</v>
      </c>
      <c r="I59" s="3">
        <v>8</v>
      </c>
      <c r="J59" s="3">
        <v>25</v>
      </c>
      <c r="K59" s="3">
        <v>15</v>
      </c>
      <c r="L59" s="3">
        <v>2</v>
      </c>
      <c r="M59" s="3">
        <v>78</v>
      </c>
      <c r="N59" s="3">
        <v>88</v>
      </c>
      <c r="O59" s="46" t="s">
        <v>976</v>
      </c>
      <c r="P59" s="3">
        <v>6490.102788</v>
      </c>
      <c r="Q59" s="3">
        <v>13812.27004</v>
      </c>
      <c r="R59" s="3">
        <v>3</v>
      </c>
      <c r="S59" s="3">
        <v>12</v>
      </c>
      <c r="T59" s="3">
        <v>22</v>
      </c>
      <c r="U59" s="3">
        <v>17</v>
      </c>
      <c r="V59" s="3">
        <v>12</v>
      </c>
      <c r="W59" s="3">
        <v>0</v>
      </c>
      <c r="X59" s="3">
        <v>0</v>
      </c>
      <c r="Y59" s="3">
        <v>0</v>
      </c>
      <c r="Z59" s="3">
        <v>83.206446</v>
      </c>
      <c r="AA59" s="3">
        <v>1830.541812</v>
      </c>
      <c r="AB59" s="3">
        <v>7.545454545</v>
      </c>
      <c r="AC59" s="3">
        <v>3.545454545</v>
      </c>
      <c r="AD59" s="3">
        <v>3.454545455</v>
      </c>
      <c r="AE59" s="3">
        <v>1.272727273</v>
      </c>
      <c r="AF59" s="3">
        <v>1.136363636</v>
      </c>
      <c r="AG59" s="3">
        <v>0.681818182</v>
      </c>
      <c r="AH59" s="3">
        <v>4.5</v>
      </c>
      <c r="AI59" s="3">
        <v>0</v>
      </c>
      <c r="AJ59" s="3">
        <v>6</v>
      </c>
      <c r="AK59" s="3">
        <v>0</v>
      </c>
      <c r="AL59" s="2" t="s">
        <v>1694</v>
      </c>
      <c r="AM59" s="3">
        <v>14</v>
      </c>
      <c r="AN59" s="3">
        <v>8</v>
      </c>
      <c r="AO59" s="4">
        <v>45368</v>
      </c>
      <c r="AP59" s="4">
        <v>45351</v>
      </c>
      <c r="AQ59" s="2" t="s">
        <v>1879</v>
      </c>
      <c r="AR59" s="2" t="s">
        <v>1454</v>
      </c>
    </row>
    <row r="60" customHeight="1" spans="1:44">
      <c r="A60" s="2" t="s">
        <v>282</v>
      </c>
      <c r="B60" s="2" t="s">
        <v>1692</v>
      </c>
      <c r="C60" s="2" t="s">
        <v>1454</v>
      </c>
      <c r="D60" s="2"/>
      <c r="E60" s="2"/>
      <c r="F60" s="2" t="s">
        <v>1885</v>
      </c>
      <c r="G60" s="2" t="s">
        <v>1696</v>
      </c>
      <c r="H60" s="3">
        <v>12</v>
      </c>
      <c r="I60" s="3">
        <v>9</v>
      </c>
      <c r="J60" s="3">
        <v>13</v>
      </c>
      <c r="K60" s="3">
        <v>12</v>
      </c>
      <c r="L60" s="3">
        <v>31</v>
      </c>
      <c r="M60" s="3">
        <v>77</v>
      </c>
      <c r="N60" s="3">
        <v>0</v>
      </c>
      <c r="O60" s="46" t="s">
        <v>1212</v>
      </c>
      <c r="P60" s="3">
        <v>7861.343567</v>
      </c>
      <c r="Q60" s="3">
        <v>7861.343567</v>
      </c>
      <c r="R60" s="3">
        <v>2</v>
      </c>
      <c r="S60" s="3">
        <v>6</v>
      </c>
      <c r="T60" s="3">
        <v>13</v>
      </c>
      <c r="U60" s="3">
        <v>18</v>
      </c>
      <c r="V60" s="3">
        <v>12</v>
      </c>
      <c r="W60" s="3">
        <v>0</v>
      </c>
      <c r="X60" s="3">
        <v>0</v>
      </c>
      <c r="Y60" s="3">
        <v>0</v>
      </c>
      <c r="Z60" s="3">
        <v>102.095371</v>
      </c>
      <c r="AA60" s="3">
        <v>1327.239823</v>
      </c>
      <c r="AB60" s="3">
        <v>5.923076923</v>
      </c>
      <c r="AC60" s="3">
        <v>5.923076923</v>
      </c>
      <c r="AD60" s="3">
        <v>3.538461538</v>
      </c>
      <c r="AE60" s="3">
        <v>0.923076923</v>
      </c>
      <c r="AF60" s="3">
        <v>1</v>
      </c>
      <c r="AG60" s="3">
        <v>0.923076923</v>
      </c>
      <c r="AH60" s="3">
        <v>4.5</v>
      </c>
      <c r="AI60" s="3">
        <v>0</v>
      </c>
      <c r="AJ60" s="3">
        <v>6</v>
      </c>
      <c r="AK60" s="3">
        <v>0</v>
      </c>
      <c r="AL60" s="2" t="s">
        <v>1694</v>
      </c>
      <c r="AM60" s="3">
        <v>5</v>
      </c>
      <c r="AN60" s="3">
        <v>8</v>
      </c>
      <c r="AO60" s="4">
        <v>45368</v>
      </c>
      <c r="AP60" s="4">
        <v>45351</v>
      </c>
      <c r="AQ60" s="2" t="s">
        <v>1879</v>
      </c>
      <c r="AR60" s="2" t="s">
        <v>1454</v>
      </c>
    </row>
    <row r="61" customHeight="1" spans="1:44">
      <c r="A61" s="2" t="s">
        <v>136</v>
      </c>
      <c r="B61" s="2" t="s">
        <v>1692</v>
      </c>
      <c r="C61" s="2" t="s">
        <v>1454</v>
      </c>
      <c r="D61" s="2"/>
      <c r="E61" s="2"/>
      <c r="F61" s="2" t="s">
        <v>1880</v>
      </c>
      <c r="G61" s="2" t="s">
        <v>1696</v>
      </c>
      <c r="H61" s="3">
        <v>8</v>
      </c>
      <c r="I61" s="3">
        <v>0</v>
      </c>
      <c r="J61" s="3">
        <v>5</v>
      </c>
      <c r="K61" s="3">
        <v>16</v>
      </c>
      <c r="L61" s="3">
        <v>48</v>
      </c>
      <c r="M61" s="3">
        <v>77</v>
      </c>
      <c r="N61" s="3">
        <v>40</v>
      </c>
      <c r="O61" s="46" t="s">
        <v>1911</v>
      </c>
      <c r="P61" s="3">
        <v>3285.611714</v>
      </c>
      <c r="Q61" s="3">
        <v>4992.422994</v>
      </c>
      <c r="R61" s="3">
        <v>2</v>
      </c>
      <c r="S61" s="3">
        <v>8</v>
      </c>
      <c r="T61" s="3">
        <v>20</v>
      </c>
      <c r="U61" s="3">
        <v>16</v>
      </c>
      <c r="V61" s="3">
        <v>15</v>
      </c>
      <c r="W61" s="3">
        <v>60</v>
      </c>
      <c r="X61" s="3">
        <v>60</v>
      </c>
      <c r="Y61" s="3">
        <v>60</v>
      </c>
      <c r="Z61" s="3">
        <v>42.670282</v>
      </c>
      <c r="AA61" s="3">
        <v>853.40564</v>
      </c>
      <c r="AB61" s="3">
        <v>5.85</v>
      </c>
      <c r="AC61" s="3">
        <v>3.85</v>
      </c>
      <c r="AD61" s="3">
        <v>1.45</v>
      </c>
      <c r="AE61" s="3">
        <v>0.4</v>
      </c>
      <c r="AF61" s="3">
        <v>0.25</v>
      </c>
      <c r="AG61" s="3">
        <v>0.8</v>
      </c>
      <c r="AH61" s="3">
        <v>4.5</v>
      </c>
      <c r="AI61" s="3">
        <v>0</v>
      </c>
      <c r="AJ61" s="3">
        <v>6</v>
      </c>
      <c r="AK61" s="3">
        <v>0</v>
      </c>
      <c r="AL61" s="2" t="s">
        <v>1694</v>
      </c>
      <c r="AM61" s="3">
        <v>10</v>
      </c>
      <c r="AN61" s="3">
        <v>5</v>
      </c>
      <c r="AO61" s="4">
        <v>46054</v>
      </c>
      <c r="AP61" s="4">
        <v>45754</v>
      </c>
      <c r="AQ61" s="2" t="s">
        <v>1879</v>
      </c>
      <c r="AR61" s="2" t="s">
        <v>1454</v>
      </c>
    </row>
    <row r="62" customHeight="1" spans="1:44">
      <c r="A62" s="2" t="s">
        <v>485</v>
      </c>
      <c r="B62" s="2" t="s">
        <v>1692</v>
      </c>
      <c r="C62" s="2" t="s">
        <v>1454</v>
      </c>
      <c r="D62" s="2"/>
      <c r="E62" s="2"/>
      <c r="F62" s="2" t="s">
        <v>1885</v>
      </c>
      <c r="G62" s="2" t="s">
        <v>1696</v>
      </c>
      <c r="H62" s="3">
        <v>0</v>
      </c>
      <c r="I62" s="3">
        <v>0</v>
      </c>
      <c r="J62" s="3">
        <v>5</v>
      </c>
      <c r="K62" s="3">
        <v>8</v>
      </c>
      <c r="L62" s="3">
        <v>63</v>
      </c>
      <c r="M62" s="3">
        <v>76</v>
      </c>
      <c r="N62" s="3">
        <v>0</v>
      </c>
      <c r="O62" s="46" t="s">
        <v>1045</v>
      </c>
      <c r="P62" s="3">
        <v>4641.250764</v>
      </c>
      <c r="Q62" s="3">
        <v>4641.250764</v>
      </c>
      <c r="R62" s="3">
        <v>2</v>
      </c>
      <c r="S62" s="3">
        <v>3</v>
      </c>
      <c r="T62" s="3">
        <v>4</v>
      </c>
      <c r="U62" s="3">
        <v>5</v>
      </c>
      <c r="V62" s="3">
        <v>2</v>
      </c>
      <c r="W62" s="3">
        <v>0</v>
      </c>
      <c r="X62" s="3">
        <v>0</v>
      </c>
      <c r="Y62" s="3">
        <v>0</v>
      </c>
      <c r="Z62" s="3">
        <v>61.069089</v>
      </c>
      <c r="AA62" s="3">
        <v>244.276356</v>
      </c>
      <c r="AB62" s="3">
        <v>19</v>
      </c>
      <c r="AC62" s="3">
        <v>19</v>
      </c>
      <c r="AD62" s="3">
        <v>3.25</v>
      </c>
      <c r="AE62" s="3">
        <v>0</v>
      </c>
      <c r="AF62" s="3">
        <v>1.25</v>
      </c>
      <c r="AG62" s="3">
        <v>2</v>
      </c>
      <c r="AH62" s="3">
        <v>4.5</v>
      </c>
      <c r="AI62" s="3">
        <v>52</v>
      </c>
      <c r="AJ62" s="3">
        <v>6</v>
      </c>
      <c r="AK62" s="3">
        <v>3175.592628</v>
      </c>
      <c r="AL62" s="2" t="s">
        <v>1694</v>
      </c>
      <c r="AM62" s="3">
        <v>0</v>
      </c>
      <c r="AN62" s="3">
        <v>3</v>
      </c>
      <c r="AO62" s="4">
        <v>45368</v>
      </c>
      <c r="AP62" s="4">
        <v>45351</v>
      </c>
      <c r="AQ62" s="2" t="s">
        <v>1879</v>
      </c>
      <c r="AR62" s="2" t="s">
        <v>1454</v>
      </c>
    </row>
    <row r="63" customHeight="1" spans="1:44">
      <c r="A63" s="2" t="s">
        <v>488</v>
      </c>
      <c r="B63" s="2" t="s">
        <v>1692</v>
      </c>
      <c r="C63" s="2" t="s">
        <v>1454</v>
      </c>
      <c r="D63" s="2"/>
      <c r="E63" s="2"/>
      <c r="F63" s="2" t="s">
        <v>1880</v>
      </c>
      <c r="G63" s="2" t="s">
        <v>1696</v>
      </c>
      <c r="H63" s="3">
        <v>0</v>
      </c>
      <c r="I63" s="3">
        <v>0</v>
      </c>
      <c r="J63" s="3">
        <v>26</v>
      </c>
      <c r="K63" s="3">
        <v>38</v>
      </c>
      <c r="L63" s="3">
        <v>12</v>
      </c>
      <c r="M63" s="3">
        <v>76</v>
      </c>
      <c r="N63" s="3">
        <v>80</v>
      </c>
      <c r="O63" s="46" t="s">
        <v>1172</v>
      </c>
      <c r="P63" s="3">
        <v>2970.992456</v>
      </c>
      <c r="Q63" s="3">
        <v>6098.352936</v>
      </c>
      <c r="R63" s="3">
        <v>2</v>
      </c>
      <c r="S63" s="3">
        <v>3</v>
      </c>
      <c r="T63" s="3">
        <v>5</v>
      </c>
      <c r="U63" s="3">
        <v>16</v>
      </c>
      <c r="V63" s="3">
        <v>6</v>
      </c>
      <c r="W63" s="3">
        <v>0</v>
      </c>
      <c r="X63" s="3">
        <v>0</v>
      </c>
      <c r="Y63" s="3">
        <v>0</v>
      </c>
      <c r="Z63" s="3">
        <v>39.092006</v>
      </c>
      <c r="AA63" s="3">
        <v>195.46003</v>
      </c>
      <c r="AB63" s="3">
        <v>31.2</v>
      </c>
      <c r="AC63" s="3">
        <v>15.2</v>
      </c>
      <c r="AD63" s="3">
        <v>12.8</v>
      </c>
      <c r="AE63" s="3">
        <v>0</v>
      </c>
      <c r="AF63" s="3">
        <v>5.2</v>
      </c>
      <c r="AG63" s="3">
        <v>7.6</v>
      </c>
      <c r="AH63" s="3">
        <v>4.5</v>
      </c>
      <c r="AI63" s="3">
        <v>46</v>
      </c>
      <c r="AJ63" s="3">
        <v>6</v>
      </c>
      <c r="AK63" s="3">
        <v>1798.232276</v>
      </c>
      <c r="AL63" s="2" t="s">
        <v>1694</v>
      </c>
      <c r="AM63" s="3">
        <v>0</v>
      </c>
      <c r="AN63" s="3">
        <v>5</v>
      </c>
      <c r="AO63" s="4">
        <v>45368</v>
      </c>
      <c r="AP63" s="4">
        <v>45351</v>
      </c>
      <c r="AQ63" s="2" t="s">
        <v>1879</v>
      </c>
      <c r="AR63" s="2" t="s">
        <v>1454</v>
      </c>
    </row>
    <row r="64" customHeight="1" spans="1:44">
      <c r="A64" s="2" t="s">
        <v>196</v>
      </c>
      <c r="B64" s="2" t="s">
        <v>1692</v>
      </c>
      <c r="C64" s="2" t="s">
        <v>1454</v>
      </c>
      <c r="D64" s="2"/>
      <c r="E64" s="2"/>
      <c r="F64" s="2" t="s">
        <v>1880</v>
      </c>
      <c r="G64" s="2" t="s">
        <v>1696</v>
      </c>
      <c r="H64" s="3">
        <v>31</v>
      </c>
      <c r="I64" s="3">
        <v>0</v>
      </c>
      <c r="J64" s="3">
        <v>5</v>
      </c>
      <c r="K64" s="3">
        <v>13</v>
      </c>
      <c r="L64" s="3">
        <v>27</v>
      </c>
      <c r="M64" s="3">
        <v>76</v>
      </c>
      <c r="N64" s="3">
        <v>100</v>
      </c>
      <c r="O64" s="46" t="s">
        <v>1061</v>
      </c>
      <c r="P64" s="3">
        <v>3094.544364</v>
      </c>
      <c r="Q64" s="3">
        <v>7166.313264</v>
      </c>
      <c r="R64" s="3">
        <v>4</v>
      </c>
      <c r="S64" s="3">
        <v>9</v>
      </c>
      <c r="T64" s="3">
        <v>14</v>
      </c>
      <c r="U64" s="3">
        <v>17</v>
      </c>
      <c r="V64" s="3">
        <v>21</v>
      </c>
      <c r="W64" s="3">
        <v>0</v>
      </c>
      <c r="X64" s="3">
        <v>20</v>
      </c>
      <c r="Y64" s="3">
        <v>20</v>
      </c>
      <c r="Z64" s="3">
        <v>40.717689</v>
      </c>
      <c r="AA64" s="3">
        <v>570.047646</v>
      </c>
      <c r="AB64" s="3">
        <v>12.57142857</v>
      </c>
      <c r="AC64" s="3">
        <v>5.428571429</v>
      </c>
      <c r="AD64" s="3">
        <v>3.5</v>
      </c>
      <c r="AE64" s="3">
        <v>2.214285714</v>
      </c>
      <c r="AF64" s="3">
        <v>0.357142857</v>
      </c>
      <c r="AG64" s="3">
        <v>0.928571429</v>
      </c>
      <c r="AH64" s="3">
        <v>4.5</v>
      </c>
      <c r="AI64" s="3">
        <v>0</v>
      </c>
      <c r="AJ64" s="3">
        <v>6</v>
      </c>
      <c r="AK64" s="3">
        <v>0</v>
      </c>
      <c r="AL64" s="2" t="s">
        <v>1694</v>
      </c>
      <c r="AM64" s="3">
        <v>4</v>
      </c>
      <c r="AN64" s="3">
        <v>2</v>
      </c>
      <c r="AO64" s="4">
        <v>46035</v>
      </c>
      <c r="AP64" s="4">
        <v>45757</v>
      </c>
      <c r="AQ64" s="2" t="s">
        <v>1879</v>
      </c>
      <c r="AR64" s="2" t="s">
        <v>1454</v>
      </c>
    </row>
    <row r="65" customHeight="1" spans="1:44">
      <c r="A65" s="2" t="s">
        <v>295</v>
      </c>
      <c r="B65" s="2" t="s">
        <v>1692</v>
      </c>
      <c r="C65" s="2" t="s">
        <v>1454</v>
      </c>
      <c r="D65" s="2"/>
      <c r="E65" s="2"/>
      <c r="F65" s="2" t="s">
        <v>1878</v>
      </c>
      <c r="G65" s="2" t="s">
        <v>1696</v>
      </c>
      <c r="H65" s="3">
        <v>28</v>
      </c>
      <c r="I65" s="3">
        <v>0</v>
      </c>
      <c r="J65" s="3">
        <v>13</v>
      </c>
      <c r="K65" s="3">
        <v>24</v>
      </c>
      <c r="L65" s="3">
        <v>10</v>
      </c>
      <c r="M65" s="3">
        <v>75</v>
      </c>
      <c r="N65" s="3">
        <v>104</v>
      </c>
      <c r="O65" s="46" t="s">
        <v>1912</v>
      </c>
      <c r="P65" s="3">
        <v>7468.924575</v>
      </c>
      <c r="Q65" s="3">
        <v>17825.83332</v>
      </c>
      <c r="R65" s="3">
        <v>2</v>
      </c>
      <c r="S65" s="3">
        <v>5</v>
      </c>
      <c r="T65" s="3">
        <v>10</v>
      </c>
      <c r="U65" s="3">
        <v>20</v>
      </c>
      <c r="V65" s="3">
        <v>14</v>
      </c>
      <c r="W65" s="3">
        <v>0</v>
      </c>
      <c r="X65" s="3">
        <v>0</v>
      </c>
      <c r="Y65" s="3">
        <v>0</v>
      </c>
      <c r="Z65" s="3">
        <v>99.585661</v>
      </c>
      <c r="AA65" s="3">
        <v>995.85661</v>
      </c>
      <c r="AB65" s="3">
        <v>17.9</v>
      </c>
      <c r="AC65" s="3">
        <v>7.5</v>
      </c>
      <c r="AD65" s="3">
        <v>6.5</v>
      </c>
      <c r="AE65" s="3">
        <v>2.8</v>
      </c>
      <c r="AF65" s="3">
        <v>1.3</v>
      </c>
      <c r="AG65" s="3">
        <v>2.4</v>
      </c>
      <c r="AH65" s="3">
        <v>4.5</v>
      </c>
      <c r="AI65" s="3">
        <v>15</v>
      </c>
      <c r="AJ65" s="3">
        <v>6</v>
      </c>
      <c r="AK65" s="3">
        <v>1493.784915</v>
      </c>
      <c r="AL65" s="2" t="s">
        <v>1694</v>
      </c>
      <c r="AM65" s="3">
        <v>5</v>
      </c>
      <c r="AN65" s="3">
        <v>1</v>
      </c>
      <c r="AO65" s="4">
        <v>46012</v>
      </c>
      <c r="AP65" s="4">
        <v>45688</v>
      </c>
      <c r="AQ65" s="2" t="s">
        <v>1879</v>
      </c>
      <c r="AR65" s="2" t="s">
        <v>1454</v>
      </c>
    </row>
    <row r="66" customHeight="1" spans="1:44">
      <c r="A66" s="2" t="s">
        <v>264</v>
      </c>
      <c r="B66" s="2" t="s">
        <v>1692</v>
      </c>
      <c r="C66" s="2" t="s">
        <v>1454</v>
      </c>
      <c r="D66" s="2"/>
      <c r="E66" s="2"/>
      <c r="F66" s="2" t="s">
        <v>1880</v>
      </c>
      <c r="G66" s="2" t="s">
        <v>1696</v>
      </c>
      <c r="H66" s="3">
        <v>2</v>
      </c>
      <c r="I66" s="3">
        <v>0</v>
      </c>
      <c r="J66" s="3">
        <v>7</v>
      </c>
      <c r="K66" s="3">
        <v>28</v>
      </c>
      <c r="L66" s="3">
        <v>38</v>
      </c>
      <c r="M66" s="3">
        <v>75</v>
      </c>
      <c r="N66" s="3">
        <v>96</v>
      </c>
      <c r="O66" s="46" t="s">
        <v>1913</v>
      </c>
      <c r="P66" s="3">
        <v>6419.7864</v>
      </c>
      <c r="Q66" s="3">
        <v>14637.11299</v>
      </c>
      <c r="R66" s="3">
        <v>8</v>
      </c>
      <c r="S66" s="3">
        <v>9</v>
      </c>
      <c r="T66" s="3">
        <v>13</v>
      </c>
      <c r="U66" s="3">
        <v>10</v>
      </c>
      <c r="V66" s="3">
        <v>11</v>
      </c>
      <c r="W66" s="3">
        <v>0</v>
      </c>
      <c r="X66" s="3">
        <v>0</v>
      </c>
      <c r="Y66" s="3">
        <v>0</v>
      </c>
      <c r="Z66" s="3">
        <v>85.597152</v>
      </c>
      <c r="AA66" s="3">
        <v>1112.762976</v>
      </c>
      <c r="AB66" s="3">
        <v>13.15384615</v>
      </c>
      <c r="AC66" s="3">
        <v>5.769230769</v>
      </c>
      <c r="AD66" s="3">
        <v>2.846153846</v>
      </c>
      <c r="AE66" s="3">
        <v>0.153846154</v>
      </c>
      <c r="AF66" s="3">
        <v>0.538461538</v>
      </c>
      <c r="AG66" s="3">
        <v>2.153846154</v>
      </c>
      <c r="AH66" s="3">
        <v>4.5</v>
      </c>
      <c r="AI66" s="3">
        <v>0</v>
      </c>
      <c r="AJ66" s="3">
        <v>6</v>
      </c>
      <c r="AK66" s="3">
        <v>0</v>
      </c>
      <c r="AL66" s="2" t="s">
        <v>1694</v>
      </c>
      <c r="AM66" s="3">
        <v>7</v>
      </c>
      <c r="AN66" s="3">
        <v>6</v>
      </c>
      <c r="AO66" s="4">
        <v>46206</v>
      </c>
      <c r="AP66" s="4">
        <v>45697</v>
      </c>
      <c r="AQ66" s="2" t="s">
        <v>1879</v>
      </c>
      <c r="AR66" s="2" t="s">
        <v>1454</v>
      </c>
    </row>
    <row r="67" customHeight="1" spans="1:44">
      <c r="A67" s="2" t="s">
        <v>316</v>
      </c>
      <c r="B67" s="2" t="s">
        <v>1692</v>
      </c>
      <c r="C67" s="2" t="s">
        <v>1454</v>
      </c>
      <c r="D67" s="2"/>
      <c r="E67" s="2"/>
      <c r="F67" s="2" t="s">
        <v>1885</v>
      </c>
      <c r="G67" s="2" t="s">
        <v>1696</v>
      </c>
      <c r="H67" s="3">
        <v>16</v>
      </c>
      <c r="I67" s="3">
        <v>0</v>
      </c>
      <c r="J67" s="3">
        <v>26</v>
      </c>
      <c r="K67" s="3">
        <v>5</v>
      </c>
      <c r="L67" s="3">
        <v>28</v>
      </c>
      <c r="M67" s="3">
        <v>75</v>
      </c>
      <c r="N67" s="3">
        <v>0</v>
      </c>
      <c r="O67" s="46" t="s">
        <v>1914</v>
      </c>
      <c r="P67" s="3">
        <v>2856.0426</v>
      </c>
      <c r="Q67" s="3">
        <v>2856.0426</v>
      </c>
      <c r="R67" s="3">
        <v>1</v>
      </c>
      <c r="S67" s="3">
        <v>2</v>
      </c>
      <c r="T67" s="3">
        <v>2</v>
      </c>
      <c r="U67" s="3">
        <v>1</v>
      </c>
      <c r="V67" s="3">
        <v>2</v>
      </c>
      <c r="W67" s="3">
        <v>0</v>
      </c>
      <c r="X67" s="3">
        <v>0</v>
      </c>
      <c r="Y67" s="3">
        <v>0</v>
      </c>
      <c r="Z67" s="3">
        <v>38.080568</v>
      </c>
      <c r="AA67" s="3">
        <v>76.161136</v>
      </c>
      <c r="AB67" s="3">
        <v>37.5</v>
      </c>
      <c r="AC67" s="3">
        <v>37.5</v>
      </c>
      <c r="AD67" s="3">
        <v>23.5</v>
      </c>
      <c r="AE67" s="3">
        <v>8</v>
      </c>
      <c r="AF67" s="3">
        <v>13</v>
      </c>
      <c r="AG67" s="3">
        <v>2.5</v>
      </c>
      <c r="AH67" s="3">
        <v>4.5</v>
      </c>
      <c r="AI67" s="3">
        <v>63</v>
      </c>
      <c r="AJ67" s="3">
        <v>6</v>
      </c>
      <c r="AK67" s="3">
        <v>2399.075784</v>
      </c>
      <c r="AL67" s="2" t="s">
        <v>1694</v>
      </c>
      <c r="AM67" s="3">
        <v>0</v>
      </c>
      <c r="AN67" s="3">
        <v>1</v>
      </c>
      <c r="AO67" s="4">
        <v>46240</v>
      </c>
      <c r="AP67" s="4">
        <v>45760</v>
      </c>
      <c r="AQ67" s="2" t="s">
        <v>1879</v>
      </c>
      <c r="AR67" s="2" t="s">
        <v>1454</v>
      </c>
    </row>
    <row r="68" customHeight="1" spans="1:44">
      <c r="A68" s="2" t="s">
        <v>63</v>
      </c>
      <c r="B68" s="2" t="s">
        <v>1692</v>
      </c>
      <c r="C68" s="2" t="s">
        <v>1454</v>
      </c>
      <c r="D68" s="2"/>
      <c r="E68" s="2"/>
      <c r="F68" s="2" t="s">
        <v>1880</v>
      </c>
      <c r="G68" s="2" t="s">
        <v>1696</v>
      </c>
      <c r="H68" s="3">
        <v>19</v>
      </c>
      <c r="I68" s="3">
        <v>0</v>
      </c>
      <c r="J68" s="3">
        <v>9</v>
      </c>
      <c r="K68" s="3">
        <v>9</v>
      </c>
      <c r="L68" s="3">
        <v>38</v>
      </c>
      <c r="M68" s="3">
        <v>75</v>
      </c>
      <c r="N68" s="3">
        <v>0</v>
      </c>
      <c r="O68" s="46" t="s">
        <v>1914</v>
      </c>
      <c r="P68" s="3">
        <v>3053.391675</v>
      </c>
      <c r="Q68" s="3">
        <v>3053.391675</v>
      </c>
      <c r="R68" s="3">
        <v>4</v>
      </c>
      <c r="S68" s="3">
        <v>7</v>
      </c>
      <c r="T68" s="3">
        <v>13</v>
      </c>
      <c r="U68" s="3">
        <v>9</v>
      </c>
      <c r="V68" s="3">
        <v>9</v>
      </c>
      <c r="W68" s="3">
        <v>0</v>
      </c>
      <c r="X68" s="3">
        <v>0</v>
      </c>
      <c r="Y68" s="3">
        <v>40</v>
      </c>
      <c r="Z68" s="3">
        <v>40.711889</v>
      </c>
      <c r="AA68" s="3">
        <v>529.254557</v>
      </c>
      <c r="AB68" s="3">
        <v>5.769230769</v>
      </c>
      <c r="AC68" s="3">
        <v>5.769230769</v>
      </c>
      <c r="AD68" s="3">
        <v>2.846153846</v>
      </c>
      <c r="AE68" s="3">
        <v>1.461538462</v>
      </c>
      <c r="AF68" s="3">
        <v>0.692307692</v>
      </c>
      <c r="AG68" s="3">
        <v>0.692307692</v>
      </c>
      <c r="AH68" s="3">
        <v>4.5</v>
      </c>
      <c r="AI68" s="3">
        <v>0</v>
      </c>
      <c r="AJ68" s="3">
        <v>6</v>
      </c>
      <c r="AK68" s="3">
        <v>0</v>
      </c>
      <c r="AL68" s="2" t="s">
        <v>1694</v>
      </c>
      <c r="AM68" s="3">
        <v>10</v>
      </c>
      <c r="AN68" s="3">
        <v>1</v>
      </c>
      <c r="AO68" s="4">
        <v>46042</v>
      </c>
      <c r="AP68" s="4">
        <v>45765</v>
      </c>
      <c r="AQ68" s="2" t="s">
        <v>1879</v>
      </c>
      <c r="AR68" s="2" t="s">
        <v>1454</v>
      </c>
    </row>
    <row r="69" customHeight="1" spans="1:44">
      <c r="A69" s="2" t="s">
        <v>127</v>
      </c>
      <c r="B69" s="2" t="s">
        <v>1692</v>
      </c>
      <c r="C69" s="2" t="s">
        <v>1454</v>
      </c>
      <c r="D69" s="2"/>
      <c r="E69" s="2"/>
      <c r="F69" s="2" t="s">
        <v>1878</v>
      </c>
      <c r="G69" s="2" t="s">
        <v>1696</v>
      </c>
      <c r="H69" s="3">
        <v>19</v>
      </c>
      <c r="I69" s="3">
        <v>2</v>
      </c>
      <c r="J69" s="3">
        <v>21</v>
      </c>
      <c r="K69" s="3">
        <v>10</v>
      </c>
      <c r="L69" s="3">
        <v>22</v>
      </c>
      <c r="M69" s="3">
        <v>74</v>
      </c>
      <c r="N69" s="3">
        <v>84</v>
      </c>
      <c r="O69" s="46" t="s">
        <v>1129</v>
      </c>
      <c r="P69" s="3">
        <v>8915.928554</v>
      </c>
      <c r="Q69" s="3">
        <v>19036.71232</v>
      </c>
      <c r="R69" s="3">
        <v>4</v>
      </c>
      <c r="S69" s="3">
        <v>7</v>
      </c>
      <c r="T69" s="3">
        <v>17</v>
      </c>
      <c r="U69" s="3">
        <v>18</v>
      </c>
      <c r="V69" s="3">
        <v>12</v>
      </c>
      <c r="W69" s="3">
        <v>0</v>
      </c>
      <c r="X69" s="3">
        <v>0</v>
      </c>
      <c r="Y69" s="3">
        <v>0</v>
      </c>
      <c r="Z69" s="3">
        <v>120.485521</v>
      </c>
      <c r="AA69" s="3">
        <v>2048.253857</v>
      </c>
      <c r="AB69" s="3">
        <v>9.294117647</v>
      </c>
      <c r="AC69" s="3">
        <v>4.352941176</v>
      </c>
      <c r="AD69" s="3">
        <v>3.058823529</v>
      </c>
      <c r="AE69" s="3">
        <v>1.117647059</v>
      </c>
      <c r="AF69" s="3">
        <v>1.235294118</v>
      </c>
      <c r="AG69" s="3">
        <v>0.588235294</v>
      </c>
      <c r="AH69" s="3">
        <v>4.5</v>
      </c>
      <c r="AI69" s="3">
        <v>0</v>
      </c>
      <c r="AJ69" s="3">
        <v>6</v>
      </c>
      <c r="AK69" s="3">
        <v>0</v>
      </c>
      <c r="AL69" s="2" t="s">
        <v>1694</v>
      </c>
      <c r="AM69" s="3">
        <v>7</v>
      </c>
      <c r="AN69" s="3">
        <v>7</v>
      </c>
      <c r="AO69" s="4">
        <v>46200</v>
      </c>
      <c r="AP69" s="4">
        <v>45757</v>
      </c>
      <c r="AQ69" s="2" t="s">
        <v>1879</v>
      </c>
      <c r="AR69" s="2" t="s">
        <v>1454</v>
      </c>
    </row>
    <row r="70" customHeight="1" spans="1:44">
      <c r="A70" s="2" t="s">
        <v>227</v>
      </c>
      <c r="B70" s="2" t="s">
        <v>1692</v>
      </c>
      <c r="C70" s="2" t="s">
        <v>1454</v>
      </c>
      <c r="D70" s="2"/>
      <c r="E70" s="2"/>
      <c r="F70" s="2" t="s">
        <v>1880</v>
      </c>
      <c r="G70" s="2" t="s">
        <v>1696</v>
      </c>
      <c r="H70" s="3">
        <v>21</v>
      </c>
      <c r="I70" s="3">
        <v>1</v>
      </c>
      <c r="J70" s="3">
        <v>18</v>
      </c>
      <c r="K70" s="3">
        <v>0</v>
      </c>
      <c r="L70" s="3">
        <v>33</v>
      </c>
      <c r="M70" s="3">
        <v>73</v>
      </c>
      <c r="N70" s="3">
        <v>32</v>
      </c>
      <c r="O70" s="46" t="s">
        <v>1116</v>
      </c>
      <c r="P70" s="3">
        <v>3747.325717</v>
      </c>
      <c r="Q70" s="3">
        <v>5389.989045</v>
      </c>
      <c r="R70" s="3">
        <v>4</v>
      </c>
      <c r="S70" s="3">
        <v>5</v>
      </c>
      <c r="T70" s="3">
        <v>8</v>
      </c>
      <c r="U70" s="3">
        <v>9</v>
      </c>
      <c r="V70" s="3">
        <v>19</v>
      </c>
      <c r="W70" s="3">
        <v>0</v>
      </c>
      <c r="X70" s="3">
        <v>0</v>
      </c>
      <c r="Y70" s="3">
        <v>32</v>
      </c>
      <c r="Z70" s="3">
        <v>51.333229</v>
      </c>
      <c r="AA70" s="3">
        <v>410.665832</v>
      </c>
      <c r="AB70" s="3">
        <v>13.125</v>
      </c>
      <c r="AC70" s="3">
        <v>9.125</v>
      </c>
      <c r="AD70" s="3">
        <v>5</v>
      </c>
      <c r="AE70" s="3">
        <v>2.625</v>
      </c>
      <c r="AF70" s="3">
        <v>2.25</v>
      </c>
      <c r="AG70" s="3">
        <v>0</v>
      </c>
      <c r="AH70" s="3">
        <v>4.5</v>
      </c>
      <c r="AI70" s="3">
        <v>25</v>
      </c>
      <c r="AJ70" s="3">
        <v>6</v>
      </c>
      <c r="AK70" s="3">
        <v>1283.330725</v>
      </c>
      <c r="AL70" s="2" t="s">
        <v>1694</v>
      </c>
      <c r="AM70" s="3">
        <v>6</v>
      </c>
      <c r="AN70" s="3">
        <v>2</v>
      </c>
      <c r="AO70" s="4">
        <v>46139</v>
      </c>
      <c r="AP70" s="4">
        <v>45758</v>
      </c>
      <c r="AQ70" s="2" t="s">
        <v>1879</v>
      </c>
      <c r="AR70" s="2" t="s">
        <v>1454</v>
      </c>
    </row>
    <row r="71" customHeight="1" spans="1:44">
      <c r="A71" s="2" t="s">
        <v>112</v>
      </c>
      <c r="B71" s="2" t="s">
        <v>1692</v>
      </c>
      <c r="C71" s="2" t="s">
        <v>1454</v>
      </c>
      <c r="D71" s="2"/>
      <c r="E71" s="2"/>
      <c r="F71" s="2" t="s">
        <v>1880</v>
      </c>
      <c r="G71" s="2" t="s">
        <v>1696</v>
      </c>
      <c r="H71" s="3">
        <v>28</v>
      </c>
      <c r="I71" s="3">
        <v>0</v>
      </c>
      <c r="J71" s="3">
        <v>3</v>
      </c>
      <c r="K71" s="3">
        <v>28</v>
      </c>
      <c r="L71" s="3">
        <v>14</v>
      </c>
      <c r="M71" s="3">
        <v>73</v>
      </c>
      <c r="N71" s="3">
        <v>80</v>
      </c>
      <c r="O71" s="46" t="s">
        <v>1915</v>
      </c>
      <c r="P71" s="3">
        <v>2793.262437</v>
      </c>
      <c r="Q71" s="3">
        <v>5854.371957</v>
      </c>
      <c r="R71" s="3">
        <v>7</v>
      </c>
      <c r="S71" s="3">
        <v>11</v>
      </c>
      <c r="T71" s="3">
        <v>21</v>
      </c>
      <c r="U71" s="3">
        <v>21</v>
      </c>
      <c r="V71" s="3">
        <v>19</v>
      </c>
      <c r="W71" s="3">
        <v>0</v>
      </c>
      <c r="X71" s="3">
        <v>20</v>
      </c>
      <c r="Y71" s="3">
        <v>20</v>
      </c>
      <c r="Z71" s="3">
        <v>38.263869</v>
      </c>
      <c r="AA71" s="3">
        <v>803.541249</v>
      </c>
      <c r="AB71" s="3">
        <v>7.285714286</v>
      </c>
      <c r="AC71" s="3">
        <v>3.476190476</v>
      </c>
      <c r="AD71" s="3">
        <v>2.80952381</v>
      </c>
      <c r="AE71" s="3">
        <v>1.333333333</v>
      </c>
      <c r="AF71" s="3">
        <v>0.142857143</v>
      </c>
      <c r="AG71" s="3">
        <v>1.333333333</v>
      </c>
      <c r="AH71" s="3">
        <v>4.5</v>
      </c>
      <c r="AI71" s="3">
        <v>0</v>
      </c>
      <c r="AJ71" s="3">
        <v>6</v>
      </c>
      <c r="AK71" s="3">
        <v>0</v>
      </c>
      <c r="AL71" s="2" t="s">
        <v>1694</v>
      </c>
      <c r="AM71" s="3">
        <v>8</v>
      </c>
      <c r="AN71" s="3">
        <v>13</v>
      </c>
      <c r="AO71" s="4">
        <v>45368</v>
      </c>
      <c r="AP71" s="4">
        <v>45366</v>
      </c>
      <c r="AQ71" s="2" t="s">
        <v>1879</v>
      </c>
      <c r="AR71" s="2" t="s">
        <v>1454</v>
      </c>
    </row>
    <row r="72" customHeight="1" spans="1:44">
      <c r="A72" s="2" t="s">
        <v>506</v>
      </c>
      <c r="B72" s="2" t="s">
        <v>1692</v>
      </c>
      <c r="C72" s="2" t="s">
        <v>1454</v>
      </c>
      <c r="D72" s="2"/>
      <c r="E72" s="2"/>
      <c r="F72" s="2" t="s">
        <v>1885</v>
      </c>
      <c r="G72" s="2" t="s">
        <v>1696</v>
      </c>
      <c r="H72" s="3">
        <v>0</v>
      </c>
      <c r="I72" s="3">
        <v>0</v>
      </c>
      <c r="J72" s="3">
        <v>19</v>
      </c>
      <c r="K72" s="3">
        <v>6</v>
      </c>
      <c r="L72" s="3">
        <v>47</v>
      </c>
      <c r="M72" s="3">
        <v>72</v>
      </c>
      <c r="N72" s="3">
        <v>0</v>
      </c>
      <c r="O72" s="46" t="s">
        <v>1916</v>
      </c>
      <c r="P72" s="3">
        <v>5271.709104</v>
      </c>
      <c r="Q72" s="3">
        <v>5271.709104</v>
      </c>
      <c r="R72" s="3">
        <v>1</v>
      </c>
      <c r="S72" s="3">
        <v>1</v>
      </c>
      <c r="T72" s="3">
        <v>1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73.218182</v>
      </c>
      <c r="AA72" s="3">
        <v>73.218182</v>
      </c>
      <c r="AB72" s="3">
        <v>72</v>
      </c>
      <c r="AC72" s="3">
        <v>72</v>
      </c>
      <c r="AD72" s="3">
        <v>25</v>
      </c>
      <c r="AE72" s="3">
        <v>0</v>
      </c>
      <c r="AF72" s="3">
        <v>19</v>
      </c>
      <c r="AG72" s="3">
        <v>6</v>
      </c>
      <c r="AH72" s="3">
        <v>4.5</v>
      </c>
      <c r="AI72" s="3">
        <v>66</v>
      </c>
      <c r="AJ72" s="3">
        <v>6</v>
      </c>
      <c r="AK72" s="3">
        <v>4832.400012</v>
      </c>
      <c r="AL72" s="2" t="s">
        <v>1694</v>
      </c>
      <c r="AM72" s="3">
        <v>0</v>
      </c>
      <c r="AN72" s="3">
        <v>1</v>
      </c>
      <c r="AO72" s="4">
        <v>45368</v>
      </c>
      <c r="AP72" s="4">
        <v>45351</v>
      </c>
      <c r="AQ72" s="2" t="s">
        <v>1879</v>
      </c>
      <c r="AR72" s="2" t="s">
        <v>1454</v>
      </c>
    </row>
    <row r="73" customHeight="1" spans="1:44">
      <c r="A73" s="2" t="s">
        <v>497</v>
      </c>
      <c r="B73" s="2" t="s">
        <v>1692</v>
      </c>
      <c r="C73" s="2" t="s">
        <v>1454</v>
      </c>
      <c r="D73" s="2"/>
      <c r="E73" s="2"/>
      <c r="F73" s="2" t="s">
        <v>1880</v>
      </c>
      <c r="G73" s="2" t="s">
        <v>1696</v>
      </c>
      <c r="H73" s="3">
        <v>0</v>
      </c>
      <c r="I73" s="3">
        <v>0</v>
      </c>
      <c r="J73" s="3">
        <v>18</v>
      </c>
      <c r="K73" s="3">
        <v>20</v>
      </c>
      <c r="L73" s="3">
        <v>34</v>
      </c>
      <c r="M73" s="3">
        <v>72</v>
      </c>
      <c r="N73" s="3">
        <v>0</v>
      </c>
      <c r="O73" s="46" t="s">
        <v>1916</v>
      </c>
      <c r="P73" s="3">
        <v>3313.466352</v>
      </c>
      <c r="Q73" s="3">
        <v>3313.466352</v>
      </c>
      <c r="R73" s="3">
        <v>4</v>
      </c>
      <c r="S73" s="3">
        <v>9</v>
      </c>
      <c r="T73" s="3">
        <v>25</v>
      </c>
      <c r="U73" s="3">
        <v>7</v>
      </c>
      <c r="V73" s="3">
        <v>18</v>
      </c>
      <c r="W73" s="3">
        <v>0</v>
      </c>
      <c r="X73" s="3">
        <v>0</v>
      </c>
      <c r="Y73" s="3">
        <v>20</v>
      </c>
      <c r="Z73" s="3">
        <v>46.020366</v>
      </c>
      <c r="AA73" s="3">
        <v>1150.50915</v>
      </c>
      <c r="AB73" s="3">
        <v>2.88</v>
      </c>
      <c r="AC73" s="3">
        <v>2.88</v>
      </c>
      <c r="AD73" s="3">
        <v>1.52</v>
      </c>
      <c r="AE73" s="3">
        <v>0</v>
      </c>
      <c r="AF73" s="3">
        <v>0.72</v>
      </c>
      <c r="AG73" s="3">
        <v>0.8</v>
      </c>
      <c r="AH73" s="3">
        <v>4.5</v>
      </c>
      <c r="AI73" s="3">
        <v>0</v>
      </c>
      <c r="AJ73" s="3">
        <v>6</v>
      </c>
      <c r="AK73" s="3">
        <v>0</v>
      </c>
      <c r="AL73" s="2" t="s">
        <v>1714</v>
      </c>
      <c r="AM73" s="3">
        <v>0</v>
      </c>
      <c r="AN73" s="3">
        <v>22</v>
      </c>
      <c r="AO73" s="2"/>
      <c r="AP73" s="4">
        <v>44804</v>
      </c>
      <c r="AQ73" s="2" t="s">
        <v>1879</v>
      </c>
      <c r="AR73" s="2" t="s">
        <v>1454</v>
      </c>
    </row>
    <row r="74" customHeight="1" spans="1:44">
      <c r="A74" s="2" t="s">
        <v>1917</v>
      </c>
      <c r="B74" s="2" t="s">
        <v>1692</v>
      </c>
      <c r="C74" s="2" t="s">
        <v>1454</v>
      </c>
      <c r="D74" s="2"/>
      <c r="E74" s="2"/>
      <c r="F74" s="2" t="s">
        <v>1885</v>
      </c>
      <c r="G74" s="2" t="s">
        <v>1696</v>
      </c>
      <c r="H74" s="3">
        <v>0</v>
      </c>
      <c r="I74" s="3">
        <v>0</v>
      </c>
      <c r="J74" s="3">
        <v>11</v>
      </c>
      <c r="K74" s="3">
        <v>5</v>
      </c>
      <c r="L74" s="3">
        <v>55</v>
      </c>
      <c r="M74" s="3">
        <v>71</v>
      </c>
      <c r="N74" s="3">
        <v>0</v>
      </c>
      <c r="O74" s="46" t="s">
        <v>1918</v>
      </c>
      <c r="P74" s="3">
        <v>5304.80405</v>
      </c>
      <c r="Q74" s="3">
        <v>5304.80405</v>
      </c>
      <c r="R74" s="3">
        <v>0</v>
      </c>
      <c r="S74" s="3">
        <v>0</v>
      </c>
      <c r="T74" s="3">
        <v>0</v>
      </c>
      <c r="U74" s="3">
        <v>2</v>
      </c>
      <c r="V74" s="3">
        <v>2</v>
      </c>
      <c r="W74" s="3">
        <v>0</v>
      </c>
      <c r="X74" s="3">
        <v>0</v>
      </c>
      <c r="Y74" s="3">
        <v>0</v>
      </c>
      <c r="Z74" s="3">
        <v>74.71555</v>
      </c>
      <c r="AA74" s="3">
        <v>0</v>
      </c>
      <c r="AB74" s="3"/>
      <c r="AC74" s="3"/>
      <c r="AD74" s="3"/>
      <c r="AE74" s="3"/>
      <c r="AF74" s="3"/>
      <c r="AG74" s="3"/>
      <c r="AH74" s="3">
        <v>4.5</v>
      </c>
      <c r="AI74" s="3">
        <v>71</v>
      </c>
      <c r="AJ74" s="3">
        <v>6</v>
      </c>
      <c r="AK74" s="3">
        <v>5304.80405</v>
      </c>
      <c r="AL74" s="2" t="s">
        <v>1694</v>
      </c>
      <c r="AM74" s="3">
        <v>0</v>
      </c>
      <c r="AN74" s="3">
        <v>0</v>
      </c>
      <c r="AO74" s="4">
        <v>45368</v>
      </c>
      <c r="AP74" s="4">
        <v>45351</v>
      </c>
      <c r="AQ74" s="2" t="s">
        <v>1879</v>
      </c>
      <c r="AR74" s="2" t="s">
        <v>1454</v>
      </c>
    </row>
    <row r="75" customHeight="1" spans="1:44">
      <c r="A75" s="2" t="s">
        <v>298</v>
      </c>
      <c r="B75" s="2" t="s">
        <v>1692</v>
      </c>
      <c r="C75" s="2" t="s">
        <v>1454</v>
      </c>
      <c r="D75" s="2"/>
      <c r="E75" s="2"/>
      <c r="F75" s="2" t="s">
        <v>1880</v>
      </c>
      <c r="G75" s="2" t="s">
        <v>1696</v>
      </c>
      <c r="H75" s="3">
        <v>14</v>
      </c>
      <c r="I75" s="3">
        <v>3</v>
      </c>
      <c r="J75" s="3">
        <v>9</v>
      </c>
      <c r="K75" s="3">
        <v>12</v>
      </c>
      <c r="L75" s="3">
        <v>32</v>
      </c>
      <c r="M75" s="3">
        <v>70</v>
      </c>
      <c r="N75" s="3">
        <v>0</v>
      </c>
      <c r="O75" s="46" t="s">
        <v>1919</v>
      </c>
      <c r="P75" s="3">
        <v>3231.70981</v>
      </c>
      <c r="Q75" s="3">
        <v>3231.70981</v>
      </c>
      <c r="R75" s="3">
        <v>1</v>
      </c>
      <c r="S75" s="3">
        <v>5</v>
      </c>
      <c r="T75" s="3">
        <v>14</v>
      </c>
      <c r="U75" s="3">
        <v>2</v>
      </c>
      <c r="V75" s="3">
        <v>4</v>
      </c>
      <c r="W75" s="3">
        <v>0</v>
      </c>
      <c r="X75" s="3">
        <v>0</v>
      </c>
      <c r="Y75" s="3">
        <v>0</v>
      </c>
      <c r="Z75" s="3">
        <v>46.167283</v>
      </c>
      <c r="AA75" s="3">
        <v>646.341962</v>
      </c>
      <c r="AB75" s="3">
        <v>5</v>
      </c>
      <c r="AC75" s="3">
        <v>5</v>
      </c>
      <c r="AD75" s="3">
        <v>2.714285714</v>
      </c>
      <c r="AE75" s="3">
        <v>1</v>
      </c>
      <c r="AF75" s="3">
        <v>0.642857143</v>
      </c>
      <c r="AG75" s="3">
        <v>0.857142857</v>
      </c>
      <c r="AH75" s="3">
        <v>4.5</v>
      </c>
      <c r="AI75" s="3">
        <v>0</v>
      </c>
      <c r="AJ75" s="3">
        <v>6</v>
      </c>
      <c r="AK75" s="3">
        <v>0</v>
      </c>
      <c r="AL75" s="2" t="s">
        <v>1714</v>
      </c>
      <c r="AM75" s="3">
        <v>5</v>
      </c>
      <c r="AN75" s="3">
        <v>5</v>
      </c>
      <c r="AO75" s="4">
        <v>46240</v>
      </c>
      <c r="AP75" s="4">
        <v>44804</v>
      </c>
      <c r="AQ75" s="2" t="s">
        <v>1879</v>
      </c>
      <c r="AR75" s="2" t="s">
        <v>1454</v>
      </c>
    </row>
    <row r="76" customHeight="1" spans="1:44">
      <c r="A76" s="2" t="s">
        <v>66</v>
      </c>
      <c r="B76" s="2" t="s">
        <v>1692</v>
      </c>
      <c r="C76" s="2" t="s">
        <v>1454</v>
      </c>
      <c r="D76" s="2"/>
      <c r="E76" s="2"/>
      <c r="F76" s="2" t="s">
        <v>1880</v>
      </c>
      <c r="G76" s="2" t="s">
        <v>1696</v>
      </c>
      <c r="H76" s="3">
        <v>19</v>
      </c>
      <c r="I76" s="3">
        <v>0</v>
      </c>
      <c r="J76" s="3">
        <v>20</v>
      </c>
      <c r="K76" s="3">
        <v>15</v>
      </c>
      <c r="L76" s="3">
        <v>14</v>
      </c>
      <c r="M76" s="3">
        <v>68</v>
      </c>
      <c r="N76" s="3">
        <v>72</v>
      </c>
      <c r="O76" s="46" t="s">
        <v>1078</v>
      </c>
      <c r="P76" s="3">
        <v>4473.840496</v>
      </c>
      <c r="Q76" s="3">
        <v>9210.84808</v>
      </c>
      <c r="R76" s="3">
        <v>7</v>
      </c>
      <c r="S76" s="3">
        <v>13</v>
      </c>
      <c r="T76" s="3">
        <v>16</v>
      </c>
      <c r="U76" s="3">
        <v>11</v>
      </c>
      <c r="V76" s="3">
        <v>14</v>
      </c>
      <c r="W76" s="3">
        <v>0</v>
      </c>
      <c r="X76" s="3">
        <v>0</v>
      </c>
      <c r="Y76" s="3">
        <v>0</v>
      </c>
      <c r="Z76" s="3">
        <v>65.791772</v>
      </c>
      <c r="AA76" s="3">
        <v>1052.668352</v>
      </c>
      <c r="AB76" s="3">
        <v>8.75</v>
      </c>
      <c r="AC76" s="3">
        <v>4.25</v>
      </c>
      <c r="AD76" s="3">
        <v>3.375</v>
      </c>
      <c r="AE76" s="3">
        <v>1.1875</v>
      </c>
      <c r="AF76" s="3">
        <v>1.25</v>
      </c>
      <c r="AG76" s="3">
        <v>0.9375</v>
      </c>
      <c r="AH76" s="3">
        <v>4.5</v>
      </c>
      <c r="AI76" s="3">
        <v>0</v>
      </c>
      <c r="AJ76" s="3">
        <v>6</v>
      </c>
      <c r="AK76" s="3">
        <v>0</v>
      </c>
      <c r="AL76" s="2" t="s">
        <v>1694</v>
      </c>
      <c r="AM76" s="3">
        <v>3</v>
      </c>
      <c r="AN76" s="3">
        <v>11</v>
      </c>
      <c r="AO76" s="4">
        <v>46042</v>
      </c>
      <c r="AP76" s="4">
        <v>45717</v>
      </c>
      <c r="AQ76" s="2" t="s">
        <v>1879</v>
      </c>
      <c r="AR76" s="2" t="s">
        <v>1454</v>
      </c>
    </row>
    <row r="77" customHeight="1" spans="1:44">
      <c r="A77" s="2" t="s">
        <v>76</v>
      </c>
      <c r="B77" s="2" t="s">
        <v>1692</v>
      </c>
      <c r="C77" s="2" t="s">
        <v>1454</v>
      </c>
      <c r="D77" s="2"/>
      <c r="E77" s="2"/>
      <c r="F77" s="2" t="s">
        <v>1880</v>
      </c>
      <c r="G77" s="2" t="s">
        <v>1696</v>
      </c>
      <c r="H77" s="3">
        <v>28</v>
      </c>
      <c r="I77" s="3">
        <v>0</v>
      </c>
      <c r="J77" s="3">
        <v>19</v>
      </c>
      <c r="K77" s="3">
        <v>10</v>
      </c>
      <c r="L77" s="3">
        <v>10</v>
      </c>
      <c r="M77" s="3">
        <v>67</v>
      </c>
      <c r="N77" s="3">
        <v>0</v>
      </c>
      <c r="O77" s="46" t="s">
        <v>1011</v>
      </c>
      <c r="P77" s="3">
        <v>3040.655841</v>
      </c>
      <c r="Q77" s="3">
        <v>3040.655841</v>
      </c>
      <c r="R77" s="3">
        <v>0</v>
      </c>
      <c r="S77" s="3">
        <v>3</v>
      </c>
      <c r="T77" s="3">
        <v>6</v>
      </c>
      <c r="U77" s="3">
        <v>8</v>
      </c>
      <c r="V77" s="3">
        <v>4</v>
      </c>
      <c r="W77" s="3">
        <v>0</v>
      </c>
      <c r="X77" s="3">
        <v>0</v>
      </c>
      <c r="Y77" s="3">
        <v>0</v>
      </c>
      <c r="Z77" s="3">
        <v>45.382923</v>
      </c>
      <c r="AA77" s="3">
        <v>272.297538</v>
      </c>
      <c r="AB77" s="3">
        <v>11.16666667</v>
      </c>
      <c r="AC77" s="3">
        <v>11.16666667</v>
      </c>
      <c r="AD77" s="3">
        <v>9.5</v>
      </c>
      <c r="AE77" s="3">
        <v>4.666666667</v>
      </c>
      <c r="AF77" s="3">
        <v>3.166666667</v>
      </c>
      <c r="AG77" s="3">
        <v>1.666666667</v>
      </c>
      <c r="AH77" s="3">
        <v>4.5</v>
      </c>
      <c r="AI77" s="3">
        <v>31</v>
      </c>
      <c r="AJ77" s="3">
        <v>6</v>
      </c>
      <c r="AK77" s="3">
        <v>1406.870613</v>
      </c>
      <c r="AL77" s="2" t="s">
        <v>1694</v>
      </c>
      <c r="AM77" s="3">
        <v>1</v>
      </c>
      <c r="AN77" s="3">
        <v>4</v>
      </c>
      <c r="AO77" s="4">
        <v>46012</v>
      </c>
      <c r="AP77" s="4">
        <v>45757</v>
      </c>
      <c r="AQ77" s="2" t="s">
        <v>1879</v>
      </c>
      <c r="AR77" s="2" t="s">
        <v>1454</v>
      </c>
    </row>
    <row r="78" customHeight="1" spans="1:44">
      <c r="A78" s="2" t="s">
        <v>374</v>
      </c>
      <c r="B78" s="2" t="s">
        <v>1692</v>
      </c>
      <c r="C78" s="2" t="s">
        <v>1454</v>
      </c>
      <c r="D78" s="2"/>
      <c r="E78" s="2"/>
      <c r="F78" s="2" t="s">
        <v>343</v>
      </c>
      <c r="G78" s="2" t="s">
        <v>1696</v>
      </c>
      <c r="H78" s="3">
        <v>0</v>
      </c>
      <c r="I78" s="3">
        <v>0</v>
      </c>
      <c r="J78" s="3">
        <v>21</v>
      </c>
      <c r="K78" s="3">
        <v>12</v>
      </c>
      <c r="L78" s="3">
        <v>33</v>
      </c>
      <c r="M78" s="3">
        <v>66</v>
      </c>
      <c r="N78" s="3">
        <v>0</v>
      </c>
      <c r="O78" s="46" t="s">
        <v>892</v>
      </c>
      <c r="P78" s="3">
        <v>7709.734494</v>
      </c>
      <c r="Q78" s="3">
        <v>7709.734494</v>
      </c>
      <c r="R78" s="3">
        <v>3</v>
      </c>
      <c r="S78" s="3">
        <v>4</v>
      </c>
      <c r="T78" s="3">
        <v>6</v>
      </c>
      <c r="U78" s="3">
        <v>1</v>
      </c>
      <c r="V78" s="3">
        <v>0</v>
      </c>
      <c r="W78" s="3">
        <v>20</v>
      </c>
      <c r="X78" s="3">
        <v>40</v>
      </c>
      <c r="Y78" s="3">
        <v>40</v>
      </c>
      <c r="Z78" s="3">
        <v>116.814159</v>
      </c>
      <c r="AA78" s="3">
        <v>700.884954</v>
      </c>
      <c r="AB78" s="3">
        <v>11</v>
      </c>
      <c r="AC78" s="3">
        <v>11</v>
      </c>
      <c r="AD78" s="3">
        <v>5.5</v>
      </c>
      <c r="AE78" s="3">
        <v>0</v>
      </c>
      <c r="AF78" s="3">
        <v>3.5</v>
      </c>
      <c r="AG78" s="3">
        <v>2</v>
      </c>
      <c r="AH78" s="3">
        <v>4.5</v>
      </c>
      <c r="AI78" s="3">
        <v>30</v>
      </c>
      <c r="AJ78" s="3">
        <v>6</v>
      </c>
      <c r="AK78" s="3">
        <v>3504.42477</v>
      </c>
      <c r="AL78" s="2" t="s">
        <v>1710</v>
      </c>
      <c r="AM78" s="3">
        <v>0</v>
      </c>
      <c r="AN78" s="3">
        <v>6</v>
      </c>
      <c r="AO78" s="2"/>
      <c r="AP78" s="4">
        <v>46233</v>
      </c>
      <c r="AQ78" s="2" t="s">
        <v>1879</v>
      </c>
      <c r="AR78" s="2" t="s">
        <v>1454</v>
      </c>
    </row>
    <row r="79" customHeight="1" spans="1:44">
      <c r="A79" s="2" t="s">
        <v>52</v>
      </c>
      <c r="B79" s="2" t="s">
        <v>1692</v>
      </c>
      <c r="C79" s="2" t="s">
        <v>1454</v>
      </c>
      <c r="D79" s="2"/>
      <c r="E79" s="2"/>
      <c r="F79" s="2" t="s">
        <v>1880</v>
      </c>
      <c r="G79" s="2" t="s">
        <v>1696</v>
      </c>
      <c r="H79" s="3">
        <v>3</v>
      </c>
      <c r="I79" s="3">
        <v>0</v>
      </c>
      <c r="J79" s="3">
        <v>3</v>
      </c>
      <c r="K79" s="3">
        <v>2</v>
      </c>
      <c r="L79" s="3">
        <v>58</v>
      </c>
      <c r="M79" s="3">
        <v>66</v>
      </c>
      <c r="N79" s="3">
        <v>75</v>
      </c>
      <c r="O79" s="46" t="s">
        <v>1920</v>
      </c>
      <c r="P79" s="3">
        <v>2723.362818</v>
      </c>
      <c r="Q79" s="3">
        <v>5818.093293</v>
      </c>
      <c r="R79" s="3">
        <v>4</v>
      </c>
      <c r="S79" s="3">
        <v>7</v>
      </c>
      <c r="T79" s="3">
        <v>13</v>
      </c>
      <c r="U79" s="3">
        <v>14</v>
      </c>
      <c r="V79" s="3">
        <v>12</v>
      </c>
      <c r="W79" s="3">
        <v>0</v>
      </c>
      <c r="X79" s="3">
        <v>0</v>
      </c>
      <c r="Y79" s="3">
        <v>0</v>
      </c>
      <c r="Z79" s="3">
        <v>41.263073</v>
      </c>
      <c r="AA79" s="3">
        <v>536.419949</v>
      </c>
      <c r="AB79" s="3">
        <v>10.84615385</v>
      </c>
      <c r="AC79" s="3">
        <v>5.076923077</v>
      </c>
      <c r="AD79" s="3">
        <v>0.615384615</v>
      </c>
      <c r="AE79" s="3">
        <v>0.230769231</v>
      </c>
      <c r="AF79" s="3">
        <v>0.230769231</v>
      </c>
      <c r="AG79" s="3">
        <v>0.153846154</v>
      </c>
      <c r="AH79" s="3">
        <v>4.5</v>
      </c>
      <c r="AI79" s="3">
        <v>0</v>
      </c>
      <c r="AJ79" s="3">
        <v>6</v>
      </c>
      <c r="AK79" s="3">
        <v>0</v>
      </c>
      <c r="AL79" s="2" t="s">
        <v>1694</v>
      </c>
      <c r="AM79" s="3">
        <v>8</v>
      </c>
      <c r="AN79" s="3">
        <v>5</v>
      </c>
      <c r="AO79" s="4">
        <v>46200</v>
      </c>
      <c r="AP79" s="4">
        <v>45688</v>
      </c>
      <c r="AQ79" s="2" t="s">
        <v>1879</v>
      </c>
      <c r="AR79" s="2" t="s">
        <v>1454</v>
      </c>
    </row>
    <row r="80" customHeight="1" spans="1:44">
      <c r="A80" s="2" t="s">
        <v>455</v>
      </c>
      <c r="B80" s="2" t="s">
        <v>1692</v>
      </c>
      <c r="C80" s="2" t="s">
        <v>1454</v>
      </c>
      <c r="D80" s="2"/>
      <c r="E80" s="2"/>
      <c r="F80" s="2" t="s">
        <v>343</v>
      </c>
      <c r="G80" s="2" t="s">
        <v>1696</v>
      </c>
      <c r="H80" s="3">
        <v>6</v>
      </c>
      <c r="I80" s="3">
        <v>3</v>
      </c>
      <c r="J80" s="3">
        <v>34</v>
      </c>
      <c r="K80" s="3">
        <v>14</v>
      </c>
      <c r="L80" s="3">
        <v>9</v>
      </c>
      <c r="M80" s="3">
        <v>66</v>
      </c>
      <c r="N80" s="3">
        <v>200</v>
      </c>
      <c r="O80" s="46" t="s">
        <v>1921</v>
      </c>
      <c r="P80" s="3">
        <v>13836.63719</v>
      </c>
      <c r="Q80" s="3">
        <v>55765.84079</v>
      </c>
      <c r="R80" s="3">
        <v>1</v>
      </c>
      <c r="S80" s="3">
        <v>2</v>
      </c>
      <c r="T80" s="3">
        <v>2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209.646018</v>
      </c>
      <c r="AA80" s="3">
        <v>419.292036</v>
      </c>
      <c r="AB80" s="3">
        <v>133</v>
      </c>
      <c r="AC80" s="3">
        <v>33</v>
      </c>
      <c r="AD80" s="3">
        <v>28.5</v>
      </c>
      <c r="AE80" s="3">
        <v>3</v>
      </c>
      <c r="AF80" s="3">
        <v>17</v>
      </c>
      <c r="AG80" s="3">
        <v>7</v>
      </c>
      <c r="AH80" s="3">
        <v>4.5</v>
      </c>
      <c r="AI80" s="3">
        <v>54</v>
      </c>
      <c r="AJ80" s="3">
        <v>6</v>
      </c>
      <c r="AK80" s="3">
        <v>11320.88497</v>
      </c>
      <c r="AL80" s="2" t="s">
        <v>1710</v>
      </c>
      <c r="AM80" s="3">
        <v>0</v>
      </c>
      <c r="AN80" s="3">
        <v>2</v>
      </c>
      <c r="AO80" s="4">
        <v>46283</v>
      </c>
      <c r="AP80" s="4">
        <v>46255</v>
      </c>
      <c r="AQ80" s="2" t="s">
        <v>1879</v>
      </c>
      <c r="AR80" s="2" t="s">
        <v>1454</v>
      </c>
    </row>
    <row r="81" customHeight="1" spans="1:44">
      <c r="A81" s="2" t="s">
        <v>377</v>
      </c>
      <c r="B81" s="2" t="s">
        <v>1692</v>
      </c>
      <c r="C81" s="2" t="s">
        <v>1454</v>
      </c>
      <c r="D81" s="2"/>
      <c r="E81" s="2"/>
      <c r="F81" s="2" t="s">
        <v>1885</v>
      </c>
      <c r="G81" s="2" t="s">
        <v>1696</v>
      </c>
      <c r="H81" s="3">
        <v>7</v>
      </c>
      <c r="I81" s="3">
        <v>15</v>
      </c>
      <c r="J81" s="3">
        <v>9</v>
      </c>
      <c r="K81" s="3">
        <v>11</v>
      </c>
      <c r="L81" s="3">
        <v>24</v>
      </c>
      <c r="M81" s="3">
        <v>66</v>
      </c>
      <c r="N81" s="3">
        <v>0</v>
      </c>
      <c r="O81" s="46" t="s">
        <v>892</v>
      </c>
      <c r="P81" s="3">
        <v>3855.487878</v>
      </c>
      <c r="Q81" s="3">
        <v>3855.487878</v>
      </c>
      <c r="R81" s="3">
        <v>2</v>
      </c>
      <c r="S81" s="3">
        <v>3</v>
      </c>
      <c r="T81" s="3">
        <v>5</v>
      </c>
      <c r="U81" s="3">
        <v>4</v>
      </c>
      <c r="V81" s="3">
        <v>6</v>
      </c>
      <c r="W81" s="3">
        <v>24</v>
      </c>
      <c r="X81" s="3">
        <v>24</v>
      </c>
      <c r="Y81" s="3">
        <v>24</v>
      </c>
      <c r="Z81" s="3">
        <v>58.416483</v>
      </c>
      <c r="AA81" s="3">
        <v>292.082415</v>
      </c>
      <c r="AB81" s="3">
        <v>13.2</v>
      </c>
      <c r="AC81" s="3">
        <v>13.2</v>
      </c>
      <c r="AD81" s="3">
        <v>8.4</v>
      </c>
      <c r="AE81" s="3">
        <v>1.4</v>
      </c>
      <c r="AF81" s="3">
        <v>1.8</v>
      </c>
      <c r="AG81" s="3">
        <v>2.2</v>
      </c>
      <c r="AH81" s="3">
        <v>4.5</v>
      </c>
      <c r="AI81" s="3">
        <v>36</v>
      </c>
      <c r="AJ81" s="3">
        <v>6</v>
      </c>
      <c r="AK81" s="3">
        <v>2102.993388</v>
      </c>
      <c r="AL81" s="2" t="s">
        <v>1694</v>
      </c>
      <c r="AM81" s="3">
        <v>0</v>
      </c>
      <c r="AN81" s="3">
        <v>3</v>
      </c>
      <c r="AO81" s="4">
        <v>46279</v>
      </c>
      <c r="AP81" s="4">
        <v>45765</v>
      </c>
      <c r="AQ81" s="2" t="s">
        <v>1879</v>
      </c>
      <c r="AR81" s="2" t="s">
        <v>1454</v>
      </c>
    </row>
    <row r="82" customHeight="1" spans="1:44">
      <c r="A82" s="2" t="s">
        <v>133</v>
      </c>
      <c r="B82" s="2" t="s">
        <v>1692</v>
      </c>
      <c r="C82" s="2" t="s">
        <v>1454</v>
      </c>
      <c r="D82" s="2"/>
      <c r="E82" s="2"/>
      <c r="F82" s="2" t="s">
        <v>1880</v>
      </c>
      <c r="G82" s="2" t="s">
        <v>1696</v>
      </c>
      <c r="H82" s="3">
        <v>5</v>
      </c>
      <c r="I82" s="3">
        <v>0</v>
      </c>
      <c r="J82" s="3">
        <v>18</v>
      </c>
      <c r="K82" s="3">
        <v>8</v>
      </c>
      <c r="L82" s="3">
        <v>35</v>
      </c>
      <c r="M82" s="3">
        <v>66</v>
      </c>
      <c r="N82" s="3">
        <v>0</v>
      </c>
      <c r="O82" s="46" t="s">
        <v>892</v>
      </c>
      <c r="P82" s="3">
        <v>3215.645994</v>
      </c>
      <c r="Q82" s="3">
        <v>3215.645994</v>
      </c>
      <c r="R82" s="3">
        <v>3</v>
      </c>
      <c r="S82" s="3">
        <v>4</v>
      </c>
      <c r="T82" s="3">
        <v>11</v>
      </c>
      <c r="U82" s="3">
        <v>11</v>
      </c>
      <c r="V82" s="3">
        <v>12</v>
      </c>
      <c r="W82" s="3">
        <v>0</v>
      </c>
      <c r="X82" s="3">
        <v>0</v>
      </c>
      <c r="Y82" s="3">
        <v>0</v>
      </c>
      <c r="Z82" s="3">
        <v>48.721909</v>
      </c>
      <c r="AA82" s="3">
        <v>535.940999</v>
      </c>
      <c r="AB82" s="3">
        <v>6</v>
      </c>
      <c r="AC82" s="3">
        <v>6</v>
      </c>
      <c r="AD82" s="3">
        <v>2.818181818</v>
      </c>
      <c r="AE82" s="3">
        <v>0.454545455</v>
      </c>
      <c r="AF82" s="3">
        <v>1.636363636</v>
      </c>
      <c r="AG82" s="3">
        <v>0.727272727</v>
      </c>
      <c r="AH82" s="3">
        <v>4.5</v>
      </c>
      <c r="AI82" s="3">
        <v>0</v>
      </c>
      <c r="AJ82" s="3">
        <v>6</v>
      </c>
      <c r="AK82" s="3">
        <v>0</v>
      </c>
      <c r="AL82" s="2" t="s">
        <v>1694</v>
      </c>
      <c r="AM82" s="3">
        <v>2</v>
      </c>
      <c r="AN82" s="3">
        <v>7</v>
      </c>
      <c r="AO82" s="4">
        <v>45368</v>
      </c>
      <c r="AP82" s="4">
        <v>45366</v>
      </c>
      <c r="AQ82" s="2" t="s">
        <v>1879</v>
      </c>
      <c r="AR82" s="2" t="s">
        <v>1454</v>
      </c>
    </row>
    <row r="83" customHeight="1" spans="1:44">
      <c r="A83" s="2" t="s">
        <v>166</v>
      </c>
      <c r="B83" s="2" t="s">
        <v>1692</v>
      </c>
      <c r="C83" s="2" t="s">
        <v>1454</v>
      </c>
      <c r="D83" s="2"/>
      <c r="E83" s="2"/>
      <c r="F83" s="2" t="s">
        <v>1885</v>
      </c>
      <c r="G83" s="2" t="s">
        <v>1696</v>
      </c>
      <c r="H83" s="3">
        <v>15</v>
      </c>
      <c r="I83" s="3">
        <v>15</v>
      </c>
      <c r="J83" s="3">
        <v>34</v>
      </c>
      <c r="K83" s="3">
        <v>0</v>
      </c>
      <c r="L83" s="3">
        <v>0</v>
      </c>
      <c r="M83" s="3">
        <v>64</v>
      </c>
      <c r="N83" s="3">
        <v>20</v>
      </c>
      <c r="O83" s="46" t="s">
        <v>1128</v>
      </c>
      <c r="P83" s="3">
        <v>2212.327552</v>
      </c>
      <c r="Q83" s="3">
        <v>2903.679912</v>
      </c>
      <c r="R83" s="3">
        <v>3</v>
      </c>
      <c r="S83" s="3">
        <v>4</v>
      </c>
      <c r="T83" s="3">
        <v>5</v>
      </c>
      <c r="U83" s="3">
        <v>2</v>
      </c>
      <c r="V83" s="3">
        <v>6</v>
      </c>
      <c r="W83" s="3">
        <v>0</v>
      </c>
      <c r="X83" s="3">
        <v>0</v>
      </c>
      <c r="Y83" s="3">
        <v>0</v>
      </c>
      <c r="Z83" s="3">
        <v>34.567618</v>
      </c>
      <c r="AA83" s="3">
        <v>172.83809</v>
      </c>
      <c r="AB83" s="3">
        <v>16.8</v>
      </c>
      <c r="AC83" s="3">
        <v>12.8</v>
      </c>
      <c r="AD83" s="3">
        <v>12.8</v>
      </c>
      <c r="AE83" s="3">
        <v>3</v>
      </c>
      <c r="AF83" s="3">
        <v>6.8</v>
      </c>
      <c r="AG83" s="3">
        <v>0</v>
      </c>
      <c r="AH83" s="3">
        <v>4.5</v>
      </c>
      <c r="AI83" s="3">
        <v>34</v>
      </c>
      <c r="AJ83" s="3">
        <v>6</v>
      </c>
      <c r="AK83" s="3">
        <v>1175.299012</v>
      </c>
      <c r="AL83" s="2" t="s">
        <v>1694</v>
      </c>
      <c r="AM83" s="3">
        <v>0</v>
      </c>
      <c r="AN83" s="3">
        <v>5</v>
      </c>
      <c r="AO83" s="4">
        <v>46012</v>
      </c>
      <c r="AP83" s="4">
        <v>45758</v>
      </c>
      <c r="AQ83" s="2" t="s">
        <v>1879</v>
      </c>
      <c r="AR83" s="2" t="s">
        <v>1454</v>
      </c>
    </row>
    <row r="84" customHeight="1" spans="1:44">
      <c r="A84" s="2" t="s">
        <v>118</v>
      </c>
      <c r="B84" s="2" t="s">
        <v>1692</v>
      </c>
      <c r="C84" s="2" t="s">
        <v>1454</v>
      </c>
      <c r="D84" s="2"/>
      <c r="E84" s="2"/>
      <c r="F84" s="2" t="s">
        <v>1880</v>
      </c>
      <c r="G84" s="2" t="s">
        <v>1696</v>
      </c>
      <c r="H84" s="3">
        <v>11</v>
      </c>
      <c r="I84" s="3">
        <v>2</v>
      </c>
      <c r="J84" s="3">
        <v>21</v>
      </c>
      <c r="K84" s="3">
        <v>1</v>
      </c>
      <c r="L84" s="3">
        <v>29</v>
      </c>
      <c r="M84" s="3">
        <v>64</v>
      </c>
      <c r="N84" s="3">
        <v>20</v>
      </c>
      <c r="O84" s="46" t="s">
        <v>1128</v>
      </c>
      <c r="P84" s="3">
        <v>2982.3344</v>
      </c>
      <c r="Q84" s="3">
        <v>3914.3139</v>
      </c>
      <c r="R84" s="3">
        <v>4</v>
      </c>
      <c r="S84" s="3">
        <v>5</v>
      </c>
      <c r="T84" s="3">
        <v>7</v>
      </c>
      <c r="U84" s="3">
        <v>4</v>
      </c>
      <c r="V84" s="3">
        <v>1</v>
      </c>
      <c r="W84" s="3">
        <v>0</v>
      </c>
      <c r="X84" s="3">
        <v>0</v>
      </c>
      <c r="Y84" s="3">
        <v>0</v>
      </c>
      <c r="Z84" s="3">
        <v>46.598975</v>
      </c>
      <c r="AA84" s="3">
        <v>326.192825</v>
      </c>
      <c r="AB84" s="3">
        <v>12</v>
      </c>
      <c r="AC84" s="3">
        <v>9.142857143</v>
      </c>
      <c r="AD84" s="3">
        <v>5</v>
      </c>
      <c r="AE84" s="3">
        <v>1.571428571</v>
      </c>
      <c r="AF84" s="3">
        <v>3</v>
      </c>
      <c r="AG84" s="3">
        <v>0.142857143</v>
      </c>
      <c r="AH84" s="3">
        <v>4.5</v>
      </c>
      <c r="AI84" s="3">
        <v>22</v>
      </c>
      <c r="AJ84" s="3">
        <v>6</v>
      </c>
      <c r="AK84" s="3">
        <v>1025.17745</v>
      </c>
      <c r="AL84" s="2" t="s">
        <v>1694</v>
      </c>
      <c r="AM84" s="3">
        <v>1</v>
      </c>
      <c r="AN84" s="3">
        <v>5</v>
      </c>
      <c r="AO84" s="4">
        <v>46206</v>
      </c>
      <c r="AP84" s="4">
        <v>45696</v>
      </c>
      <c r="AQ84" s="2" t="s">
        <v>1879</v>
      </c>
      <c r="AR84" s="2" t="s">
        <v>1454</v>
      </c>
    </row>
    <row r="85" customHeight="1" spans="1:44">
      <c r="A85" s="2" t="s">
        <v>380</v>
      </c>
      <c r="B85" s="2" t="s">
        <v>1692</v>
      </c>
      <c r="C85" s="2" t="s">
        <v>1454</v>
      </c>
      <c r="D85" s="2"/>
      <c r="E85" s="2"/>
      <c r="F85" s="2" t="s">
        <v>343</v>
      </c>
      <c r="G85" s="2" t="s">
        <v>1696</v>
      </c>
      <c r="H85" s="3">
        <v>0</v>
      </c>
      <c r="I85" s="3">
        <v>0</v>
      </c>
      <c r="J85" s="3">
        <v>19</v>
      </c>
      <c r="K85" s="3">
        <v>19</v>
      </c>
      <c r="L85" s="3">
        <v>25</v>
      </c>
      <c r="M85" s="3">
        <v>63</v>
      </c>
      <c r="N85" s="3">
        <v>0</v>
      </c>
      <c r="O85" s="46" t="s">
        <v>1922</v>
      </c>
      <c r="P85" s="3">
        <v>4881.106188</v>
      </c>
      <c r="Q85" s="3">
        <v>4881.106188</v>
      </c>
      <c r="R85" s="3">
        <v>3</v>
      </c>
      <c r="S85" s="3">
        <v>4</v>
      </c>
      <c r="T85" s="3">
        <v>6</v>
      </c>
      <c r="U85" s="3">
        <v>1</v>
      </c>
      <c r="V85" s="3">
        <v>0</v>
      </c>
      <c r="W85" s="3">
        <v>0</v>
      </c>
      <c r="X85" s="3">
        <v>20</v>
      </c>
      <c r="Y85" s="3">
        <v>40</v>
      </c>
      <c r="Z85" s="3">
        <v>77.477876</v>
      </c>
      <c r="AA85" s="3">
        <v>464.867256</v>
      </c>
      <c r="AB85" s="3">
        <v>10.5</v>
      </c>
      <c r="AC85" s="3">
        <v>10.5</v>
      </c>
      <c r="AD85" s="3">
        <v>6.333333333</v>
      </c>
      <c r="AE85" s="3">
        <v>0</v>
      </c>
      <c r="AF85" s="3">
        <v>3.166666667</v>
      </c>
      <c r="AG85" s="3">
        <v>3.166666667</v>
      </c>
      <c r="AH85" s="3">
        <v>4.5</v>
      </c>
      <c r="AI85" s="3">
        <v>27</v>
      </c>
      <c r="AJ85" s="3">
        <v>6</v>
      </c>
      <c r="AK85" s="3">
        <v>2091.902652</v>
      </c>
      <c r="AL85" s="2" t="s">
        <v>1710</v>
      </c>
      <c r="AM85" s="3">
        <v>0</v>
      </c>
      <c r="AN85" s="3">
        <v>6</v>
      </c>
      <c r="AO85" s="2"/>
      <c r="AP85" s="4">
        <v>46253</v>
      </c>
      <c r="AQ85" s="2" t="s">
        <v>1879</v>
      </c>
      <c r="AR85" s="2" t="s">
        <v>1454</v>
      </c>
    </row>
    <row r="86" customHeight="1" spans="1:44">
      <c r="A86" s="2" t="s">
        <v>301</v>
      </c>
      <c r="B86" s="2" t="s">
        <v>1692</v>
      </c>
      <c r="C86" s="2" t="s">
        <v>1454</v>
      </c>
      <c r="D86" s="2"/>
      <c r="E86" s="2"/>
      <c r="F86" s="2" t="s">
        <v>1880</v>
      </c>
      <c r="G86" s="2" t="s">
        <v>1696</v>
      </c>
      <c r="H86" s="3">
        <v>3</v>
      </c>
      <c r="I86" s="3">
        <v>2</v>
      </c>
      <c r="J86" s="3">
        <v>12</v>
      </c>
      <c r="K86" s="3">
        <v>6</v>
      </c>
      <c r="L86" s="3">
        <v>39</v>
      </c>
      <c r="M86" s="3">
        <v>62</v>
      </c>
      <c r="N86" s="3">
        <v>0</v>
      </c>
      <c r="O86" s="46" t="s">
        <v>1923</v>
      </c>
      <c r="P86" s="3">
        <v>2360.312286</v>
      </c>
      <c r="Q86" s="3">
        <v>2360.312286</v>
      </c>
      <c r="R86" s="3">
        <v>3</v>
      </c>
      <c r="S86" s="3">
        <v>5</v>
      </c>
      <c r="T86" s="3">
        <v>11</v>
      </c>
      <c r="U86" s="3">
        <v>7</v>
      </c>
      <c r="V86" s="3">
        <v>6</v>
      </c>
      <c r="W86" s="3">
        <v>40</v>
      </c>
      <c r="X86" s="3">
        <v>40</v>
      </c>
      <c r="Y86" s="3">
        <v>40</v>
      </c>
      <c r="Z86" s="3">
        <v>38.069553</v>
      </c>
      <c r="AA86" s="3">
        <v>418.765083</v>
      </c>
      <c r="AB86" s="3">
        <v>5.636363636</v>
      </c>
      <c r="AC86" s="3">
        <v>5.636363636</v>
      </c>
      <c r="AD86" s="3">
        <v>2.090909091</v>
      </c>
      <c r="AE86" s="3">
        <v>0.272727273</v>
      </c>
      <c r="AF86" s="3">
        <v>1.090909091</v>
      </c>
      <c r="AG86" s="3">
        <v>0.545454545</v>
      </c>
      <c r="AH86" s="3">
        <v>4.5</v>
      </c>
      <c r="AI86" s="3">
        <v>0</v>
      </c>
      <c r="AJ86" s="3">
        <v>6</v>
      </c>
      <c r="AK86" s="3">
        <v>0</v>
      </c>
      <c r="AL86" s="2" t="s">
        <v>1694</v>
      </c>
      <c r="AM86" s="3">
        <v>9</v>
      </c>
      <c r="AN86" s="3">
        <v>2</v>
      </c>
      <c r="AO86" s="4">
        <v>46207</v>
      </c>
      <c r="AP86" s="4">
        <v>45758</v>
      </c>
      <c r="AQ86" s="2" t="s">
        <v>1879</v>
      </c>
      <c r="AR86" s="2" t="s">
        <v>1454</v>
      </c>
    </row>
    <row r="87" customHeight="1" spans="1:44">
      <c r="A87" s="2" t="s">
        <v>599</v>
      </c>
      <c r="B87" s="2" t="s">
        <v>1692</v>
      </c>
      <c r="C87" s="2" t="s">
        <v>1454</v>
      </c>
      <c r="D87" s="2"/>
      <c r="E87" s="2"/>
      <c r="F87" s="2" t="s">
        <v>343</v>
      </c>
      <c r="G87" s="2" t="s">
        <v>1696</v>
      </c>
      <c r="H87" s="3">
        <v>0</v>
      </c>
      <c r="I87" s="3">
        <v>0</v>
      </c>
      <c r="J87" s="3">
        <v>21</v>
      </c>
      <c r="K87" s="3">
        <v>40</v>
      </c>
      <c r="L87" s="3">
        <v>1</v>
      </c>
      <c r="M87" s="3">
        <v>62</v>
      </c>
      <c r="N87" s="3">
        <v>0</v>
      </c>
      <c r="O87" s="46" t="s">
        <v>1923</v>
      </c>
      <c r="P87" s="3">
        <v>25513.27435</v>
      </c>
      <c r="Q87" s="3">
        <v>25513.27435</v>
      </c>
      <c r="R87" s="3">
        <v>1</v>
      </c>
      <c r="S87" s="3">
        <v>2</v>
      </c>
      <c r="T87" s="3">
        <v>3</v>
      </c>
      <c r="U87" s="3">
        <v>0</v>
      </c>
      <c r="V87" s="3">
        <v>0</v>
      </c>
      <c r="W87" s="3">
        <v>0</v>
      </c>
      <c r="X87" s="3">
        <v>24</v>
      </c>
      <c r="Y87" s="3">
        <v>24</v>
      </c>
      <c r="Z87" s="3">
        <v>411.504425</v>
      </c>
      <c r="AA87" s="3">
        <v>1234.513275</v>
      </c>
      <c r="AB87" s="3">
        <v>20.66666667</v>
      </c>
      <c r="AC87" s="3">
        <v>20.66666667</v>
      </c>
      <c r="AD87" s="3">
        <v>20.33333333</v>
      </c>
      <c r="AE87" s="3">
        <v>0</v>
      </c>
      <c r="AF87" s="3">
        <v>7</v>
      </c>
      <c r="AG87" s="3">
        <v>13.33333333</v>
      </c>
      <c r="AH87" s="3">
        <v>4.5</v>
      </c>
      <c r="AI87" s="3">
        <v>44</v>
      </c>
      <c r="AJ87" s="3">
        <v>6</v>
      </c>
      <c r="AK87" s="3">
        <v>18106.1947</v>
      </c>
      <c r="AL87" s="2" t="s">
        <v>1710</v>
      </c>
      <c r="AM87" s="3">
        <v>0</v>
      </c>
      <c r="AN87" s="3">
        <v>3</v>
      </c>
      <c r="AO87" s="2"/>
      <c r="AP87" s="4">
        <v>46233</v>
      </c>
      <c r="AQ87" s="2" t="s">
        <v>1879</v>
      </c>
      <c r="AR87" s="2" t="s">
        <v>1454</v>
      </c>
    </row>
    <row r="88" customHeight="1" spans="1:44">
      <c r="A88" s="2" t="s">
        <v>267</v>
      </c>
      <c r="B88" s="2" t="s">
        <v>1692</v>
      </c>
      <c r="C88" s="2" t="s">
        <v>1454</v>
      </c>
      <c r="D88" s="2"/>
      <c r="E88" s="2"/>
      <c r="F88" s="2" t="s">
        <v>1885</v>
      </c>
      <c r="G88" s="2" t="s">
        <v>1696</v>
      </c>
      <c r="H88" s="3">
        <v>19</v>
      </c>
      <c r="I88" s="3">
        <v>0</v>
      </c>
      <c r="J88" s="3">
        <v>17</v>
      </c>
      <c r="K88" s="3">
        <v>1</v>
      </c>
      <c r="L88" s="3">
        <v>24</v>
      </c>
      <c r="M88" s="3">
        <v>61</v>
      </c>
      <c r="N88" s="3">
        <v>0</v>
      </c>
      <c r="O88" s="46" t="s">
        <v>1042</v>
      </c>
      <c r="P88" s="3">
        <v>4862.778846</v>
      </c>
      <c r="Q88" s="3">
        <v>4862.778846</v>
      </c>
      <c r="R88" s="3">
        <v>0</v>
      </c>
      <c r="S88" s="3">
        <v>0</v>
      </c>
      <c r="T88" s="3">
        <v>0</v>
      </c>
      <c r="U88" s="3">
        <v>2</v>
      </c>
      <c r="V88" s="3">
        <v>3</v>
      </c>
      <c r="W88" s="3">
        <v>0</v>
      </c>
      <c r="X88" s="3">
        <v>24</v>
      </c>
      <c r="Y88" s="3">
        <v>24</v>
      </c>
      <c r="Z88" s="3">
        <v>79.717686</v>
      </c>
      <c r="AA88" s="3">
        <v>0</v>
      </c>
      <c r="AB88" s="3"/>
      <c r="AC88" s="3"/>
      <c r="AD88" s="3"/>
      <c r="AE88" s="3"/>
      <c r="AF88" s="3"/>
      <c r="AG88" s="3"/>
      <c r="AH88" s="3">
        <v>4.5</v>
      </c>
      <c r="AI88" s="3">
        <v>61</v>
      </c>
      <c r="AJ88" s="3">
        <v>6</v>
      </c>
      <c r="AK88" s="3">
        <v>4862.778846</v>
      </c>
      <c r="AL88" s="2" t="s">
        <v>1694</v>
      </c>
      <c r="AM88" s="3">
        <v>0</v>
      </c>
      <c r="AN88" s="3">
        <v>0</v>
      </c>
      <c r="AO88" s="4">
        <v>46184</v>
      </c>
      <c r="AP88" s="4">
        <v>45765</v>
      </c>
      <c r="AQ88" s="2" t="s">
        <v>1879</v>
      </c>
      <c r="AR88" s="2" t="s">
        <v>1454</v>
      </c>
    </row>
    <row r="89" customHeight="1" spans="1:44">
      <c r="A89" s="2" t="s">
        <v>292</v>
      </c>
      <c r="B89" s="2" t="s">
        <v>1692</v>
      </c>
      <c r="C89" s="2" t="s">
        <v>1454</v>
      </c>
      <c r="D89" s="2"/>
      <c r="E89" s="2"/>
      <c r="F89" s="2" t="s">
        <v>1880</v>
      </c>
      <c r="G89" s="2" t="s">
        <v>1696</v>
      </c>
      <c r="H89" s="3">
        <v>16</v>
      </c>
      <c r="I89" s="3">
        <v>0</v>
      </c>
      <c r="J89" s="3">
        <v>26</v>
      </c>
      <c r="K89" s="3">
        <v>10</v>
      </c>
      <c r="L89" s="3">
        <v>8</v>
      </c>
      <c r="M89" s="3">
        <v>60</v>
      </c>
      <c r="N89" s="3">
        <v>32</v>
      </c>
      <c r="O89" s="46" t="s">
        <v>1907</v>
      </c>
      <c r="P89" s="3">
        <v>3723.56808</v>
      </c>
      <c r="Q89" s="3">
        <v>5709.471056</v>
      </c>
      <c r="R89" s="3">
        <v>3</v>
      </c>
      <c r="S89" s="3">
        <v>5</v>
      </c>
      <c r="T89" s="3">
        <v>9</v>
      </c>
      <c r="U89" s="3">
        <v>6</v>
      </c>
      <c r="V89" s="3">
        <v>6</v>
      </c>
      <c r="W89" s="3">
        <v>0</v>
      </c>
      <c r="X89" s="3">
        <v>0</v>
      </c>
      <c r="Y89" s="3">
        <v>0</v>
      </c>
      <c r="Z89" s="3">
        <v>62.059468</v>
      </c>
      <c r="AA89" s="3">
        <v>558.535212</v>
      </c>
      <c r="AB89" s="3">
        <v>10.22222222</v>
      </c>
      <c r="AC89" s="3">
        <v>6.666666667</v>
      </c>
      <c r="AD89" s="3">
        <v>5.777777778</v>
      </c>
      <c r="AE89" s="3">
        <v>1.777777778</v>
      </c>
      <c r="AF89" s="3">
        <v>2.888888889</v>
      </c>
      <c r="AG89" s="3">
        <v>1.111111111</v>
      </c>
      <c r="AH89" s="3">
        <v>4.5</v>
      </c>
      <c r="AI89" s="3">
        <v>6</v>
      </c>
      <c r="AJ89" s="3">
        <v>6</v>
      </c>
      <c r="AK89" s="3">
        <v>372.356808</v>
      </c>
      <c r="AL89" s="2" t="s">
        <v>1694</v>
      </c>
      <c r="AM89" s="3">
        <v>2</v>
      </c>
      <c r="AN89" s="3">
        <v>6</v>
      </c>
      <c r="AO89" s="4">
        <v>45368</v>
      </c>
      <c r="AP89" s="4">
        <v>45366</v>
      </c>
      <c r="AQ89" s="2" t="s">
        <v>1879</v>
      </c>
      <c r="AR89" s="2" t="s">
        <v>1454</v>
      </c>
    </row>
    <row r="90" customHeight="1" spans="1:44">
      <c r="A90" s="2" t="s">
        <v>689</v>
      </c>
      <c r="B90" s="2" t="s">
        <v>1692</v>
      </c>
      <c r="C90" s="2" t="s">
        <v>1454</v>
      </c>
      <c r="D90" s="2"/>
      <c r="E90" s="2"/>
      <c r="F90" s="2" t="s">
        <v>1924</v>
      </c>
      <c r="G90" s="2" t="s">
        <v>1696</v>
      </c>
      <c r="H90" s="3">
        <v>1</v>
      </c>
      <c r="I90" s="3">
        <v>0</v>
      </c>
      <c r="J90" s="3">
        <v>1</v>
      </c>
      <c r="K90" s="3">
        <v>4</v>
      </c>
      <c r="L90" s="3">
        <v>54</v>
      </c>
      <c r="M90" s="3">
        <v>60</v>
      </c>
      <c r="N90" s="3">
        <v>0</v>
      </c>
      <c r="O90" s="46" t="s">
        <v>752</v>
      </c>
      <c r="P90" s="3">
        <v>15164.5407</v>
      </c>
      <c r="Q90" s="3">
        <v>15164.5407</v>
      </c>
      <c r="R90" s="3">
        <v>0</v>
      </c>
      <c r="S90" s="3">
        <v>0</v>
      </c>
      <c r="T90" s="3">
        <v>3</v>
      </c>
      <c r="U90" s="3">
        <v>1</v>
      </c>
      <c r="V90" s="3">
        <v>2</v>
      </c>
      <c r="W90" s="3">
        <v>0</v>
      </c>
      <c r="X90" s="3">
        <v>0</v>
      </c>
      <c r="Y90" s="3">
        <v>0</v>
      </c>
      <c r="Z90" s="3">
        <v>252.742345</v>
      </c>
      <c r="AA90" s="3">
        <v>758.227035</v>
      </c>
      <c r="AB90" s="3">
        <v>20</v>
      </c>
      <c r="AC90" s="3">
        <v>20</v>
      </c>
      <c r="AD90" s="3">
        <v>2</v>
      </c>
      <c r="AE90" s="3">
        <v>0.333333333</v>
      </c>
      <c r="AF90" s="3">
        <v>0.333333333</v>
      </c>
      <c r="AG90" s="3">
        <v>1.333333333</v>
      </c>
      <c r="AH90" s="3">
        <v>4.5</v>
      </c>
      <c r="AI90" s="3">
        <v>42</v>
      </c>
      <c r="AJ90" s="3">
        <v>6</v>
      </c>
      <c r="AK90" s="3">
        <v>10615.17849</v>
      </c>
      <c r="AL90" s="2" t="s">
        <v>1694</v>
      </c>
      <c r="AM90" s="3">
        <v>0</v>
      </c>
      <c r="AN90" s="3">
        <v>3</v>
      </c>
      <c r="AO90" s="4">
        <v>45368</v>
      </c>
      <c r="AP90" s="4">
        <v>45351</v>
      </c>
      <c r="AQ90" s="2" t="s">
        <v>1879</v>
      </c>
      <c r="AR90" s="2" t="s">
        <v>1454</v>
      </c>
    </row>
    <row r="91" customHeight="1" spans="1:44">
      <c r="A91" s="2" t="s">
        <v>509</v>
      </c>
      <c r="B91" s="2" t="s">
        <v>1692</v>
      </c>
      <c r="C91" s="2" t="s">
        <v>1454</v>
      </c>
      <c r="D91" s="2"/>
      <c r="E91" s="2"/>
      <c r="F91" s="2" t="s">
        <v>1885</v>
      </c>
      <c r="G91" s="2" t="s">
        <v>1696</v>
      </c>
      <c r="H91" s="3">
        <v>0</v>
      </c>
      <c r="I91" s="3">
        <v>0</v>
      </c>
      <c r="J91" s="3">
        <v>11</v>
      </c>
      <c r="K91" s="3">
        <v>6</v>
      </c>
      <c r="L91" s="3">
        <v>42</v>
      </c>
      <c r="M91" s="3">
        <v>59</v>
      </c>
      <c r="N91" s="3">
        <v>0</v>
      </c>
      <c r="O91" s="46" t="s">
        <v>867</v>
      </c>
      <c r="P91" s="3">
        <v>3603.939657</v>
      </c>
      <c r="Q91" s="3">
        <v>3603.939657</v>
      </c>
      <c r="R91" s="3">
        <v>0</v>
      </c>
      <c r="S91" s="3">
        <v>1</v>
      </c>
      <c r="T91" s="3">
        <v>1</v>
      </c>
      <c r="U91" s="3">
        <v>3</v>
      </c>
      <c r="V91" s="3">
        <v>2</v>
      </c>
      <c r="W91" s="3">
        <v>0</v>
      </c>
      <c r="X91" s="3">
        <v>0</v>
      </c>
      <c r="Y91" s="3">
        <v>0</v>
      </c>
      <c r="Z91" s="3">
        <v>61.083723</v>
      </c>
      <c r="AA91" s="3">
        <v>61.083723</v>
      </c>
      <c r="AB91" s="3">
        <v>59</v>
      </c>
      <c r="AC91" s="3">
        <v>59</v>
      </c>
      <c r="AD91" s="3">
        <v>17</v>
      </c>
      <c r="AE91" s="3">
        <v>0</v>
      </c>
      <c r="AF91" s="3">
        <v>11</v>
      </c>
      <c r="AG91" s="3">
        <v>6</v>
      </c>
      <c r="AH91" s="3">
        <v>4.5</v>
      </c>
      <c r="AI91" s="3">
        <v>53</v>
      </c>
      <c r="AJ91" s="3">
        <v>6</v>
      </c>
      <c r="AK91" s="3">
        <v>3237.437319</v>
      </c>
      <c r="AL91" s="2" t="s">
        <v>1694</v>
      </c>
      <c r="AM91" s="3">
        <v>0</v>
      </c>
      <c r="AN91" s="3">
        <v>1</v>
      </c>
      <c r="AO91" s="2"/>
      <c r="AP91" s="4">
        <v>45765</v>
      </c>
      <c r="AQ91" s="2" t="s">
        <v>1879</v>
      </c>
      <c r="AR91" s="2" t="s">
        <v>1454</v>
      </c>
    </row>
    <row r="92" customHeight="1" spans="1:44">
      <c r="A92" s="2" t="s">
        <v>236</v>
      </c>
      <c r="B92" s="2" t="s">
        <v>1692</v>
      </c>
      <c r="C92" s="2" t="s">
        <v>1454</v>
      </c>
      <c r="D92" s="2"/>
      <c r="E92" s="2"/>
      <c r="F92" s="2" t="s">
        <v>1885</v>
      </c>
      <c r="G92" s="2" t="s">
        <v>1696</v>
      </c>
      <c r="H92" s="3">
        <v>1</v>
      </c>
      <c r="I92" s="3">
        <v>1</v>
      </c>
      <c r="J92" s="3">
        <v>14</v>
      </c>
      <c r="K92" s="3">
        <v>10</v>
      </c>
      <c r="L92" s="3">
        <v>31</v>
      </c>
      <c r="M92" s="3">
        <v>57</v>
      </c>
      <c r="N92" s="3">
        <v>20</v>
      </c>
      <c r="O92" s="46" t="s">
        <v>1212</v>
      </c>
      <c r="P92" s="3">
        <v>2624.043735</v>
      </c>
      <c r="Q92" s="3">
        <v>3544.760835</v>
      </c>
      <c r="R92" s="3">
        <v>1</v>
      </c>
      <c r="S92" s="3">
        <v>2</v>
      </c>
      <c r="T92" s="3">
        <v>2</v>
      </c>
      <c r="U92" s="3">
        <v>6</v>
      </c>
      <c r="V92" s="3">
        <v>2</v>
      </c>
      <c r="W92" s="3">
        <v>20</v>
      </c>
      <c r="X92" s="3">
        <v>20</v>
      </c>
      <c r="Y92" s="3">
        <v>20</v>
      </c>
      <c r="Z92" s="3">
        <v>46.035855</v>
      </c>
      <c r="AA92" s="3">
        <v>92.07171</v>
      </c>
      <c r="AB92" s="3">
        <v>38.5</v>
      </c>
      <c r="AC92" s="3">
        <v>28.5</v>
      </c>
      <c r="AD92" s="3">
        <v>13</v>
      </c>
      <c r="AE92" s="3">
        <v>0.5</v>
      </c>
      <c r="AF92" s="3">
        <v>7</v>
      </c>
      <c r="AG92" s="3">
        <v>5</v>
      </c>
      <c r="AH92" s="3">
        <v>4.5</v>
      </c>
      <c r="AI92" s="3">
        <v>45</v>
      </c>
      <c r="AJ92" s="3">
        <v>6</v>
      </c>
      <c r="AK92" s="3">
        <v>2071.613475</v>
      </c>
      <c r="AL92" s="2" t="s">
        <v>1714</v>
      </c>
      <c r="AM92" s="3">
        <v>0</v>
      </c>
      <c r="AN92" s="3">
        <v>1</v>
      </c>
      <c r="AO92" s="4">
        <v>46279</v>
      </c>
      <c r="AP92" s="4">
        <v>44804</v>
      </c>
      <c r="AQ92" s="2" t="s">
        <v>1879</v>
      </c>
      <c r="AR92" s="2" t="s">
        <v>1454</v>
      </c>
    </row>
    <row r="93" customHeight="1" spans="1:44">
      <c r="A93" s="2" t="s">
        <v>356</v>
      </c>
      <c r="B93" s="2" t="s">
        <v>1692</v>
      </c>
      <c r="C93" s="2" t="s">
        <v>1454</v>
      </c>
      <c r="D93" s="2"/>
      <c r="E93" s="2"/>
      <c r="F93" s="2" t="s">
        <v>343</v>
      </c>
      <c r="G93" s="2" t="s">
        <v>1696</v>
      </c>
      <c r="H93" s="3">
        <v>0</v>
      </c>
      <c r="I93" s="3">
        <v>15</v>
      </c>
      <c r="J93" s="3">
        <v>14</v>
      </c>
      <c r="K93" s="3">
        <v>14</v>
      </c>
      <c r="L93" s="3">
        <v>12</v>
      </c>
      <c r="M93" s="3">
        <v>55</v>
      </c>
      <c r="N93" s="3">
        <v>0</v>
      </c>
      <c r="O93" s="46" t="s">
        <v>1925</v>
      </c>
      <c r="P93" s="3">
        <v>2506.637155</v>
      </c>
      <c r="Q93" s="3">
        <v>2506.637155</v>
      </c>
      <c r="R93" s="3">
        <v>1</v>
      </c>
      <c r="S93" s="3">
        <v>2</v>
      </c>
      <c r="T93" s="3">
        <v>4</v>
      </c>
      <c r="U93" s="3">
        <v>2</v>
      </c>
      <c r="V93" s="3">
        <v>0</v>
      </c>
      <c r="W93" s="3">
        <v>0</v>
      </c>
      <c r="X93" s="3">
        <v>0</v>
      </c>
      <c r="Y93" s="3">
        <v>0</v>
      </c>
      <c r="Z93" s="3">
        <v>45.575221</v>
      </c>
      <c r="AA93" s="3">
        <v>182.300884</v>
      </c>
      <c r="AB93" s="3">
        <v>13.75</v>
      </c>
      <c r="AC93" s="3">
        <v>13.75</v>
      </c>
      <c r="AD93" s="3">
        <v>10.75</v>
      </c>
      <c r="AE93" s="3">
        <v>0</v>
      </c>
      <c r="AF93" s="3">
        <v>3.5</v>
      </c>
      <c r="AG93" s="3">
        <v>3.5</v>
      </c>
      <c r="AH93" s="3">
        <v>4.5</v>
      </c>
      <c r="AI93" s="3">
        <v>31</v>
      </c>
      <c r="AJ93" s="3">
        <v>6</v>
      </c>
      <c r="AK93" s="3">
        <v>1412.831851</v>
      </c>
      <c r="AL93" s="2" t="s">
        <v>1710</v>
      </c>
      <c r="AM93" s="3">
        <v>0</v>
      </c>
      <c r="AN93" s="3">
        <v>4</v>
      </c>
      <c r="AO93" s="2"/>
      <c r="AP93" s="4">
        <v>46233</v>
      </c>
      <c r="AQ93" s="2" t="s">
        <v>1879</v>
      </c>
      <c r="AR93" s="2" t="s">
        <v>1454</v>
      </c>
    </row>
    <row r="94" customHeight="1" spans="1:44">
      <c r="A94" s="2" t="s">
        <v>115</v>
      </c>
      <c r="B94" s="2" t="s">
        <v>1692</v>
      </c>
      <c r="C94" s="2" t="s">
        <v>1454</v>
      </c>
      <c r="D94" s="2"/>
      <c r="E94" s="2"/>
      <c r="F94" s="2" t="s">
        <v>1880</v>
      </c>
      <c r="G94" s="2" t="s">
        <v>1696</v>
      </c>
      <c r="H94" s="3">
        <v>9</v>
      </c>
      <c r="I94" s="3">
        <v>0</v>
      </c>
      <c r="J94" s="3">
        <v>8</v>
      </c>
      <c r="K94" s="3">
        <v>26</v>
      </c>
      <c r="L94" s="3">
        <v>12</v>
      </c>
      <c r="M94" s="3">
        <v>55</v>
      </c>
      <c r="N94" s="3">
        <v>120</v>
      </c>
      <c r="O94" s="46" t="s">
        <v>913</v>
      </c>
      <c r="P94" s="3">
        <v>4490.853675</v>
      </c>
      <c r="Q94" s="3">
        <v>14289.07988</v>
      </c>
      <c r="R94" s="3">
        <v>3</v>
      </c>
      <c r="S94" s="3">
        <v>9</v>
      </c>
      <c r="T94" s="3">
        <v>16</v>
      </c>
      <c r="U94" s="3">
        <v>26</v>
      </c>
      <c r="V94" s="3">
        <v>16</v>
      </c>
      <c r="W94" s="3">
        <v>0</v>
      </c>
      <c r="X94" s="3">
        <v>0</v>
      </c>
      <c r="Y94" s="3">
        <v>0</v>
      </c>
      <c r="Z94" s="3">
        <v>81.651885</v>
      </c>
      <c r="AA94" s="3">
        <v>1306.43016</v>
      </c>
      <c r="AB94" s="3">
        <v>10.9375</v>
      </c>
      <c r="AC94" s="3">
        <v>3.4375</v>
      </c>
      <c r="AD94" s="3">
        <v>2.6875</v>
      </c>
      <c r="AE94" s="3">
        <v>0.5625</v>
      </c>
      <c r="AF94" s="3">
        <v>0.5</v>
      </c>
      <c r="AG94" s="3">
        <v>1.625</v>
      </c>
      <c r="AH94" s="3">
        <v>4.5</v>
      </c>
      <c r="AI94" s="3">
        <v>0</v>
      </c>
      <c r="AJ94" s="3">
        <v>6</v>
      </c>
      <c r="AK94" s="3">
        <v>0</v>
      </c>
      <c r="AL94" s="2" t="s">
        <v>1694</v>
      </c>
      <c r="AM94" s="3">
        <v>0</v>
      </c>
      <c r="AN94" s="3">
        <v>16</v>
      </c>
      <c r="AO94" s="4">
        <v>45368</v>
      </c>
      <c r="AP94" s="4">
        <v>45351</v>
      </c>
      <c r="AQ94" s="2" t="s">
        <v>1879</v>
      </c>
      <c r="AR94" s="2" t="s">
        <v>1454</v>
      </c>
    </row>
    <row r="95" customHeight="1" spans="1:44">
      <c r="A95" s="2" t="s">
        <v>410</v>
      </c>
      <c r="B95" s="2" t="s">
        <v>1692</v>
      </c>
      <c r="C95" s="2" t="s">
        <v>1454</v>
      </c>
      <c r="D95" s="2"/>
      <c r="E95" s="2"/>
      <c r="F95" s="2" t="s">
        <v>343</v>
      </c>
      <c r="G95" s="2" t="s">
        <v>1696</v>
      </c>
      <c r="H95" s="3">
        <v>5</v>
      </c>
      <c r="I95" s="3">
        <v>15</v>
      </c>
      <c r="J95" s="3">
        <v>5</v>
      </c>
      <c r="K95" s="3">
        <v>2</v>
      </c>
      <c r="L95" s="3">
        <v>26</v>
      </c>
      <c r="M95" s="3">
        <v>53</v>
      </c>
      <c r="N95" s="3">
        <v>0</v>
      </c>
      <c r="O95" s="46" t="s">
        <v>1076</v>
      </c>
      <c r="P95" s="3">
        <v>3142.477855</v>
      </c>
      <c r="Q95" s="3">
        <v>3142.477855</v>
      </c>
      <c r="R95" s="3">
        <v>1</v>
      </c>
      <c r="S95" s="3">
        <v>1</v>
      </c>
      <c r="T95" s="3">
        <v>1</v>
      </c>
      <c r="U95" s="3">
        <v>0</v>
      </c>
      <c r="V95" s="3">
        <v>0</v>
      </c>
      <c r="W95" s="3">
        <v>0</v>
      </c>
      <c r="X95" s="3">
        <v>0</v>
      </c>
      <c r="Y95" s="3">
        <v>24</v>
      </c>
      <c r="Z95" s="3">
        <v>59.292035</v>
      </c>
      <c r="AA95" s="3">
        <v>59.292035</v>
      </c>
      <c r="AB95" s="3">
        <v>53</v>
      </c>
      <c r="AC95" s="3">
        <v>53</v>
      </c>
      <c r="AD95" s="3">
        <v>27</v>
      </c>
      <c r="AE95" s="3">
        <v>5</v>
      </c>
      <c r="AF95" s="3">
        <v>5</v>
      </c>
      <c r="AG95" s="3">
        <v>2</v>
      </c>
      <c r="AH95" s="3">
        <v>4.5</v>
      </c>
      <c r="AI95" s="3">
        <v>47</v>
      </c>
      <c r="AJ95" s="3">
        <v>6</v>
      </c>
      <c r="AK95" s="3">
        <v>2786.725645</v>
      </c>
      <c r="AL95" s="2" t="s">
        <v>1710</v>
      </c>
      <c r="AM95" s="3">
        <v>0</v>
      </c>
      <c r="AN95" s="3">
        <v>1</v>
      </c>
      <c r="AO95" s="4">
        <v>46274</v>
      </c>
      <c r="AP95" s="4">
        <v>46275</v>
      </c>
      <c r="AQ95" s="2" t="s">
        <v>1879</v>
      </c>
      <c r="AR95" s="2" t="s">
        <v>1454</v>
      </c>
    </row>
    <row r="96" customHeight="1" spans="1:44">
      <c r="A96" s="2" t="s">
        <v>154</v>
      </c>
      <c r="B96" s="2" t="s">
        <v>1692</v>
      </c>
      <c r="C96" s="2" t="s">
        <v>1454</v>
      </c>
      <c r="D96" s="2"/>
      <c r="E96" s="2"/>
      <c r="F96" s="2" t="s">
        <v>1878</v>
      </c>
      <c r="G96" s="2" t="s">
        <v>1696</v>
      </c>
      <c r="H96" s="3">
        <v>16</v>
      </c>
      <c r="I96" s="3">
        <v>0</v>
      </c>
      <c r="J96" s="3">
        <v>8</v>
      </c>
      <c r="K96" s="3">
        <v>12</v>
      </c>
      <c r="L96" s="3">
        <v>17</v>
      </c>
      <c r="M96" s="3">
        <v>53</v>
      </c>
      <c r="N96" s="3">
        <v>64</v>
      </c>
      <c r="O96" s="46" t="s">
        <v>1911</v>
      </c>
      <c r="P96" s="3">
        <v>6382.55097</v>
      </c>
      <c r="Q96" s="3">
        <v>14089.78233</v>
      </c>
      <c r="R96" s="3">
        <v>1</v>
      </c>
      <c r="S96" s="3">
        <v>7</v>
      </c>
      <c r="T96" s="3">
        <v>17</v>
      </c>
      <c r="U96" s="3">
        <v>19</v>
      </c>
      <c r="V96" s="3">
        <v>17</v>
      </c>
      <c r="W96" s="3">
        <v>0</v>
      </c>
      <c r="X96" s="3">
        <v>0</v>
      </c>
      <c r="Y96" s="3">
        <v>20</v>
      </c>
      <c r="Z96" s="3">
        <v>120.42549</v>
      </c>
      <c r="AA96" s="3">
        <v>2047.23333</v>
      </c>
      <c r="AB96" s="3">
        <v>6.882352941</v>
      </c>
      <c r="AC96" s="3">
        <v>3.117647059</v>
      </c>
      <c r="AD96" s="3">
        <v>2.117647059</v>
      </c>
      <c r="AE96" s="3">
        <v>0.941176471</v>
      </c>
      <c r="AF96" s="3">
        <v>0.470588235</v>
      </c>
      <c r="AG96" s="3">
        <v>0.705882353</v>
      </c>
      <c r="AH96" s="3">
        <v>4.5</v>
      </c>
      <c r="AI96" s="3">
        <v>0</v>
      </c>
      <c r="AJ96" s="3">
        <v>6</v>
      </c>
      <c r="AK96" s="3">
        <v>0</v>
      </c>
      <c r="AL96" s="2" t="s">
        <v>1694</v>
      </c>
      <c r="AM96" s="3">
        <v>14</v>
      </c>
      <c r="AN96" s="3">
        <v>1</v>
      </c>
      <c r="AO96" s="4">
        <v>46044</v>
      </c>
      <c r="AP96" s="4">
        <v>45798</v>
      </c>
      <c r="AQ96" s="2" t="s">
        <v>1879</v>
      </c>
      <c r="AR96" s="2" t="s">
        <v>1454</v>
      </c>
    </row>
    <row r="97" customHeight="1" spans="1:44">
      <c r="A97" s="2" t="s">
        <v>279</v>
      </c>
      <c r="B97" s="2" t="s">
        <v>1692</v>
      </c>
      <c r="C97" s="2" t="s">
        <v>1454</v>
      </c>
      <c r="D97" s="2"/>
      <c r="E97" s="2"/>
      <c r="F97" s="2" t="s">
        <v>1885</v>
      </c>
      <c r="G97" s="2" t="s">
        <v>1696</v>
      </c>
      <c r="H97" s="3">
        <v>14</v>
      </c>
      <c r="I97" s="3">
        <v>0</v>
      </c>
      <c r="J97" s="3">
        <v>7</v>
      </c>
      <c r="K97" s="3">
        <v>9</v>
      </c>
      <c r="L97" s="3">
        <v>23</v>
      </c>
      <c r="M97" s="3">
        <v>53</v>
      </c>
      <c r="N97" s="3">
        <v>40</v>
      </c>
      <c r="O97" s="46" t="s">
        <v>1926</v>
      </c>
      <c r="P97" s="3">
        <v>2256.536692</v>
      </c>
      <c r="Q97" s="3">
        <v>3959.583252</v>
      </c>
      <c r="R97" s="3">
        <v>2</v>
      </c>
      <c r="S97" s="3">
        <v>2</v>
      </c>
      <c r="T97" s="3">
        <v>6</v>
      </c>
      <c r="U97" s="3">
        <v>9</v>
      </c>
      <c r="V97" s="3">
        <v>6</v>
      </c>
      <c r="W97" s="3">
        <v>0</v>
      </c>
      <c r="X97" s="3">
        <v>0</v>
      </c>
      <c r="Y97" s="3">
        <v>0</v>
      </c>
      <c r="Z97" s="3">
        <v>42.576164</v>
      </c>
      <c r="AA97" s="3">
        <v>255.456984</v>
      </c>
      <c r="AB97" s="3">
        <v>15.5</v>
      </c>
      <c r="AC97" s="3">
        <v>8.833333333</v>
      </c>
      <c r="AD97" s="3">
        <v>5</v>
      </c>
      <c r="AE97" s="3">
        <v>2.333333333</v>
      </c>
      <c r="AF97" s="3">
        <v>1.166666667</v>
      </c>
      <c r="AG97" s="3">
        <v>1.5</v>
      </c>
      <c r="AH97" s="3">
        <v>4.5</v>
      </c>
      <c r="AI97" s="3">
        <v>17</v>
      </c>
      <c r="AJ97" s="3">
        <v>6</v>
      </c>
      <c r="AK97" s="3">
        <v>723.794788</v>
      </c>
      <c r="AL97" s="2" t="s">
        <v>1694</v>
      </c>
      <c r="AM97" s="3">
        <v>1</v>
      </c>
      <c r="AN97" s="3">
        <v>2</v>
      </c>
      <c r="AO97" s="4">
        <v>46140</v>
      </c>
      <c r="AP97" s="4">
        <v>45757</v>
      </c>
      <c r="AQ97" s="2" t="s">
        <v>1879</v>
      </c>
      <c r="AR97" s="2" t="s">
        <v>1454</v>
      </c>
    </row>
    <row r="98" customHeight="1" spans="1:44">
      <c r="A98" s="2" t="s">
        <v>512</v>
      </c>
      <c r="B98" s="2" t="s">
        <v>1692</v>
      </c>
      <c r="C98" s="2" t="s">
        <v>1454</v>
      </c>
      <c r="D98" s="2"/>
      <c r="E98" s="2"/>
      <c r="F98" s="2" t="s">
        <v>1880</v>
      </c>
      <c r="G98" s="2" t="s">
        <v>1696</v>
      </c>
      <c r="H98" s="3">
        <v>0</v>
      </c>
      <c r="I98" s="3">
        <v>0</v>
      </c>
      <c r="J98" s="3">
        <v>11</v>
      </c>
      <c r="K98" s="3">
        <v>42</v>
      </c>
      <c r="L98" s="3">
        <v>0</v>
      </c>
      <c r="M98" s="3">
        <v>53</v>
      </c>
      <c r="N98" s="3">
        <v>72</v>
      </c>
      <c r="O98" s="46" t="s">
        <v>1927</v>
      </c>
      <c r="P98" s="3">
        <v>5488.752133</v>
      </c>
      <c r="Q98" s="3">
        <v>12945.17013</v>
      </c>
      <c r="R98" s="3">
        <v>0</v>
      </c>
      <c r="S98" s="3">
        <v>2</v>
      </c>
      <c r="T98" s="3">
        <v>10</v>
      </c>
      <c r="U98" s="3">
        <v>14</v>
      </c>
      <c r="V98" s="3">
        <v>14</v>
      </c>
      <c r="W98" s="3">
        <v>0</v>
      </c>
      <c r="X98" s="3">
        <v>0</v>
      </c>
      <c r="Y98" s="3">
        <v>0</v>
      </c>
      <c r="Z98" s="3">
        <v>103.561361</v>
      </c>
      <c r="AA98" s="3">
        <v>1035.61361</v>
      </c>
      <c r="AB98" s="3">
        <v>12.5</v>
      </c>
      <c r="AC98" s="3">
        <v>5.3</v>
      </c>
      <c r="AD98" s="3">
        <v>5.3</v>
      </c>
      <c r="AE98" s="3">
        <v>0</v>
      </c>
      <c r="AF98" s="3">
        <v>1.1</v>
      </c>
      <c r="AG98" s="3">
        <v>4.2</v>
      </c>
      <c r="AH98" s="3">
        <v>4.5</v>
      </c>
      <c r="AI98" s="3">
        <v>0</v>
      </c>
      <c r="AJ98" s="3">
        <v>6</v>
      </c>
      <c r="AK98" s="3">
        <v>0</v>
      </c>
      <c r="AL98" s="2" t="s">
        <v>1694</v>
      </c>
      <c r="AM98" s="3">
        <v>0</v>
      </c>
      <c r="AN98" s="3">
        <v>10</v>
      </c>
      <c r="AO98" s="4">
        <v>45368</v>
      </c>
      <c r="AP98" s="4">
        <v>45351</v>
      </c>
      <c r="AQ98" s="2" t="s">
        <v>1879</v>
      </c>
      <c r="AR98" s="2" t="s">
        <v>1454</v>
      </c>
    </row>
    <row r="99" customHeight="1" spans="1:44">
      <c r="A99" s="2" t="s">
        <v>322</v>
      </c>
      <c r="B99" s="2" t="s">
        <v>1692</v>
      </c>
      <c r="C99" s="2" t="s">
        <v>1454</v>
      </c>
      <c r="D99" s="2"/>
      <c r="E99" s="2"/>
      <c r="F99" s="2" t="s">
        <v>1880</v>
      </c>
      <c r="G99" s="2" t="s">
        <v>1696</v>
      </c>
      <c r="H99" s="3">
        <v>9</v>
      </c>
      <c r="I99" s="3">
        <v>1</v>
      </c>
      <c r="J99" s="3">
        <v>22</v>
      </c>
      <c r="K99" s="3">
        <v>3</v>
      </c>
      <c r="L99" s="3">
        <v>17</v>
      </c>
      <c r="M99" s="3">
        <v>52</v>
      </c>
      <c r="N99" s="3">
        <v>0</v>
      </c>
      <c r="O99" s="46" t="s">
        <v>808</v>
      </c>
      <c r="P99" s="3">
        <v>2487.975464</v>
      </c>
      <c r="Q99" s="3">
        <v>2487.975464</v>
      </c>
      <c r="R99" s="3">
        <v>6</v>
      </c>
      <c r="S99" s="3">
        <v>8</v>
      </c>
      <c r="T99" s="3">
        <v>10</v>
      </c>
      <c r="U99" s="3">
        <v>6</v>
      </c>
      <c r="V99" s="3">
        <v>6</v>
      </c>
      <c r="W99" s="3">
        <v>0</v>
      </c>
      <c r="X99" s="3">
        <v>0</v>
      </c>
      <c r="Y99" s="3">
        <v>20</v>
      </c>
      <c r="Z99" s="3">
        <v>47.845682</v>
      </c>
      <c r="AA99" s="3">
        <v>478.45682</v>
      </c>
      <c r="AB99" s="3">
        <v>5.2</v>
      </c>
      <c r="AC99" s="3">
        <v>5.2</v>
      </c>
      <c r="AD99" s="3">
        <v>3.5</v>
      </c>
      <c r="AE99" s="3">
        <v>0.9</v>
      </c>
      <c r="AF99" s="3">
        <v>2.2</v>
      </c>
      <c r="AG99" s="3">
        <v>0.3</v>
      </c>
      <c r="AH99" s="3">
        <v>4.5</v>
      </c>
      <c r="AI99" s="3">
        <v>0</v>
      </c>
      <c r="AJ99" s="3">
        <v>6</v>
      </c>
      <c r="AK99" s="3">
        <v>0</v>
      </c>
      <c r="AL99" s="2" t="s">
        <v>1694</v>
      </c>
      <c r="AM99" s="3">
        <v>5</v>
      </c>
      <c r="AN99" s="3">
        <v>5</v>
      </c>
      <c r="AO99" s="4">
        <v>45368</v>
      </c>
      <c r="AP99" s="4">
        <v>45351</v>
      </c>
      <c r="AQ99" s="2" t="s">
        <v>1879</v>
      </c>
      <c r="AR99" s="2" t="s">
        <v>1454</v>
      </c>
    </row>
    <row r="100" customHeight="1" spans="1:44">
      <c r="A100" s="2" t="s">
        <v>73</v>
      </c>
      <c r="B100" s="2" t="s">
        <v>1692</v>
      </c>
      <c r="C100" s="2" t="s">
        <v>1454</v>
      </c>
      <c r="D100" s="2"/>
      <c r="E100" s="2"/>
      <c r="F100" s="2" t="s">
        <v>1880</v>
      </c>
      <c r="G100" s="2" t="s">
        <v>1696</v>
      </c>
      <c r="H100" s="3">
        <v>19</v>
      </c>
      <c r="I100" s="3">
        <v>0</v>
      </c>
      <c r="J100" s="3">
        <v>8</v>
      </c>
      <c r="K100" s="3">
        <v>24</v>
      </c>
      <c r="L100" s="3">
        <v>0</v>
      </c>
      <c r="M100" s="3">
        <v>51</v>
      </c>
      <c r="N100" s="3">
        <v>114</v>
      </c>
      <c r="O100" s="46" t="s">
        <v>1928</v>
      </c>
      <c r="P100" s="3">
        <v>5236.011237</v>
      </c>
      <c r="Q100" s="3">
        <v>16940.03636</v>
      </c>
      <c r="R100" s="3">
        <v>3</v>
      </c>
      <c r="S100" s="3">
        <v>8</v>
      </c>
      <c r="T100" s="3">
        <v>13</v>
      </c>
      <c r="U100" s="3">
        <v>22</v>
      </c>
      <c r="V100" s="3">
        <v>12</v>
      </c>
      <c r="W100" s="3">
        <v>0</v>
      </c>
      <c r="X100" s="3">
        <v>0</v>
      </c>
      <c r="Y100" s="3">
        <v>0</v>
      </c>
      <c r="Z100" s="3">
        <v>102.666887</v>
      </c>
      <c r="AA100" s="3">
        <v>1334.669531</v>
      </c>
      <c r="AB100" s="3">
        <v>12.69230769</v>
      </c>
      <c r="AC100" s="3">
        <v>3.923076923</v>
      </c>
      <c r="AD100" s="3">
        <v>3.923076923</v>
      </c>
      <c r="AE100" s="3">
        <v>1.461538462</v>
      </c>
      <c r="AF100" s="3">
        <v>0.615384615</v>
      </c>
      <c r="AG100" s="3">
        <v>1.846153846</v>
      </c>
      <c r="AH100" s="3">
        <v>4.5</v>
      </c>
      <c r="AI100" s="3">
        <v>0</v>
      </c>
      <c r="AJ100" s="3">
        <v>6</v>
      </c>
      <c r="AK100" s="3">
        <v>0</v>
      </c>
      <c r="AL100" s="2" t="s">
        <v>1694</v>
      </c>
      <c r="AM100" s="3">
        <v>2</v>
      </c>
      <c r="AN100" s="3">
        <v>11</v>
      </c>
      <c r="AO100" s="4">
        <v>46165</v>
      </c>
      <c r="AP100" s="4">
        <v>45756</v>
      </c>
      <c r="AQ100" s="2" t="s">
        <v>1879</v>
      </c>
      <c r="AR100" s="2" t="s">
        <v>1454</v>
      </c>
    </row>
    <row r="101" customHeight="1" spans="1:44">
      <c r="A101" s="2" t="s">
        <v>665</v>
      </c>
      <c r="B101" s="2" t="s">
        <v>1692</v>
      </c>
      <c r="C101" s="2" t="s">
        <v>1454</v>
      </c>
      <c r="D101" s="2"/>
      <c r="E101" s="2"/>
      <c r="F101" s="2" t="s">
        <v>343</v>
      </c>
      <c r="G101" s="2" t="s">
        <v>1696</v>
      </c>
      <c r="H101" s="3">
        <v>0</v>
      </c>
      <c r="I101" s="3">
        <v>0</v>
      </c>
      <c r="J101" s="3">
        <v>30</v>
      </c>
      <c r="K101" s="3">
        <v>0</v>
      </c>
      <c r="L101" s="3">
        <v>21</v>
      </c>
      <c r="M101" s="3">
        <v>51</v>
      </c>
      <c r="N101" s="3">
        <v>0</v>
      </c>
      <c r="O101" s="46" t="s">
        <v>919</v>
      </c>
      <c r="P101" s="3">
        <v>2888.495568</v>
      </c>
      <c r="Q101" s="3">
        <v>2888.495568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20</v>
      </c>
      <c r="Y101" s="3">
        <v>20</v>
      </c>
      <c r="Z101" s="3">
        <v>56.637168</v>
      </c>
      <c r="AA101" s="3">
        <v>0</v>
      </c>
      <c r="AB101" s="3"/>
      <c r="AC101" s="3"/>
      <c r="AD101" s="3"/>
      <c r="AE101" s="3"/>
      <c r="AF101" s="3"/>
      <c r="AG101" s="3"/>
      <c r="AH101" s="3">
        <v>4.5</v>
      </c>
      <c r="AI101" s="3">
        <v>51</v>
      </c>
      <c r="AJ101" s="3">
        <v>6</v>
      </c>
      <c r="AK101" s="3">
        <v>2888.495568</v>
      </c>
      <c r="AL101" s="2" t="s">
        <v>1710</v>
      </c>
      <c r="AM101" s="3">
        <v>0</v>
      </c>
      <c r="AN101" s="3">
        <v>0</v>
      </c>
      <c r="AO101" s="2"/>
      <c r="AP101" s="4">
        <v>46270</v>
      </c>
      <c r="AQ101" s="2" t="s">
        <v>1879</v>
      </c>
      <c r="AR101" s="2" t="s">
        <v>1454</v>
      </c>
    </row>
    <row r="102" customHeight="1" spans="1:44">
      <c r="A102" s="2" t="s">
        <v>151</v>
      </c>
      <c r="B102" s="2" t="s">
        <v>1692</v>
      </c>
      <c r="C102" s="2" t="s">
        <v>1454</v>
      </c>
      <c r="D102" s="2"/>
      <c r="E102" s="2"/>
      <c r="F102" s="2" t="s">
        <v>1880</v>
      </c>
      <c r="G102" s="2" t="s">
        <v>1696</v>
      </c>
      <c r="H102" s="3">
        <v>6</v>
      </c>
      <c r="I102" s="3">
        <v>0</v>
      </c>
      <c r="J102" s="3">
        <v>1</v>
      </c>
      <c r="K102" s="3">
        <v>23</v>
      </c>
      <c r="L102" s="3">
        <v>21</v>
      </c>
      <c r="M102" s="3">
        <v>51</v>
      </c>
      <c r="N102" s="3">
        <v>18</v>
      </c>
      <c r="O102" s="46" t="s">
        <v>1186</v>
      </c>
      <c r="P102" s="3">
        <v>9136.442787</v>
      </c>
      <c r="Q102" s="3">
        <v>12361.06965</v>
      </c>
      <c r="R102" s="3">
        <v>2</v>
      </c>
      <c r="S102" s="3">
        <v>6</v>
      </c>
      <c r="T102" s="3">
        <v>13</v>
      </c>
      <c r="U102" s="3">
        <v>8</v>
      </c>
      <c r="V102" s="3">
        <v>11</v>
      </c>
      <c r="W102" s="3">
        <v>0</v>
      </c>
      <c r="X102" s="3">
        <v>30</v>
      </c>
      <c r="Y102" s="3">
        <v>30</v>
      </c>
      <c r="Z102" s="3">
        <v>179.145937</v>
      </c>
      <c r="AA102" s="3">
        <v>2328.897181</v>
      </c>
      <c r="AB102" s="3">
        <v>5.307692308</v>
      </c>
      <c r="AC102" s="3">
        <v>3.923076923</v>
      </c>
      <c r="AD102" s="3">
        <v>2.307692308</v>
      </c>
      <c r="AE102" s="3">
        <v>0.461538462</v>
      </c>
      <c r="AF102" s="3">
        <v>0.076923077</v>
      </c>
      <c r="AG102" s="3">
        <v>1.769230769</v>
      </c>
      <c r="AH102" s="3">
        <v>4.5</v>
      </c>
      <c r="AI102" s="3">
        <v>0</v>
      </c>
      <c r="AJ102" s="3">
        <v>6</v>
      </c>
      <c r="AK102" s="3">
        <v>0</v>
      </c>
      <c r="AL102" s="2" t="s">
        <v>1694</v>
      </c>
      <c r="AM102" s="3">
        <v>8</v>
      </c>
      <c r="AN102" s="3">
        <v>4</v>
      </c>
      <c r="AO102" s="4">
        <v>46188</v>
      </c>
      <c r="AP102" s="4">
        <v>45717</v>
      </c>
      <c r="AQ102" s="2" t="s">
        <v>1879</v>
      </c>
      <c r="AR102" s="2" t="s">
        <v>1454</v>
      </c>
    </row>
    <row r="103" customHeight="1" spans="1:44">
      <c r="A103" s="2" t="s">
        <v>88</v>
      </c>
      <c r="B103" s="2" t="s">
        <v>1692</v>
      </c>
      <c r="C103" s="2" t="s">
        <v>1454</v>
      </c>
      <c r="D103" s="2"/>
      <c r="E103" s="2"/>
      <c r="F103" s="2" t="s">
        <v>1885</v>
      </c>
      <c r="G103" s="2" t="s">
        <v>1696</v>
      </c>
      <c r="H103" s="3">
        <v>10</v>
      </c>
      <c r="I103" s="3">
        <v>3</v>
      </c>
      <c r="J103" s="3">
        <v>15</v>
      </c>
      <c r="K103" s="3">
        <v>0</v>
      </c>
      <c r="L103" s="3">
        <v>22</v>
      </c>
      <c r="M103" s="3">
        <v>50</v>
      </c>
      <c r="N103" s="3">
        <v>0</v>
      </c>
      <c r="O103" s="46" t="s">
        <v>1929</v>
      </c>
      <c r="P103" s="3">
        <v>2348.2895</v>
      </c>
      <c r="Q103" s="3">
        <v>2348.2895</v>
      </c>
      <c r="R103" s="3">
        <v>0</v>
      </c>
      <c r="S103" s="3">
        <v>0</v>
      </c>
      <c r="T103" s="3">
        <v>2</v>
      </c>
      <c r="U103" s="3">
        <v>1</v>
      </c>
      <c r="V103" s="3">
        <v>0</v>
      </c>
      <c r="W103" s="3">
        <v>0</v>
      </c>
      <c r="X103" s="3">
        <v>0</v>
      </c>
      <c r="Y103" s="3">
        <v>0</v>
      </c>
      <c r="Z103" s="3">
        <v>46.96579</v>
      </c>
      <c r="AA103" s="3">
        <v>93.93158</v>
      </c>
      <c r="AB103" s="3">
        <v>25</v>
      </c>
      <c r="AC103" s="3">
        <v>25</v>
      </c>
      <c r="AD103" s="3">
        <v>14</v>
      </c>
      <c r="AE103" s="3">
        <v>5</v>
      </c>
      <c r="AF103" s="3">
        <v>7.5</v>
      </c>
      <c r="AG103" s="3">
        <v>0</v>
      </c>
      <c r="AH103" s="3">
        <v>4.5</v>
      </c>
      <c r="AI103" s="3">
        <v>38</v>
      </c>
      <c r="AJ103" s="3">
        <v>6</v>
      </c>
      <c r="AK103" s="3">
        <v>1784.70002</v>
      </c>
      <c r="AL103" s="2" t="s">
        <v>1694</v>
      </c>
      <c r="AM103" s="3">
        <v>1</v>
      </c>
      <c r="AN103" s="3">
        <v>1</v>
      </c>
      <c r="AO103" s="4">
        <v>46206</v>
      </c>
      <c r="AP103" s="4">
        <v>45765</v>
      </c>
      <c r="AQ103" s="2" t="s">
        <v>1879</v>
      </c>
      <c r="AR103" s="2" t="s">
        <v>1454</v>
      </c>
    </row>
    <row r="104" customHeight="1" spans="1:44">
      <c r="A104" s="2" t="s">
        <v>349</v>
      </c>
      <c r="B104" s="2" t="s">
        <v>1692</v>
      </c>
      <c r="C104" s="2" t="s">
        <v>1454</v>
      </c>
      <c r="D104" s="2"/>
      <c r="E104" s="2"/>
      <c r="F104" s="2" t="s">
        <v>1878</v>
      </c>
      <c r="G104" s="2" t="s">
        <v>1696</v>
      </c>
      <c r="H104" s="3">
        <v>11</v>
      </c>
      <c r="I104" s="3">
        <v>21</v>
      </c>
      <c r="J104" s="3">
        <v>11</v>
      </c>
      <c r="K104" s="3">
        <v>6</v>
      </c>
      <c r="L104" s="3">
        <v>0</v>
      </c>
      <c r="M104" s="3">
        <v>49</v>
      </c>
      <c r="N104" s="3">
        <v>21</v>
      </c>
      <c r="O104" s="46" t="s">
        <v>1919</v>
      </c>
      <c r="P104" s="3">
        <v>5470.717847</v>
      </c>
      <c r="Q104" s="3">
        <v>7815.31121</v>
      </c>
      <c r="R104" s="3">
        <v>0</v>
      </c>
      <c r="S104" s="3">
        <v>3</v>
      </c>
      <c r="T104" s="3">
        <v>5</v>
      </c>
      <c r="U104" s="3">
        <v>7</v>
      </c>
      <c r="V104" s="3">
        <v>4</v>
      </c>
      <c r="W104" s="3">
        <v>0</v>
      </c>
      <c r="X104" s="3">
        <v>0</v>
      </c>
      <c r="Y104" s="3">
        <v>0</v>
      </c>
      <c r="Z104" s="3">
        <v>111.647303</v>
      </c>
      <c r="AA104" s="3">
        <v>558.236515</v>
      </c>
      <c r="AB104" s="3">
        <v>14</v>
      </c>
      <c r="AC104" s="3">
        <v>9.8</v>
      </c>
      <c r="AD104" s="3">
        <v>9.8</v>
      </c>
      <c r="AE104" s="3">
        <v>2.2</v>
      </c>
      <c r="AF104" s="3">
        <v>2.2</v>
      </c>
      <c r="AG104" s="3">
        <v>1.2</v>
      </c>
      <c r="AH104" s="3">
        <v>4.5</v>
      </c>
      <c r="AI104" s="3">
        <v>19</v>
      </c>
      <c r="AJ104" s="3">
        <v>6</v>
      </c>
      <c r="AK104" s="3">
        <v>2121.298757</v>
      </c>
      <c r="AL104" s="2" t="s">
        <v>1714</v>
      </c>
      <c r="AM104" s="3">
        <v>1</v>
      </c>
      <c r="AN104" s="3">
        <v>4</v>
      </c>
      <c r="AO104" s="4">
        <v>46293</v>
      </c>
      <c r="AP104" s="4">
        <v>44672</v>
      </c>
      <c r="AQ104" s="2" t="s">
        <v>1879</v>
      </c>
      <c r="AR104" s="2" t="s">
        <v>1454</v>
      </c>
    </row>
    <row r="105" customHeight="1" spans="1:44">
      <c r="A105" s="2" t="s">
        <v>352</v>
      </c>
      <c r="B105" s="2" t="s">
        <v>1692</v>
      </c>
      <c r="C105" s="2" t="s">
        <v>1454</v>
      </c>
      <c r="D105" s="2"/>
      <c r="E105" s="2"/>
      <c r="F105" s="2" t="s">
        <v>343</v>
      </c>
      <c r="G105" s="2" t="s">
        <v>1696</v>
      </c>
      <c r="H105" s="3">
        <v>16</v>
      </c>
      <c r="I105" s="3">
        <v>16</v>
      </c>
      <c r="J105" s="3">
        <v>8</v>
      </c>
      <c r="K105" s="3">
        <v>7</v>
      </c>
      <c r="L105" s="3">
        <v>2</v>
      </c>
      <c r="M105" s="3">
        <v>49</v>
      </c>
      <c r="N105" s="3">
        <v>20</v>
      </c>
      <c r="O105" s="46" t="s">
        <v>1186</v>
      </c>
      <c r="P105" s="3">
        <v>2590.495593</v>
      </c>
      <c r="Q105" s="3">
        <v>3647.840733</v>
      </c>
      <c r="R105" s="3">
        <v>1</v>
      </c>
      <c r="S105" s="3">
        <v>4</v>
      </c>
      <c r="T105" s="3">
        <v>6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52.867257</v>
      </c>
      <c r="AA105" s="3">
        <v>317.203542</v>
      </c>
      <c r="AB105" s="3">
        <v>11.5</v>
      </c>
      <c r="AC105" s="3">
        <v>8.166666667</v>
      </c>
      <c r="AD105" s="3">
        <v>7.833333333</v>
      </c>
      <c r="AE105" s="3">
        <v>2.666666667</v>
      </c>
      <c r="AF105" s="3">
        <v>1.333333333</v>
      </c>
      <c r="AG105" s="3">
        <v>1.166666667</v>
      </c>
      <c r="AH105" s="3">
        <v>4.5</v>
      </c>
      <c r="AI105" s="3">
        <v>13</v>
      </c>
      <c r="AJ105" s="3">
        <v>6</v>
      </c>
      <c r="AK105" s="3">
        <v>687.274341</v>
      </c>
      <c r="AL105" s="2" t="s">
        <v>1710</v>
      </c>
      <c r="AM105" s="3">
        <v>0</v>
      </c>
      <c r="AN105" s="3">
        <v>6</v>
      </c>
      <c r="AO105" s="4">
        <v>46274</v>
      </c>
      <c r="AP105" s="4">
        <v>46277</v>
      </c>
      <c r="AQ105" s="2" t="s">
        <v>1879</v>
      </c>
      <c r="AR105" s="2" t="s">
        <v>1454</v>
      </c>
    </row>
    <row r="106" customHeight="1" spans="1:44">
      <c r="A106" s="2" t="s">
        <v>404</v>
      </c>
      <c r="B106" s="2" t="s">
        <v>1692</v>
      </c>
      <c r="C106" s="2" t="s">
        <v>1454</v>
      </c>
      <c r="D106" s="2"/>
      <c r="E106" s="2"/>
      <c r="F106" s="2" t="s">
        <v>343</v>
      </c>
      <c r="G106" s="2" t="s">
        <v>1696</v>
      </c>
      <c r="H106" s="3">
        <v>0</v>
      </c>
      <c r="I106" s="3">
        <v>0</v>
      </c>
      <c r="J106" s="3">
        <v>21</v>
      </c>
      <c r="K106" s="3">
        <v>0</v>
      </c>
      <c r="L106" s="3">
        <v>25</v>
      </c>
      <c r="M106" s="3">
        <v>46</v>
      </c>
      <c r="N106" s="3">
        <v>0</v>
      </c>
      <c r="O106" s="46" t="s">
        <v>865</v>
      </c>
      <c r="P106" s="3">
        <v>2605.309728</v>
      </c>
      <c r="Q106" s="3">
        <v>2605.309728</v>
      </c>
      <c r="R106" s="3">
        <v>1</v>
      </c>
      <c r="S106" s="3">
        <v>2</v>
      </c>
      <c r="T106" s="3">
        <v>3</v>
      </c>
      <c r="U106" s="3">
        <v>0</v>
      </c>
      <c r="V106" s="3">
        <v>0</v>
      </c>
      <c r="W106" s="3">
        <v>0</v>
      </c>
      <c r="X106" s="3">
        <v>24</v>
      </c>
      <c r="Y106" s="3">
        <v>24</v>
      </c>
      <c r="Z106" s="3">
        <v>56.637168</v>
      </c>
      <c r="AA106" s="3">
        <v>169.911504</v>
      </c>
      <c r="AB106" s="3">
        <v>15.33333333</v>
      </c>
      <c r="AC106" s="3">
        <v>15.33333333</v>
      </c>
      <c r="AD106" s="3">
        <v>7</v>
      </c>
      <c r="AE106" s="3">
        <v>0</v>
      </c>
      <c r="AF106" s="3">
        <v>7</v>
      </c>
      <c r="AG106" s="3">
        <v>0</v>
      </c>
      <c r="AH106" s="3">
        <v>4.5</v>
      </c>
      <c r="AI106" s="3">
        <v>28</v>
      </c>
      <c r="AJ106" s="3">
        <v>6</v>
      </c>
      <c r="AK106" s="3">
        <v>1585.840704</v>
      </c>
      <c r="AL106" s="2" t="s">
        <v>1710</v>
      </c>
      <c r="AM106" s="3">
        <v>0</v>
      </c>
      <c r="AN106" s="3">
        <v>3</v>
      </c>
      <c r="AO106" s="2"/>
      <c r="AP106" s="4">
        <v>46270</v>
      </c>
      <c r="AQ106" s="2" t="s">
        <v>1879</v>
      </c>
      <c r="AR106" s="2" t="s">
        <v>1454</v>
      </c>
    </row>
    <row r="107" customHeight="1" spans="1:44">
      <c r="A107" s="2" t="s">
        <v>359</v>
      </c>
      <c r="B107" s="2" t="s">
        <v>1692</v>
      </c>
      <c r="C107" s="2" t="s">
        <v>1454</v>
      </c>
      <c r="D107" s="2"/>
      <c r="E107" s="2"/>
      <c r="F107" s="2" t="s">
        <v>343</v>
      </c>
      <c r="G107" s="2" t="s">
        <v>1696</v>
      </c>
      <c r="H107" s="3">
        <v>5</v>
      </c>
      <c r="I107" s="3">
        <v>18</v>
      </c>
      <c r="J107" s="3">
        <v>15</v>
      </c>
      <c r="K107" s="3">
        <v>7</v>
      </c>
      <c r="L107" s="3">
        <v>1</v>
      </c>
      <c r="M107" s="3">
        <v>46</v>
      </c>
      <c r="N107" s="3">
        <v>40</v>
      </c>
      <c r="O107" s="46" t="s">
        <v>1930</v>
      </c>
      <c r="P107" s="3">
        <v>2641.539834</v>
      </c>
      <c r="Q107" s="3">
        <v>4938.530994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57.424779</v>
      </c>
      <c r="AA107" s="3">
        <v>0</v>
      </c>
      <c r="AB107" s="3"/>
      <c r="AC107" s="3"/>
      <c r="AD107" s="3"/>
      <c r="AE107" s="3"/>
      <c r="AF107" s="3"/>
      <c r="AG107" s="3"/>
      <c r="AH107" s="3">
        <v>4.5</v>
      </c>
      <c r="AI107" s="3">
        <v>46</v>
      </c>
      <c r="AJ107" s="3">
        <v>6</v>
      </c>
      <c r="AK107" s="3">
        <v>2641.539834</v>
      </c>
      <c r="AL107" s="2" t="s">
        <v>1710</v>
      </c>
      <c r="AM107" s="3">
        <v>0</v>
      </c>
      <c r="AN107" s="3">
        <v>0</v>
      </c>
      <c r="AO107" s="4">
        <v>46279</v>
      </c>
      <c r="AP107" s="4">
        <v>46257</v>
      </c>
      <c r="AQ107" s="2" t="s">
        <v>1879</v>
      </c>
      <c r="AR107" s="2" t="s">
        <v>1454</v>
      </c>
    </row>
    <row r="108" customHeight="1" spans="1:44">
      <c r="A108" s="2" t="s">
        <v>49</v>
      </c>
      <c r="B108" s="2" t="s">
        <v>1692</v>
      </c>
      <c r="C108" s="2" t="s">
        <v>1454</v>
      </c>
      <c r="D108" s="2"/>
      <c r="E108" s="2"/>
      <c r="F108" s="2" t="s">
        <v>1880</v>
      </c>
      <c r="G108" s="2" t="s">
        <v>1696</v>
      </c>
      <c r="H108" s="3">
        <v>4</v>
      </c>
      <c r="I108" s="3">
        <v>0</v>
      </c>
      <c r="J108" s="3">
        <v>12</v>
      </c>
      <c r="K108" s="3">
        <v>6</v>
      </c>
      <c r="L108" s="3">
        <v>24</v>
      </c>
      <c r="M108" s="3">
        <v>46</v>
      </c>
      <c r="N108" s="3">
        <v>36</v>
      </c>
      <c r="O108" s="46" t="s">
        <v>801</v>
      </c>
      <c r="P108" s="3">
        <v>5617.969558</v>
      </c>
      <c r="Q108" s="3">
        <v>10014.64139</v>
      </c>
      <c r="R108" s="3">
        <v>3</v>
      </c>
      <c r="S108" s="3">
        <v>4</v>
      </c>
      <c r="T108" s="3">
        <v>11</v>
      </c>
      <c r="U108" s="3">
        <v>6</v>
      </c>
      <c r="V108" s="3">
        <v>7</v>
      </c>
      <c r="W108" s="3">
        <v>12</v>
      </c>
      <c r="X108" s="3">
        <v>12</v>
      </c>
      <c r="Y108" s="3">
        <v>12</v>
      </c>
      <c r="Z108" s="3">
        <v>122.129773</v>
      </c>
      <c r="AA108" s="3">
        <v>1343.427503</v>
      </c>
      <c r="AB108" s="3">
        <v>7.454545455</v>
      </c>
      <c r="AC108" s="3">
        <v>4.181818182</v>
      </c>
      <c r="AD108" s="3">
        <v>2</v>
      </c>
      <c r="AE108" s="3">
        <v>0.363636364</v>
      </c>
      <c r="AF108" s="3">
        <v>1.090909091</v>
      </c>
      <c r="AG108" s="3">
        <v>0.545454545</v>
      </c>
      <c r="AH108" s="3">
        <v>4.5</v>
      </c>
      <c r="AI108" s="3">
        <v>0</v>
      </c>
      <c r="AJ108" s="3">
        <v>6</v>
      </c>
      <c r="AK108" s="3">
        <v>0</v>
      </c>
      <c r="AL108" s="2" t="s">
        <v>1694</v>
      </c>
      <c r="AM108" s="3">
        <v>3</v>
      </c>
      <c r="AN108" s="3">
        <v>7</v>
      </c>
      <c r="AO108" s="4">
        <v>46139</v>
      </c>
      <c r="AP108" s="4">
        <v>45765</v>
      </c>
      <c r="AQ108" s="2" t="s">
        <v>1879</v>
      </c>
      <c r="AR108" s="2" t="s">
        <v>1454</v>
      </c>
    </row>
    <row r="109" customHeight="1" spans="1:44">
      <c r="A109" s="2" t="s">
        <v>389</v>
      </c>
      <c r="B109" s="2" t="s">
        <v>1692</v>
      </c>
      <c r="C109" s="2" t="s">
        <v>1454</v>
      </c>
      <c r="D109" s="2"/>
      <c r="E109" s="2"/>
      <c r="F109" s="2" t="s">
        <v>343</v>
      </c>
      <c r="G109" s="2" t="s">
        <v>1696</v>
      </c>
      <c r="H109" s="3">
        <v>0</v>
      </c>
      <c r="I109" s="3">
        <v>0</v>
      </c>
      <c r="J109" s="3">
        <v>22</v>
      </c>
      <c r="K109" s="3">
        <v>3</v>
      </c>
      <c r="L109" s="3">
        <v>21</v>
      </c>
      <c r="M109" s="3">
        <v>46</v>
      </c>
      <c r="N109" s="3">
        <v>0</v>
      </c>
      <c r="O109" s="46" t="s">
        <v>865</v>
      </c>
      <c r="P109" s="3">
        <v>4612.212402</v>
      </c>
      <c r="Q109" s="3">
        <v>4612.212402</v>
      </c>
      <c r="R109" s="3">
        <v>1</v>
      </c>
      <c r="S109" s="3">
        <v>2</v>
      </c>
      <c r="T109" s="3">
        <v>5</v>
      </c>
      <c r="U109" s="3">
        <v>0</v>
      </c>
      <c r="V109" s="3">
        <v>0</v>
      </c>
      <c r="W109" s="3">
        <v>0</v>
      </c>
      <c r="X109" s="3">
        <v>20</v>
      </c>
      <c r="Y109" s="3">
        <v>20</v>
      </c>
      <c r="Z109" s="3">
        <v>100.265487</v>
      </c>
      <c r="AA109" s="3">
        <v>501.327435</v>
      </c>
      <c r="AB109" s="3">
        <v>9.2</v>
      </c>
      <c r="AC109" s="3">
        <v>9.2</v>
      </c>
      <c r="AD109" s="3">
        <v>5</v>
      </c>
      <c r="AE109" s="3">
        <v>0</v>
      </c>
      <c r="AF109" s="3">
        <v>4.4</v>
      </c>
      <c r="AG109" s="3">
        <v>0.6</v>
      </c>
      <c r="AH109" s="3">
        <v>4.5</v>
      </c>
      <c r="AI109" s="3">
        <v>16</v>
      </c>
      <c r="AJ109" s="3">
        <v>6</v>
      </c>
      <c r="AK109" s="3">
        <v>1604.247792</v>
      </c>
      <c r="AL109" s="2" t="s">
        <v>1710</v>
      </c>
      <c r="AM109" s="3">
        <v>0</v>
      </c>
      <c r="AN109" s="3">
        <v>5</v>
      </c>
      <c r="AO109" s="2"/>
      <c r="AP109" s="4">
        <v>46233</v>
      </c>
      <c r="AQ109" s="2" t="s">
        <v>1879</v>
      </c>
      <c r="AR109" s="2" t="s">
        <v>1454</v>
      </c>
    </row>
    <row r="110" customHeight="1" spans="1:44">
      <c r="A110" s="2" t="s">
        <v>70</v>
      </c>
      <c r="B110" s="2" t="s">
        <v>1692</v>
      </c>
      <c r="C110" s="2" t="s">
        <v>1454</v>
      </c>
      <c r="D110" s="2"/>
      <c r="E110" s="2"/>
      <c r="F110" s="2" t="s">
        <v>1924</v>
      </c>
      <c r="G110" s="2" t="s">
        <v>1696</v>
      </c>
      <c r="H110" s="3">
        <v>9</v>
      </c>
      <c r="I110" s="3">
        <v>2</v>
      </c>
      <c r="J110" s="3">
        <v>18</v>
      </c>
      <c r="K110" s="3">
        <v>3</v>
      </c>
      <c r="L110" s="3">
        <v>13</v>
      </c>
      <c r="M110" s="3">
        <v>45</v>
      </c>
      <c r="N110" s="3">
        <v>40</v>
      </c>
      <c r="O110" s="46" t="s">
        <v>1931</v>
      </c>
      <c r="P110" s="3">
        <v>2429.2035</v>
      </c>
      <c r="Q110" s="3">
        <v>4588.4955</v>
      </c>
      <c r="R110" s="3">
        <v>1</v>
      </c>
      <c r="S110" s="3">
        <v>1</v>
      </c>
      <c r="T110" s="3">
        <v>2</v>
      </c>
      <c r="U110" s="3">
        <v>5</v>
      </c>
      <c r="V110" s="3">
        <v>0</v>
      </c>
      <c r="W110" s="3">
        <v>0</v>
      </c>
      <c r="X110" s="3">
        <v>0</v>
      </c>
      <c r="Y110" s="3">
        <v>0</v>
      </c>
      <c r="Z110" s="3">
        <v>53.9823</v>
      </c>
      <c r="AA110" s="3">
        <v>107.9646</v>
      </c>
      <c r="AB110" s="3">
        <v>42.5</v>
      </c>
      <c r="AC110" s="3">
        <v>22.5</v>
      </c>
      <c r="AD110" s="3">
        <v>16</v>
      </c>
      <c r="AE110" s="3">
        <v>4.5</v>
      </c>
      <c r="AF110" s="3">
        <v>9</v>
      </c>
      <c r="AG110" s="3">
        <v>1.5</v>
      </c>
      <c r="AH110" s="3">
        <v>4.5</v>
      </c>
      <c r="AI110" s="3">
        <v>33</v>
      </c>
      <c r="AJ110" s="3">
        <v>6</v>
      </c>
      <c r="AK110" s="3">
        <v>1781.4159</v>
      </c>
      <c r="AL110" s="2" t="s">
        <v>1694</v>
      </c>
      <c r="AM110" s="3">
        <v>1</v>
      </c>
      <c r="AN110" s="3">
        <v>1</v>
      </c>
      <c r="AO110" s="4">
        <v>46000</v>
      </c>
      <c r="AP110" s="4">
        <v>45717</v>
      </c>
      <c r="AQ110" s="2" t="s">
        <v>1879</v>
      </c>
      <c r="AR110" s="2" t="s">
        <v>1454</v>
      </c>
    </row>
    <row r="111" customHeight="1" spans="1:44">
      <c r="A111" s="2" t="s">
        <v>307</v>
      </c>
      <c r="B111" s="2" t="s">
        <v>1692</v>
      </c>
      <c r="C111" s="2" t="s">
        <v>1454</v>
      </c>
      <c r="D111" s="2"/>
      <c r="E111" s="2"/>
      <c r="F111" s="2" t="s">
        <v>1880</v>
      </c>
      <c r="G111" s="2" t="s">
        <v>1696</v>
      </c>
      <c r="H111" s="3">
        <v>5</v>
      </c>
      <c r="I111" s="3">
        <v>0</v>
      </c>
      <c r="J111" s="3">
        <v>12</v>
      </c>
      <c r="K111" s="3">
        <v>2</v>
      </c>
      <c r="L111" s="3">
        <v>26</v>
      </c>
      <c r="M111" s="3">
        <v>45</v>
      </c>
      <c r="N111" s="3">
        <v>24</v>
      </c>
      <c r="O111" s="46" t="s">
        <v>1186</v>
      </c>
      <c r="P111" s="3">
        <v>3113.09451</v>
      </c>
      <c r="Q111" s="3">
        <v>4773.411582</v>
      </c>
      <c r="R111" s="3">
        <v>2</v>
      </c>
      <c r="S111" s="3">
        <v>2</v>
      </c>
      <c r="T111" s="3">
        <v>4</v>
      </c>
      <c r="U111" s="3">
        <v>4</v>
      </c>
      <c r="V111" s="3">
        <v>11</v>
      </c>
      <c r="W111" s="3">
        <v>0</v>
      </c>
      <c r="X111" s="3">
        <v>0</v>
      </c>
      <c r="Y111" s="3">
        <v>0</v>
      </c>
      <c r="Z111" s="3">
        <v>69.179878</v>
      </c>
      <c r="AA111" s="3">
        <v>276.719512</v>
      </c>
      <c r="AB111" s="3">
        <v>17.25</v>
      </c>
      <c r="AC111" s="3">
        <v>11.25</v>
      </c>
      <c r="AD111" s="3">
        <v>4.75</v>
      </c>
      <c r="AE111" s="3">
        <v>1.25</v>
      </c>
      <c r="AF111" s="3">
        <v>3</v>
      </c>
      <c r="AG111" s="3">
        <v>0.5</v>
      </c>
      <c r="AH111" s="3">
        <v>4.5</v>
      </c>
      <c r="AI111" s="3">
        <v>21</v>
      </c>
      <c r="AJ111" s="3">
        <v>6</v>
      </c>
      <c r="AK111" s="3">
        <v>1452.777438</v>
      </c>
      <c r="AL111" s="2" t="s">
        <v>1694</v>
      </c>
      <c r="AM111" s="3">
        <v>2</v>
      </c>
      <c r="AN111" s="3">
        <v>2</v>
      </c>
      <c r="AO111" s="4">
        <v>46200</v>
      </c>
      <c r="AP111" s="4">
        <v>45760</v>
      </c>
      <c r="AQ111" s="2" t="s">
        <v>1879</v>
      </c>
      <c r="AR111" s="2" t="s">
        <v>1454</v>
      </c>
    </row>
    <row r="112" customHeight="1" spans="1:44">
      <c r="A112" s="2" t="s">
        <v>1932</v>
      </c>
      <c r="B112" s="2" t="s">
        <v>1692</v>
      </c>
      <c r="C112" s="2" t="s">
        <v>1454</v>
      </c>
      <c r="D112" s="2"/>
      <c r="E112" s="2"/>
      <c r="F112" s="2" t="s">
        <v>1885</v>
      </c>
      <c r="G112" s="2" t="s">
        <v>1696</v>
      </c>
      <c r="H112" s="3">
        <v>0</v>
      </c>
      <c r="I112" s="3">
        <v>0</v>
      </c>
      <c r="J112" s="3">
        <v>31</v>
      </c>
      <c r="K112" s="3">
        <v>6</v>
      </c>
      <c r="L112" s="3">
        <v>7</v>
      </c>
      <c r="M112" s="3">
        <v>44</v>
      </c>
      <c r="N112" s="3">
        <v>0</v>
      </c>
      <c r="O112" s="46" t="s">
        <v>807</v>
      </c>
      <c r="P112" s="3">
        <v>11007.46614</v>
      </c>
      <c r="Q112" s="3">
        <v>11007.46614</v>
      </c>
      <c r="R112" s="3">
        <v>1</v>
      </c>
      <c r="S112" s="3">
        <v>4</v>
      </c>
      <c r="T112" s="3">
        <v>4</v>
      </c>
      <c r="U112" s="3">
        <v>1</v>
      </c>
      <c r="V112" s="3">
        <v>7</v>
      </c>
      <c r="W112" s="3">
        <v>0</v>
      </c>
      <c r="X112" s="3">
        <v>0</v>
      </c>
      <c r="Y112" s="3">
        <v>0</v>
      </c>
      <c r="Z112" s="3">
        <v>250.169685</v>
      </c>
      <c r="AA112" s="3">
        <v>1000.67874</v>
      </c>
      <c r="AB112" s="3">
        <v>11</v>
      </c>
      <c r="AC112" s="3">
        <v>11</v>
      </c>
      <c r="AD112" s="3">
        <v>9.25</v>
      </c>
      <c r="AE112" s="3">
        <v>0</v>
      </c>
      <c r="AF112" s="3">
        <v>7.75</v>
      </c>
      <c r="AG112" s="3">
        <v>1.5</v>
      </c>
      <c r="AH112" s="3">
        <v>4.5</v>
      </c>
      <c r="AI112" s="3">
        <v>20</v>
      </c>
      <c r="AJ112" s="3">
        <v>6</v>
      </c>
      <c r="AK112" s="3">
        <v>5003.3937</v>
      </c>
      <c r="AL112" s="2" t="s">
        <v>1694</v>
      </c>
      <c r="AM112" s="3">
        <v>0</v>
      </c>
      <c r="AN112" s="3">
        <v>3</v>
      </c>
      <c r="AO112" s="4">
        <v>45368</v>
      </c>
      <c r="AP112" s="4">
        <v>45382</v>
      </c>
      <c r="AQ112" s="2" t="s">
        <v>1879</v>
      </c>
      <c r="AR112" s="2" t="s">
        <v>1454</v>
      </c>
    </row>
    <row r="113" customHeight="1" spans="1:44">
      <c r="A113" s="2" t="s">
        <v>515</v>
      </c>
      <c r="B113" s="2" t="s">
        <v>1692</v>
      </c>
      <c r="C113" s="2" t="s">
        <v>1454</v>
      </c>
      <c r="D113" s="2"/>
      <c r="E113" s="2"/>
      <c r="F113" s="2" t="s">
        <v>1880</v>
      </c>
      <c r="G113" s="2" t="s">
        <v>1696</v>
      </c>
      <c r="H113" s="3">
        <v>1</v>
      </c>
      <c r="I113" s="3">
        <v>0</v>
      </c>
      <c r="J113" s="3">
        <v>12</v>
      </c>
      <c r="K113" s="3">
        <v>4</v>
      </c>
      <c r="L113" s="3">
        <v>25</v>
      </c>
      <c r="M113" s="3">
        <v>42</v>
      </c>
      <c r="N113" s="3">
        <v>0</v>
      </c>
      <c r="O113" s="46" t="s">
        <v>1933</v>
      </c>
      <c r="P113" s="3">
        <v>8238.473082</v>
      </c>
      <c r="Q113" s="3">
        <v>8238.473082</v>
      </c>
      <c r="R113" s="3">
        <v>0</v>
      </c>
      <c r="S113" s="3">
        <v>1</v>
      </c>
      <c r="T113" s="3">
        <v>1</v>
      </c>
      <c r="U113" s="3">
        <v>5</v>
      </c>
      <c r="V113" s="3">
        <v>5</v>
      </c>
      <c r="W113" s="3">
        <v>0</v>
      </c>
      <c r="X113" s="3">
        <v>0</v>
      </c>
      <c r="Y113" s="3">
        <v>0</v>
      </c>
      <c r="Z113" s="3">
        <v>196.154121</v>
      </c>
      <c r="AA113" s="3">
        <v>196.154121</v>
      </c>
      <c r="AB113" s="3">
        <v>42</v>
      </c>
      <c r="AC113" s="3">
        <v>42</v>
      </c>
      <c r="AD113" s="3">
        <v>17</v>
      </c>
      <c r="AE113" s="3">
        <v>1</v>
      </c>
      <c r="AF113" s="3">
        <v>12</v>
      </c>
      <c r="AG113" s="3">
        <v>4</v>
      </c>
      <c r="AH113" s="3">
        <v>4.5</v>
      </c>
      <c r="AI113" s="3">
        <v>36</v>
      </c>
      <c r="AJ113" s="3">
        <v>6</v>
      </c>
      <c r="AK113" s="3">
        <v>7061.548356</v>
      </c>
      <c r="AL113" s="2" t="s">
        <v>1694</v>
      </c>
      <c r="AM113" s="3">
        <v>0</v>
      </c>
      <c r="AN113" s="3">
        <v>1</v>
      </c>
      <c r="AO113" s="4">
        <v>45368</v>
      </c>
      <c r="AP113" s="4">
        <v>45351</v>
      </c>
      <c r="AQ113" s="2" t="s">
        <v>1879</v>
      </c>
      <c r="AR113" s="2" t="s">
        <v>1454</v>
      </c>
    </row>
    <row r="114" customHeight="1" spans="1:44">
      <c r="A114" s="2" t="s">
        <v>319</v>
      </c>
      <c r="B114" s="2" t="s">
        <v>1692</v>
      </c>
      <c r="C114" s="2" t="s">
        <v>1454</v>
      </c>
      <c r="D114" s="2"/>
      <c r="E114" s="2"/>
      <c r="F114" s="2" t="s">
        <v>1880</v>
      </c>
      <c r="G114" s="2" t="s">
        <v>1696</v>
      </c>
      <c r="H114" s="3">
        <v>9</v>
      </c>
      <c r="I114" s="3">
        <v>0</v>
      </c>
      <c r="J114" s="3">
        <v>12</v>
      </c>
      <c r="K114" s="3">
        <v>7</v>
      </c>
      <c r="L114" s="3">
        <v>14</v>
      </c>
      <c r="M114" s="3">
        <v>42</v>
      </c>
      <c r="N114" s="3">
        <v>0</v>
      </c>
      <c r="O114" s="46" t="s">
        <v>1933</v>
      </c>
      <c r="P114" s="3">
        <v>1637.717424</v>
      </c>
      <c r="Q114" s="3">
        <v>1637.717424</v>
      </c>
      <c r="R114" s="3">
        <v>2</v>
      </c>
      <c r="S114" s="3">
        <v>3</v>
      </c>
      <c r="T114" s="3">
        <v>7</v>
      </c>
      <c r="U114" s="3">
        <v>3</v>
      </c>
      <c r="V114" s="3">
        <v>1</v>
      </c>
      <c r="W114" s="3">
        <v>0</v>
      </c>
      <c r="X114" s="3">
        <v>0</v>
      </c>
      <c r="Y114" s="3">
        <v>0</v>
      </c>
      <c r="Z114" s="3">
        <v>38.993272</v>
      </c>
      <c r="AA114" s="3">
        <v>272.952904</v>
      </c>
      <c r="AB114" s="3">
        <v>6</v>
      </c>
      <c r="AC114" s="3">
        <v>6</v>
      </c>
      <c r="AD114" s="3">
        <v>4</v>
      </c>
      <c r="AE114" s="3">
        <v>1.285714286</v>
      </c>
      <c r="AF114" s="3">
        <v>1.714285714</v>
      </c>
      <c r="AG114" s="3">
        <v>1</v>
      </c>
      <c r="AH114" s="3">
        <v>4.5</v>
      </c>
      <c r="AI114" s="3">
        <v>0</v>
      </c>
      <c r="AJ114" s="3">
        <v>6</v>
      </c>
      <c r="AK114" s="3">
        <v>0</v>
      </c>
      <c r="AL114" s="2" t="s">
        <v>1694</v>
      </c>
      <c r="AM114" s="3">
        <v>3</v>
      </c>
      <c r="AN114" s="3">
        <v>4</v>
      </c>
      <c r="AO114" s="4">
        <v>46208</v>
      </c>
      <c r="AP114" s="4">
        <v>45765</v>
      </c>
      <c r="AQ114" s="2" t="s">
        <v>1879</v>
      </c>
      <c r="AR114" s="2" t="s">
        <v>1454</v>
      </c>
    </row>
    <row r="115" customHeight="1" spans="1:44">
      <c r="A115" s="2" t="s">
        <v>362</v>
      </c>
      <c r="B115" s="2" t="s">
        <v>1692</v>
      </c>
      <c r="C115" s="2" t="s">
        <v>1454</v>
      </c>
      <c r="D115" s="2"/>
      <c r="E115" s="2"/>
      <c r="F115" s="2" t="s">
        <v>343</v>
      </c>
      <c r="G115" s="2" t="s">
        <v>1696</v>
      </c>
      <c r="H115" s="3">
        <v>0</v>
      </c>
      <c r="I115" s="3">
        <v>24</v>
      </c>
      <c r="J115" s="3">
        <v>12</v>
      </c>
      <c r="K115" s="3">
        <v>4</v>
      </c>
      <c r="L115" s="3">
        <v>1</v>
      </c>
      <c r="M115" s="3">
        <v>41</v>
      </c>
      <c r="N115" s="3">
        <v>40</v>
      </c>
      <c r="O115" s="46" t="s">
        <v>1934</v>
      </c>
      <c r="P115" s="3">
        <v>2055.442463</v>
      </c>
      <c r="Q115" s="3">
        <v>4060.752183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50.132743</v>
      </c>
      <c r="AA115" s="3">
        <v>0</v>
      </c>
      <c r="AB115" s="3"/>
      <c r="AC115" s="3"/>
      <c r="AD115" s="3"/>
      <c r="AE115" s="3"/>
      <c r="AF115" s="3"/>
      <c r="AG115" s="3"/>
      <c r="AH115" s="3">
        <v>4.5</v>
      </c>
      <c r="AI115" s="3">
        <v>41</v>
      </c>
      <c r="AJ115" s="3">
        <v>6</v>
      </c>
      <c r="AK115" s="3">
        <v>2055.442463</v>
      </c>
      <c r="AL115" s="2" t="s">
        <v>1710</v>
      </c>
      <c r="AM115" s="3">
        <v>0</v>
      </c>
      <c r="AN115" s="3">
        <v>0</v>
      </c>
      <c r="AO115" s="2"/>
      <c r="AP115" s="4">
        <v>46296</v>
      </c>
      <c r="AQ115" s="2" t="s">
        <v>1879</v>
      </c>
      <c r="AR115" s="2" t="s">
        <v>1454</v>
      </c>
    </row>
    <row r="116" customHeight="1" spans="1:44">
      <c r="A116" s="2" t="s">
        <v>346</v>
      </c>
      <c r="B116" s="2" t="s">
        <v>1692</v>
      </c>
      <c r="C116" s="2" t="s">
        <v>1454</v>
      </c>
      <c r="D116" s="2"/>
      <c r="E116" s="2"/>
      <c r="F116" s="2" t="s">
        <v>1924</v>
      </c>
      <c r="G116" s="2" t="s">
        <v>1696</v>
      </c>
      <c r="H116" s="3">
        <v>6</v>
      </c>
      <c r="I116" s="3">
        <v>0</v>
      </c>
      <c r="J116" s="3">
        <v>10</v>
      </c>
      <c r="K116" s="3">
        <v>2</v>
      </c>
      <c r="L116" s="3">
        <v>23</v>
      </c>
      <c r="M116" s="3">
        <v>41</v>
      </c>
      <c r="N116" s="3">
        <v>24</v>
      </c>
      <c r="O116" s="46" t="s">
        <v>1935</v>
      </c>
      <c r="P116" s="3">
        <v>4047.983915</v>
      </c>
      <c r="Q116" s="3">
        <v>6417.535475</v>
      </c>
      <c r="R116" s="3">
        <v>2</v>
      </c>
      <c r="S116" s="3">
        <v>4</v>
      </c>
      <c r="T116" s="3">
        <v>5</v>
      </c>
      <c r="U116" s="3">
        <v>3</v>
      </c>
      <c r="V116" s="3">
        <v>9</v>
      </c>
      <c r="W116" s="3">
        <v>0</v>
      </c>
      <c r="X116" s="3">
        <v>0</v>
      </c>
      <c r="Y116" s="3">
        <v>19</v>
      </c>
      <c r="Z116" s="3">
        <v>98.731315</v>
      </c>
      <c r="AA116" s="3">
        <v>493.656575</v>
      </c>
      <c r="AB116" s="3">
        <v>13</v>
      </c>
      <c r="AC116" s="3">
        <v>8.2</v>
      </c>
      <c r="AD116" s="3">
        <v>3.6</v>
      </c>
      <c r="AE116" s="3">
        <v>1.2</v>
      </c>
      <c r="AF116" s="3">
        <v>2</v>
      </c>
      <c r="AG116" s="3">
        <v>0.4</v>
      </c>
      <c r="AH116" s="3">
        <v>4.5</v>
      </c>
      <c r="AI116" s="3">
        <v>11</v>
      </c>
      <c r="AJ116" s="3">
        <v>6</v>
      </c>
      <c r="AK116" s="3">
        <v>1086.044465</v>
      </c>
      <c r="AL116" s="2" t="s">
        <v>1694</v>
      </c>
      <c r="AM116" s="3">
        <v>0</v>
      </c>
      <c r="AN116" s="3">
        <v>5</v>
      </c>
      <c r="AO116" s="4">
        <v>45368</v>
      </c>
      <c r="AP116" s="4">
        <v>45351</v>
      </c>
      <c r="AQ116" s="2" t="s">
        <v>1879</v>
      </c>
      <c r="AR116" s="2" t="s">
        <v>1454</v>
      </c>
    </row>
    <row r="117" customHeight="1" spans="1:44">
      <c r="A117" s="2" t="s">
        <v>626</v>
      </c>
      <c r="B117" s="2" t="s">
        <v>1692</v>
      </c>
      <c r="C117" s="2" t="s">
        <v>1454</v>
      </c>
      <c r="D117" s="2"/>
      <c r="E117" s="2"/>
      <c r="F117" s="2" t="s">
        <v>343</v>
      </c>
      <c r="G117" s="2" t="s">
        <v>1696</v>
      </c>
      <c r="H117" s="3">
        <v>0</v>
      </c>
      <c r="I117" s="3">
        <v>0</v>
      </c>
      <c r="J117" s="3">
        <v>4</v>
      </c>
      <c r="K117" s="3">
        <v>17</v>
      </c>
      <c r="L117" s="3">
        <v>20</v>
      </c>
      <c r="M117" s="3">
        <v>41</v>
      </c>
      <c r="N117" s="3">
        <v>0</v>
      </c>
      <c r="O117" s="46" t="s">
        <v>1936</v>
      </c>
      <c r="P117" s="3">
        <v>3363.451318</v>
      </c>
      <c r="Q117" s="3">
        <v>3363.451318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82.035398</v>
      </c>
      <c r="AA117" s="3">
        <v>0</v>
      </c>
      <c r="AB117" s="3"/>
      <c r="AC117" s="3"/>
      <c r="AD117" s="3"/>
      <c r="AE117" s="3"/>
      <c r="AF117" s="3"/>
      <c r="AG117" s="3"/>
      <c r="AH117" s="3">
        <v>4.5</v>
      </c>
      <c r="AI117" s="3">
        <v>41</v>
      </c>
      <c r="AJ117" s="3">
        <v>6</v>
      </c>
      <c r="AK117" s="3">
        <v>3363.451318</v>
      </c>
      <c r="AL117" s="2" t="s">
        <v>1710</v>
      </c>
      <c r="AM117" s="3">
        <v>0</v>
      </c>
      <c r="AN117" s="3">
        <v>0</v>
      </c>
      <c r="AO117" s="2"/>
      <c r="AP117" s="4">
        <v>46271</v>
      </c>
      <c r="AQ117" s="2" t="s">
        <v>1879</v>
      </c>
      <c r="AR117" s="2" t="s">
        <v>1454</v>
      </c>
    </row>
    <row r="118" customHeight="1" spans="1:44">
      <c r="A118" s="2" t="s">
        <v>449</v>
      </c>
      <c r="B118" s="2" t="s">
        <v>1692</v>
      </c>
      <c r="C118" s="2" t="s">
        <v>1454</v>
      </c>
      <c r="D118" s="2"/>
      <c r="E118" s="2"/>
      <c r="F118" s="2" t="s">
        <v>1937</v>
      </c>
      <c r="G118" s="2" t="s">
        <v>1696</v>
      </c>
      <c r="H118" s="3">
        <v>0</v>
      </c>
      <c r="I118" s="3">
        <v>0</v>
      </c>
      <c r="J118" s="3">
        <v>0</v>
      </c>
      <c r="K118" s="3">
        <v>14</v>
      </c>
      <c r="L118" s="3">
        <v>27</v>
      </c>
      <c r="M118" s="3">
        <v>41</v>
      </c>
      <c r="N118" s="3">
        <v>0</v>
      </c>
      <c r="O118" s="46" t="s">
        <v>1936</v>
      </c>
      <c r="P118" s="3">
        <v>1681.725659</v>
      </c>
      <c r="Q118" s="3">
        <v>1681.725659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41.017699</v>
      </c>
      <c r="AA118" s="3">
        <v>0</v>
      </c>
      <c r="AB118" s="3"/>
      <c r="AC118" s="3"/>
      <c r="AD118" s="3"/>
      <c r="AE118" s="3"/>
      <c r="AF118" s="3"/>
      <c r="AG118" s="3"/>
      <c r="AH118" s="3">
        <v>4.5</v>
      </c>
      <c r="AI118" s="3">
        <v>41</v>
      </c>
      <c r="AJ118" s="3">
        <v>6</v>
      </c>
      <c r="AK118" s="3">
        <v>1681.725659</v>
      </c>
      <c r="AL118" s="2" t="s">
        <v>1710</v>
      </c>
      <c r="AM118" s="3">
        <v>0</v>
      </c>
      <c r="AN118" s="3">
        <v>0</v>
      </c>
      <c r="AO118" s="2"/>
      <c r="AP118" s="2"/>
      <c r="AQ118" s="2" t="s">
        <v>1879</v>
      </c>
      <c r="AR118" s="2" t="s">
        <v>1454</v>
      </c>
    </row>
    <row r="119" customHeight="1" spans="1:44">
      <c r="A119" s="2" t="s">
        <v>446</v>
      </c>
      <c r="B119" s="2" t="s">
        <v>1692</v>
      </c>
      <c r="C119" s="2" t="s">
        <v>1454</v>
      </c>
      <c r="D119" s="2"/>
      <c r="E119" s="2"/>
      <c r="F119" s="2" t="s">
        <v>343</v>
      </c>
      <c r="G119" s="2" t="s">
        <v>1696</v>
      </c>
      <c r="H119" s="3">
        <v>0</v>
      </c>
      <c r="I119" s="3">
        <v>0</v>
      </c>
      <c r="J119" s="3">
        <v>2</v>
      </c>
      <c r="K119" s="3">
        <v>12</v>
      </c>
      <c r="L119" s="3">
        <v>27</v>
      </c>
      <c r="M119" s="3">
        <v>41</v>
      </c>
      <c r="N119" s="3">
        <v>0</v>
      </c>
      <c r="O119" s="46" t="s">
        <v>1936</v>
      </c>
      <c r="P119" s="3">
        <v>1719.097364</v>
      </c>
      <c r="Q119" s="3">
        <v>1719.097364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41.929204</v>
      </c>
      <c r="AA119" s="3">
        <v>0</v>
      </c>
      <c r="AB119" s="3"/>
      <c r="AC119" s="3"/>
      <c r="AD119" s="3"/>
      <c r="AE119" s="3"/>
      <c r="AF119" s="3"/>
      <c r="AG119" s="3"/>
      <c r="AH119" s="3">
        <v>4.5</v>
      </c>
      <c r="AI119" s="3">
        <v>41</v>
      </c>
      <c r="AJ119" s="3">
        <v>6</v>
      </c>
      <c r="AK119" s="3">
        <v>1719.097364</v>
      </c>
      <c r="AL119" s="2" t="s">
        <v>1710</v>
      </c>
      <c r="AM119" s="3">
        <v>0</v>
      </c>
      <c r="AN119" s="3">
        <v>0</v>
      </c>
      <c r="AO119" s="2"/>
      <c r="AP119" s="4">
        <v>46303</v>
      </c>
      <c r="AQ119" s="2" t="s">
        <v>1879</v>
      </c>
      <c r="AR119" s="2" t="s">
        <v>1454</v>
      </c>
    </row>
    <row r="120" customHeight="1" spans="1:44">
      <c r="A120" s="2" t="s">
        <v>464</v>
      </c>
      <c r="B120" s="2" t="s">
        <v>1692</v>
      </c>
      <c r="C120" s="2" t="s">
        <v>1454</v>
      </c>
      <c r="D120" s="2"/>
      <c r="E120" s="2"/>
      <c r="F120" s="2" t="s">
        <v>1937</v>
      </c>
      <c r="G120" s="2" t="s">
        <v>1696</v>
      </c>
      <c r="H120" s="3">
        <v>0</v>
      </c>
      <c r="I120" s="3">
        <v>0</v>
      </c>
      <c r="J120" s="3">
        <v>0</v>
      </c>
      <c r="K120" s="3">
        <v>30</v>
      </c>
      <c r="L120" s="3">
        <v>11</v>
      </c>
      <c r="M120" s="3">
        <v>41</v>
      </c>
      <c r="N120" s="3">
        <v>100</v>
      </c>
      <c r="O120" s="46" t="s">
        <v>1920</v>
      </c>
      <c r="P120" s="3">
        <v>2552.212403</v>
      </c>
      <c r="Q120" s="3">
        <v>8777.120703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62.249083</v>
      </c>
      <c r="AA120" s="3">
        <v>0</v>
      </c>
      <c r="AB120" s="3"/>
      <c r="AC120" s="3"/>
      <c r="AD120" s="3"/>
      <c r="AE120" s="3"/>
      <c r="AF120" s="3"/>
      <c r="AG120" s="3"/>
      <c r="AH120" s="3">
        <v>4.5</v>
      </c>
      <c r="AI120" s="3">
        <v>41</v>
      </c>
      <c r="AJ120" s="3">
        <v>6</v>
      </c>
      <c r="AK120" s="3">
        <v>2552.212403</v>
      </c>
      <c r="AL120" s="2" t="s">
        <v>1710</v>
      </c>
      <c r="AM120" s="3">
        <v>0</v>
      </c>
      <c r="AN120" s="3">
        <v>0</v>
      </c>
      <c r="AO120" s="2"/>
      <c r="AP120" s="2"/>
      <c r="AQ120" s="2" t="s">
        <v>1879</v>
      </c>
      <c r="AR120" s="2" t="s">
        <v>1454</v>
      </c>
    </row>
    <row r="121" customHeight="1" spans="1:44">
      <c r="A121" s="2" t="s">
        <v>82</v>
      </c>
      <c r="B121" s="2" t="s">
        <v>1692</v>
      </c>
      <c r="C121" s="2" t="s">
        <v>1454</v>
      </c>
      <c r="D121" s="2"/>
      <c r="E121" s="2"/>
      <c r="F121" s="2" t="s">
        <v>1880</v>
      </c>
      <c r="G121" s="2" t="s">
        <v>1696</v>
      </c>
      <c r="H121" s="3">
        <v>31</v>
      </c>
      <c r="I121" s="3">
        <v>0</v>
      </c>
      <c r="J121" s="3">
        <v>1</v>
      </c>
      <c r="K121" s="3">
        <v>7</v>
      </c>
      <c r="L121" s="3">
        <v>2</v>
      </c>
      <c r="M121" s="3">
        <v>41</v>
      </c>
      <c r="N121" s="3">
        <v>24</v>
      </c>
      <c r="O121" s="46" t="s">
        <v>1935</v>
      </c>
      <c r="P121" s="3">
        <v>3304.312262</v>
      </c>
      <c r="Q121" s="3">
        <v>5238.54383</v>
      </c>
      <c r="R121" s="3">
        <v>2</v>
      </c>
      <c r="S121" s="3">
        <v>4</v>
      </c>
      <c r="T121" s="3">
        <v>10</v>
      </c>
      <c r="U121" s="3">
        <v>5</v>
      </c>
      <c r="V121" s="3">
        <v>8</v>
      </c>
      <c r="W121" s="3">
        <v>0</v>
      </c>
      <c r="X121" s="3">
        <v>0</v>
      </c>
      <c r="Y121" s="3">
        <v>0</v>
      </c>
      <c r="Z121" s="3">
        <v>80.592982</v>
      </c>
      <c r="AA121" s="3">
        <v>805.92982</v>
      </c>
      <c r="AB121" s="3">
        <v>6.5</v>
      </c>
      <c r="AC121" s="3">
        <v>4.1</v>
      </c>
      <c r="AD121" s="3">
        <v>3.9</v>
      </c>
      <c r="AE121" s="3">
        <v>3.1</v>
      </c>
      <c r="AF121" s="3">
        <v>0.1</v>
      </c>
      <c r="AG121" s="3">
        <v>0.7</v>
      </c>
      <c r="AH121" s="3">
        <v>4.5</v>
      </c>
      <c r="AI121" s="3">
        <v>0</v>
      </c>
      <c r="AJ121" s="3">
        <v>6</v>
      </c>
      <c r="AK121" s="3">
        <v>0</v>
      </c>
      <c r="AL121" s="2" t="s">
        <v>1694</v>
      </c>
      <c r="AM121" s="3">
        <v>3</v>
      </c>
      <c r="AN121" s="3">
        <v>6</v>
      </c>
      <c r="AO121" s="4">
        <v>46035</v>
      </c>
      <c r="AP121" s="4">
        <v>45770</v>
      </c>
      <c r="AQ121" s="2" t="s">
        <v>1879</v>
      </c>
      <c r="AR121" s="2" t="s">
        <v>1454</v>
      </c>
    </row>
    <row r="122" customHeight="1" spans="1:44">
      <c r="A122" s="2" t="s">
        <v>539</v>
      </c>
      <c r="B122" s="2" t="s">
        <v>1692</v>
      </c>
      <c r="C122" s="2" t="s">
        <v>1454</v>
      </c>
      <c r="D122" s="2"/>
      <c r="E122" s="2"/>
      <c r="F122" s="2" t="s">
        <v>343</v>
      </c>
      <c r="G122" s="2" t="s">
        <v>1696</v>
      </c>
      <c r="H122" s="3">
        <v>0</v>
      </c>
      <c r="I122" s="3">
        <v>0</v>
      </c>
      <c r="J122" s="3">
        <v>18</v>
      </c>
      <c r="K122" s="3">
        <v>2</v>
      </c>
      <c r="L122" s="3">
        <v>20</v>
      </c>
      <c r="M122" s="3">
        <v>40</v>
      </c>
      <c r="N122" s="3">
        <v>0</v>
      </c>
      <c r="O122" s="46" t="s">
        <v>946</v>
      </c>
      <c r="P122" s="3">
        <v>1640.70796</v>
      </c>
      <c r="Q122" s="3">
        <v>1640.70796</v>
      </c>
      <c r="R122" s="3">
        <v>0</v>
      </c>
      <c r="S122" s="3">
        <v>0</v>
      </c>
      <c r="T122" s="3">
        <v>1</v>
      </c>
      <c r="U122" s="3">
        <v>0</v>
      </c>
      <c r="V122" s="3">
        <v>0</v>
      </c>
      <c r="W122" s="3">
        <v>0</v>
      </c>
      <c r="X122" s="3">
        <v>0</v>
      </c>
      <c r="Y122" s="3">
        <v>20</v>
      </c>
      <c r="Z122" s="3">
        <v>41.017699</v>
      </c>
      <c r="AA122" s="3">
        <v>41.017699</v>
      </c>
      <c r="AB122" s="3">
        <v>40</v>
      </c>
      <c r="AC122" s="3">
        <v>40</v>
      </c>
      <c r="AD122" s="3">
        <v>20</v>
      </c>
      <c r="AE122" s="3">
        <v>0</v>
      </c>
      <c r="AF122" s="3">
        <v>18</v>
      </c>
      <c r="AG122" s="3">
        <v>2</v>
      </c>
      <c r="AH122" s="3">
        <v>4.5</v>
      </c>
      <c r="AI122" s="3">
        <v>34</v>
      </c>
      <c r="AJ122" s="3">
        <v>6</v>
      </c>
      <c r="AK122" s="3">
        <v>1394.601766</v>
      </c>
      <c r="AL122" s="2" t="s">
        <v>1710</v>
      </c>
      <c r="AM122" s="3">
        <v>0</v>
      </c>
      <c r="AN122" s="3">
        <v>1</v>
      </c>
      <c r="AO122" s="2"/>
      <c r="AP122" s="4">
        <v>46203</v>
      </c>
      <c r="AQ122" s="2" t="s">
        <v>1879</v>
      </c>
      <c r="AR122" s="2" t="s">
        <v>1454</v>
      </c>
    </row>
    <row r="123" customHeight="1" spans="1:44">
      <c r="A123" s="2" t="s">
        <v>425</v>
      </c>
      <c r="B123" s="2" t="s">
        <v>1692</v>
      </c>
      <c r="C123" s="2" t="s">
        <v>1454</v>
      </c>
      <c r="D123" s="2"/>
      <c r="E123" s="2"/>
      <c r="F123" s="2" t="s">
        <v>343</v>
      </c>
      <c r="G123" s="2" t="s">
        <v>1696</v>
      </c>
      <c r="H123" s="3">
        <v>0</v>
      </c>
      <c r="I123" s="3">
        <v>2</v>
      </c>
      <c r="J123" s="3">
        <v>12</v>
      </c>
      <c r="K123" s="3">
        <v>9</v>
      </c>
      <c r="L123" s="3">
        <v>17</v>
      </c>
      <c r="M123" s="3">
        <v>40</v>
      </c>
      <c r="N123" s="3">
        <v>0</v>
      </c>
      <c r="O123" s="46" t="s">
        <v>946</v>
      </c>
      <c r="P123" s="3">
        <v>2442.47788</v>
      </c>
      <c r="Q123" s="3">
        <v>2442.47788</v>
      </c>
      <c r="R123" s="3">
        <v>0</v>
      </c>
      <c r="S123" s="3">
        <v>0</v>
      </c>
      <c r="T123" s="3">
        <v>1</v>
      </c>
      <c r="U123" s="3">
        <v>0</v>
      </c>
      <c r="V123" s="3">
        <v>0</v>
      </c>
      <c r="W123" s="3">
        <v>0</v>
      </c>
      <c r="X123" s="3">
        <v>0</v>
      </c>
      <c r="Y123" s="3">
        <v>20</v>
      </c>
      <c r="Z123" s="3">
        <v>61.061947</v>
      </c>
      <c r="AA123" s="3">
        <v>61.061947</v>
      </c>
      <c r="AB123" s="3">
        <v>40</v>
      </c>
      <c r="AC123" s="3">
        <v>40</v>
      </c>
      <c r="AD123" s="3">
        <v>23</v>
      </c>
      <c r="AE123" s="3">
        <v>0</v>
      </c>
      <c r="AF123" s="3">
        <v>12</v>
      </c>
      <c r="AG123" s="3">
        <v>9</v>
      </c>
      <c r="AH123" s="3">
        <v>4.5</v>
      </c>
      <c r="AI123" s="3">
        <v>34</v>
      </c>
      <c r="AJ123" s="3">
        <v>6</v>
      </c>
      <c r="AK123" s="3">
        <v>2076.106198</v>
      </c>
      <c r="AL123" s="2" t="s">
        <v>1710</v>
      </c>
      <c r="AM123" s="3">
        <v>0</v>
      </c>
      <c r="AN123" s="3">
        <v>1</v>
      </c>
      <c r="AO123" s="2"/>
      <c r="AP123" s="4">
        <v>46233</v>
      </c>
      <c r="AQ123" s="2" t="s">
        <v>1879</v>
      </c>
      <c r="AR123" s="2" t="s">
        <v>1454</v>
      </c>
    </row>
    <row r="124" customHeight="1" spans="1:44">
      <c r="A124" s="2" t="s">
        <v>79</v>
      </c>
      <c r="B124" s="2" t="s">
        <v>1692</v>
      </c>
      <c r="C124" s="2" t="s">
        <v>1454</v>
      </c>
      <c r="D124" s="2"/>
      <c r="E124" s="2"/>
      <c r="F124" s="2" t="s">
        <v>1878</v>
      </c>
      <c r="G124" s="2" t="s">
        <v>1696</v>
      </c>
      <c r="H124" s="3">
        <v>4</v>
      </c>
      <c r="I124" s="3">
        <v>2</v>
      </c>
      <c r="J124" s="3">
        <v>4</v>
      </c>
      <c r="K124" s="3">
        <v>26</v>
      </c>
      <c r="L124" s="3">
        <v>3</v>
      </c>
      <c r="M124" s="3">
        <v>39</v>
      </c>
      <c r="N124" s="3">
        <v>72</v>
      </c>
      <c r="O124" s="46" t="s">
        <v>1198</v>
      </c>
      <c r="P124" s="3">
        <v>5851.659255</v>
      </c>
      <c r="Q124" s="3">
        <v>16654.7225</v>
      </c>
      <c r="R124" s="3">
        <v>5</v>
      </c>
      <c r="S124" s="3">
        <v>10</v>
      </c>
      <c r="T124" s="3">
        <v>20</v>
      </c>
      <c r="U124" s="3">
        <v>13</v>
      </c>
      <c r="V124" s="3">
        <v>6</v>
      </c>
      <c r="W124" s="3">
        <v>0</v>
      </c>
      <c r="X124" s="3">
        <v>0</v>
      </c>
      <c r="Y124" s="3">
        <v>0</v>
      </c>
      <c r="Z124" s="3">
        <v>150.042545</v>
      </c>
      <c r="AA124" s="3">
        <v>3000.8509</v>
      </c>
      <c r="AB124" s="3">
        <v>5.55</v>
      </c>
      <c r="AC124" s="3">
        <v>1.95</v>
      </c>
      <c r="AD124" s="3">
        <v>1.8</v>
      </c>
      <c r="AE124" s="3">
        <v>0.2</v>
      </c>
      <c r="AF124" s="3">
        <v>0.2</v>
      </c>
      <c r="AG124" s="3">
        <v>1.3</v>
      </c>
      <c r="AH124" s="3">
        <v>4.5</v>
      </c>
      <c r="AI124" s="3">
        <v>0</v>
      </c>
      <c r="AJ124" s="3">
        <v>6</v>
      </c>
      <c r="AK124" s="3">
        <v>0</v>
      </c>
      <c r="AL124" s="2" t="s">
        <v>1694</v>
      </c>
      <c r="AM124" s="3">
        <v>6</v>
      </c>
      <c r="AN124" s="3">
        <v>13</v>
      </c>
      <c r="AO124" s="4">
        <v>46209</v>
      </c>
      <c r="AP124" s="4">
        <v>45758</v>
      </c>
      <c r="AQ124" s="2" t="s">
        <v>1879</v>
      </c>
      <c r="AR124" s="2" t="s">
        <v>1454</v>
      </c>
    </row>
    <row r="125" customHeight="1" spans="1:44">
      <c r="A125" s="2" t="s">
        <v>581</v>
      </c>
      <c r="B125" s="2" t="s">
        <v>1692</v>
      </c>
      <c r="C125" s="2" t="s">
        <v>1454</v>
      </c>
      <c r="D125" s="2"/>
      <c r="E125" s="2"/>
      <c r="F125" s="2" t="s">
        <v>343</v>
      </c>
      <c r="G125" s="2" t="s">
        <v>1696</v>
      </c>
      <c r="H125" s="3">
        <v>0</v>
      </c>
      <c r="I125" s="3">
        <v>0</v>
      </c>
      <c r="J125" s="3">
        <v>18</v>
      </c>
      <c r="K125" s="3">
        <v>12</v>
      </c>
      <c r="L125" s="3">
        <v>9</v>
      </c>
      <c r="M125" s="3">
        <v>39</v>
      </c>
      <c r="N125" s="3">
        <v>20</v>
      </c>
      <c r="O125" s="46" t="s">
        <v>867</v>
      </c>
      <c r="P125" s="3">
        <v>4555.752201</v>
      </c>
      <c r="Q125" s="3">
        <v>6892.035381</v>
      </c>
      <c r="R125" s="3">
        <v>1</v>
      </c>
      <c r="S125" s="3">
        <v>1</v>
      </c>
      <c r="T125" s="3">
        <v>2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116.814159</v>
      </c>
      <c r="AA125" s="3">
        <v>233.628318</v>
      </c>
      <c r="AB125" s="3">
        <v>29.5</v>
      </c>
      <c r="AC125" s="3">
        <v>19.5</v>
      </c>
      <c r="AD125" s="3">
        <v>15</v>
      </c>
      <c r="AE125" s="3">
        <v>0</v>
      </c>
      <c r="AF125" s="3">
        <v>9</v>
      </c>
      <c r="AG125" s="3">
        <v>6</v>
      </c>
      <c r="AH125" s="3">
        <v>4.5</v>
      </c>
      <c r="AI125" s="3">
        <v>27</v>
      </c>
      <c r="AJ125" s="3">
        <v>6</v>
      </c>
      <c r="AK125" s="3">
        <v>3153.982293</v>
      </c>
      <c r="AL125" s="2" t="s">
        <v>1710</v>
      </c>
      <c r="AM125" s="3">
        <v>0</v>
      </c>
      <c r="AN125" s="3">
        <v>2</v>
      </c>
      <c r="AO125" s="2"/>
      <c r="AP125" s="4">
        <v>46232</v>
      </c>
      <c r="AQ125" s="2" t="s">
        <v>1879</v>
      </c>
      <c r="AR125" s="2" t="s">
        <v>1454</v>
      </c>
    </row>
    <row r="126" customHeight="1" spans="1:44">
      <c r="A126" s="2" t="s">
        <v>398</v>
      </c>
      <c r="B126" s="2" t="s">
        <v>1692</v>
      </c>
      <c r="C126" s="2" t="s">
        <v>1454</v>
      </c>
      <c r="D126" s="2"/>
      <c r="E126" s="2"/>
      <c r="F126" s="2" t="s">
        <v>343</v>
      </c>
      <c r="G126" s="2" t="s">
        <v>1696</v>
      </c>
      <c r="H126" s="3">
        <v>4</v>
      </c>
      <c r="I126" s="3">
        <v>0</v>
      </c>
      <c r="J126" s="3">
        <v>9</v>
      </c>
      <c r="K126" s="3">
        <v>11</v>
      </c>
      <c r="L126" s="3">
        <v>15</v>
      </c>
      <c r="M126" s="3">
        <v>39</v>
      </c>
      <c r="N126" s="3">
        <v>0</v>
      </c>
      <c r="O126" s="46" t="s">
        <v>1938</v>
      </c>
      <c r="P126" s="3">
        <v>3874.805298</v>
      </c>
      <c r="Q126" s="3">
        <v>3874.805298</v>
      </c>
      <c r="R126" s="3">
        <v>2</v>
      </c>
      <c r="S126" s="3">
        <v>4</v>
      </c>
      <c r="T126" s="3">
        <v>5</v>
      </c>
      <c r="U126" s="3">
        <v>2</v>
      </c>
      <c r="V126" s="3">
        <v>0</v>
      </c>
      <c r="W126" s="3">
        <v>0</v>
      </c>
      <c r="X126" s="3">
        <v>0</v>
      </c>
      <c r="Y126" s="3">
        <v>24</v>
      </c>
      <c r="Z126" s="3">
        <v>99.353982</v>
      </c>
      <c r="AA126" s="3">
        <v>496.76991</v>
      </c>
      <c r="AB126" s="3">
        <v>7.8</v>
      </c>
      <c r="AC126" s="3">
        <v>7.8</v>
      </c>
      <c r="AD126" s="3">
        <v>4.8</v>
      </c>
      <c r="AE126" s="3">
        <v>0.8</v>
      </c>
      <c r="AF126" s="3">
        <v>1.8</v>
      </c>
      <c r="AG126" s="3">
        <v>2.2</v>
      </c>
      <c r="AH126" s="3">
        <v>4.5</v>
      </c>
      <c r="AI126" s="3">
        <v>9</v>
      </c>
      <c r="AJ126" s="3">
        <v>6</v>
      </c>
      <c r="AK126" s="3">
        <v>894.185838</v>
      </c>
      <c r="AL126" s="2" t="s">
        <v>1710</v>
      </c>
      <c r="AM126" s="3">
        <v>0</v>
      </c>
      <c r="AN126" s="3">
        <v>5</v>
      </c>
      <c r="AO126" s="4">
        <v>46303</v>
      </c>
      <c r="AP126" s="4">
        <v>46203</v>
      </c>
      <c r="AQ126" s="2" t="s">
        <v>1879</v>
      </c>
      <c r="AR126" s="2" t="s">
        <v>1454</v>
      </c>
    </row>
    <row r="127" customHeight="1" spans="1:44">
      <c r="A127" s="2" t="s">
        <v>575</v>
      </c>
      <c r="B127" s="2" t="s">
        <v>1692</v>
      </c>
      <c r="C127" s="2" t="s">
        <v>1454</v>
      </c>
      <c r="D127" s="2"/>
      <c r="E127" s="2"/>
      <c r="F127" s="2" t="s">
        <v>343</v>
      </c>
      <c r="G127" s="2" t="s">
        <v>1696</v>
      </c>
      <c r="H127" s="3">
        <v>0</v>
      </c>
      <c r="I127" s="3">
        <v>0</v>
      </c>
      <c r="J127" s="3">
        <v>8</v>
      </c>
      <c r="K127" s="3">
        <v>8</v>
      </c>
      <c r="L127" s="3">
        <v>23</v>
      </c>
      <c r="M127" s="3">
        <v>39</v>
      </c>
      <c r="N127" s="3">
        <v>0</v>
      </c>
      <c r="O127" s="46" t="s">
        <v>1938</v>
      </c>
      <c r="P127" s="3">
        <v>1656.637164</v>
      </c>
      <c r="Q127" s="3">
        <v>1656.637164</v>
      </c>
      <c r="R127" s="3">
        <v>0</v>
      </c>
      <c r="S127" s="3">
        <v>0</v>
      </c>
      <c r="T127" s="3">
        <v>1</v>
      </c>
      <c r="U127" s="3">
        <v>1</v>
      </c>
      <c r="V127" s="3">
        <v>0</v>
      </c>
      <c r="W127" s="3">
        <v>20</v>
      </c>
      <c r="X127" s="3">
        <v>20</v>
      </c>
      <c r="Y127" s="3">
        <v>20</v>
      </c>
      <c r="Z127" s="3">
        <v>42.477876</v>
      </c>
      <c r="AA127" s="3">
        <v>42.477876</v>
      </c>
      <c r="AB127" s="3">
        <v>39</v>
      </c>
      <c r="AC127" s="3">
        <v>39</v>
      </c>
      <c r="AD127" s="3">
        <v>16</v>
      </c>
      <c r="AE127" s="3">
        <v>0</v>
      </c>
      <c r="AF127" s="3">
        <v>8</v>
      </c>
      <c r="AG127" s="3">
        <v>8</v>
      </c>
      <c r="AH127" s="3">
        <v>4.5</v>
      </c>
      <c r="AI127" s="3">
        <v>33</v>
      </c>
      <c r="AJ127" s="3">
        <v>6</v>
      </c>
      <c r="AK127" s="3">
        <v>1401.769908</v>
      </c>
      <c r="AL127" s="2" t="s">
        <v>1710</v>
      </c>
      <c r="AM127" s="3">
        <v>0</v>
      </c>
      <c r="AN127" s="3">
        <v>1</v>
      </c>
      <c r="AO127" s="2"/>
      <c r="AP127" s="4">
        <v>46233</v>
      </c>
      <c r="AQ127" s="2" t="s">
        <v>1879</v>
      </c>
      <c r="AR127" s="2" t="s">
        <v>1454</v>
      </c>
    </row>
    <row r="128" customHeight="1" spans="1:44">
      <c r="A128" s="2" t="s">
        <v>157</v>
      </c>
      <c r="B128" s="2" t="s">
        <v>1692</v>
      </c>
      <c r="C128" s="2" t="s">
        <v>1454</v>
      </c>
      <c r="D128" s="2"/>
      <c r="E128" s="2"/>
      <c r="F128" s="2" t="s">
        <v>1924</v>
      </c>
      <c r="G128" s="2" t="s">
        <v>1696</v>
      </c>
      <c r="H128" s="3">
        <v>4</v>
      </c>
      <c r="I128" s="3">
        <v>0</v>
      </c>
      <c r="J128" s="3">
        <v>8</v>
      </c>
      <c r="K128" s="3">
        <v>11</v>
      </c>
      <c r="L128" s="3">
        <v>16</v>
      </c>
      <c r="M128" s="3">
        <v>39</v>
      </c>
      <c r="N128" s="3">
        <v>18</v>
      </c>
      <c r="O128" s="46" t="s">
        <v>842</v>
      </c>
      <c r="P128" s="3">
        <v>4910.42214</v>
      </c>
      <c r="Q128" s="3">
        <v>7176.77082</v>
      </c>
      <c r="R128" s="3">
        <v>1</v>
      </c>
      <c r="S128" s="3">
        <v>4</v>
      </c>
      <c r="T128" s="3">
        <v>10</v>
      </c>
      <c r="U128" s="3">
        <v>9</v>
      </c>
      <c r="V128" s="3">
        <v>7</v>
      </c>
      <c r="W128" s="3">
        <v>0</v>
      </c>
      <c r="X128" s="3">
        <v>0</v>
      </c>
      <c r="Y128" s="3">
        <v>0</v>
      </c>
      <c r="Z128" s="3">
        <v>125.90826</v>
      </c>
      <c r="AA128" s="3">
        <v>1259.0826</v>
      </c>
      <c r="AB128" s="3">
        <v>5.7</v>
      </c>
      <c r="AC128" s="3">
        <v>3.9</v>
      </c>
      <c r="AD128" s="3">
        <v>2.3</v>
      </c>
      <c r="AE128" s="3">
        <v>0.4</v>
      </c>
      <c r="AF128" s="3">
        <v>0.8</v>
      </c>
      <c r="AG128" s="3">
        <v>1.1</v>
      </c>
      <c r="AH128" s="3">
        <v>4.5</v>
      </c>
      <c r="AI128" s="3">
        <v>0</v>
      </c>
      <c r="AJ128" s="3">
        <v>6</v>
      </c>
      <c r="AK128" s="3">
        <v>0</v>
      </c>
      <c r="AL128" s="2" t="s">
        <v>1694</v>
      </c>
      <c r="AM128" s="3">
        <v>7</v>
      </c>
      <c r="AN128" s="3">
        <v>3</v>
      </c>
      <c r="AO128" s="4">
        <v>45368</v>
      </c>
      <c r="AP128" s="4">
        <v>45351</v>
      </c>
      <c r="AQ128" s="2" t="s">
        <v>1879</v>
      </c>
      <c r="AR128" s="2" t="s">
        <v>1454</v>
      </c>
    </row>
    <row r="129" customHeight="1" spans="1:44">
      <c r="A129" s="2" t="s">
        <v>304</v>
      </c>
      <c r="B129" s="2" t="s">
        <v>1692</v>
      </c>
      <c r="C129" s="2" t="s">
        <v>1454</v>
      </c>
      <c r="D129" s="2"/>
      <c r="E129" s="2"/>
      <c r="F129" s="2" t="s">
        <v>1885</v>
      </c>
      <c r="G129" s="2" t="s">
        <v>1696</v>
      </c>
      <c r="H129" s="3">
        <v>4</v>
      </c>
      <c r="I129" s="3">
        <v>0</v>
      </c>
      <c r="J129" s="3">
        <v>14</v>
      </c>
      <c r="K129" s="3">
        <v>0</v>
      </c>
      <c r="L129" s="3">
        <v>20</v>
      </c>
      <c r="M129" s="3">
        <v>38</v>
      </c>
      <c r="N129" s="3">
        <v>20</v>
      </c>
      <c r="O129" s="46" t="s">
        <v>947</v>
      </c>
      <c r="P129" s="3">
        <v>2458.488774</v>
      </c>
      <c r="Q129" s="3">
        <v>3752.430234</v>
      </c>
      <c r="R129" s="3">
        <v>1</v>
      </c>
      <c r="S129" s="3">
        <v>1</v>
      </c>
      <c r="T129" s="3">
        <v>3</v>
      </c>
      <c r="U129" s="3">
        <v>0</v>
      </c>
      <c r="V129" s="3">
        <v>8</v>
      </c>
      <c r="W129" s="3">
        <v>0</v>
      </c>
      <c r="X129" s="3">
        <v>0</v>
      </c>
      <c r="Y129" s="3">
        <v>20</v>
      </c>
      <c r="Z129" s="3">
        <v>64.697073</v>
      </c>
      <c r="AA129" s="3">
        <v>194.091219</v>
      </c>
      <c r="AB129" s="3">
        <v>19.33333333</v>
      </c>
      <c r="AC129" s="3">
        <v>12.66666667</v>
      </c>
      <c r="AD129" s="3">
        <v>6</v>
      </c>
      <c r="AE129" s="3">
        <v>1.333333333</v>
      </c>
      <c r="AF129" s="3">
        <v>4.666666667</v>
      </c>
      <c r="AG129" s="3">
        <v>0</v>
      </c>
      <c r="AH129" s="3">
        <v>4.5</v>
      </c>
      <c r="AI129" s="3">
        <v>20</v>
      </c>
      <c r="AJ129" s="3">
        <v>6</v>
      </c>
      <c r="AK129" s="3">
        <v>1293.94146</v>
      </c>
      <c r="AL129" s="2" t="s">
        <v>1694</v>
      </c>
      <c r="AM129" s="3">
        <v>2</v>
      </c>
      <c r="AN129" s="3">
        <v>0</v>
      </c>
      <c r="AO129" s="4">
        <v>46208</v>
      </c>
      <c r="AP129" s="4">
        <v>45717</v>
      </c>
      <c r="AQ129" s="2" t="s">
        <v>1879</v>
      </c>
      <c r="AR129" s="2" t="s">
        <v>1454</v>
      </c>
    </row>
    <row r="130" customHeight="1" spans="1:44">
      <c r="A130" s="2" t="s">
        <v>221</v>
      </c>
      <c r="B130" s="2" t="s">
        <v>1692</v>
      </c>
      <c r="C130" s="2" t="s">
        <v>1454</v>
      </c>
      <c r="D130" s="2"/>
      <c r="E130" s="2"/>
      <c r="F130" s="2" t="s">
        <v>1878</v>
      </c>
      <c r="G130" s="2" t="s">
        <v>1696</v>
      </c>
      <c r="H130" s="3">
        <v>5</v>
      </c>
      <c r="I130" s="3">
        <v>0</v>
      </c>
      <c r="J130" s="3">
        <v>13</v>
      </c>
      <c r="K130" s="3">
        <v>0</v>
      </c>
      <c r="L130" s="3">
        <v>20</v>
      </c>
      <c r="M130" s="3">
        <v>38</v>
      </c>
      <c r="N130" s="3">
        <v>80</v>
      </c>
      <c r="O130" s="46" t="s">
        <v>1939</v>
      </c>
      <c r="P130" s="3">
        <v>1513.274342</v>
      </c>
      <c r="Q130" s="3">
        <v>4699.115062</v>
      </c>
      <c r="R130" s="3">
        <v>3</v>
      </c>
      <c r="S130" s="3">
        <v>8</v>
      </c>
      <c r="T130" s="3">
        <v>17</v>
      </c>
      <c r="U130" s="3">
        <v>16</v>
      </c>
      <c r="V130" s="3">
        <v>9</v>
      </c>
      <c r="W130" s="3">
        <v>0</v>
      </c>
      <c r="X130" s="3">
        <v>0</v>
      </c>
      <c r="Y130" s="3">
        <v>0</v>
      </c>
      <c r="Z130" s="3">
        <v>39.823009</v>
      </c>
      <c r="AA130" s="3">
        <v>676.991153</v>
      </c>
      <c r="AB130" s="3">
        <v>6.941176471</v>
      </c>
      <c r="AC130" s="3">
        <v>2.235294118</v>
      </c>
      <c r="AD130" s="3">
        <v>1.058823529</v>
      </c>
      <c r="AE130" s="3">
        <v>0.294117647</v>
      </c>
      <c r="AF130" s="3">
        <v>0.764705882</v>
      </c>
      <c r="AG130" s="3">
        <v>0</v>
      </c>
      <c r="AH130" s="3">
        <v>4.5</v>
      </c>
      <c r="AI130" s="3">
        <v>0</v>
      </c>
      <c r="AJ130" s="3">
        <v>6</v>
      </c>
      <c r="AK130" s="3">
        <v>0</v>
      </c>
      <c r="AL130" s="2" t="s">
        <v>1714</v>
      </c>
      <c r="AM130" s="3">
        <v>11</v>
      </c>
      <c r="AN130" s="3">
        <v>6</v>
      </c>
      <c r="AO130" s="4">
        <v>46139</v>
      </c>
      <c r="AP130" s="4">
        <v>44804</v>
      </c>
      <c r="AQ130" s="2" t="s">
        <v>1879</v>
      </c>
      <c r="AR130" s="2" t="s">
        <v>1454</v>
      </c>
    </row>
    <row r="131" customHeight="1" spans="1:44">
      <c r="A131" s="2" t="s">
        <v>419</v>
      </c>
      <c r="B131" s="2" t="s">
        <v>1692</v>
      </c>
      <c r="C131" s="2" t="s">
        <v>1454</v>
      </c>
      <c r="D131" s="2"/>
      <c r="E131" s="2"/>
      <c r="F131" s="2" t="s">
        <v>1924</v>
      </c>
      <c r="G131" s="2" t="s">
        <v>1696</v>
      </c>
      <c r="H131" s="3">
        <v>0</v>
      </c>
      <c r="I131" s="3">
        <v>0</v>
      </c>
      <c r="J131" s="3">
        <v>11</v>
      </c>
      <c r="K131" s="3">
        <v>6</v>
      </c>
      <c r="L131" s="3">
        <v>21</v>
      </c>
      <c r="M131" s="3">
        <v>38</v>
      </c>
      <c r="N131" s="3">
        <v>20</v>
      </c>
      <c r="O131" s="46" t="s">
        <v>947</v>
      </c>
      <c r="P131" s="3">
        <v>1546.90267</v>
      </c>
      <c r="Q131" s="3">
        <v>2361.06197</v>
      </c>
      <c r="R131" s="3">
        <v>1</v>
      </c>
      <c r="S131" s="3">
        <v>1</v>
      </c>
      <c r="T131" s="3">
        <v>1</v>
      </c>
      <c r="U131" s="3">
        <v>1</v>
      </c>
      <c r="V131" s="3">
        <v>0</v>
      </c>
      <c r="W131" s="3">
        <v>0</v>
      </c>
      <c r="X131" s="3">
        <v>20</v>
      </c>
      <c r="Y131" s="3">
        <v>20</v>
      </c>
      <c r="Z131" s="3">
        <v>40.707965</v>
      </c>
      <c r="AA131" s="3">
        <v>40.707965</v>
      </c>
      <c r="AB131" s="3">
        <v>58</v>
      </c>
      <c r="AC131" s="3">
        <v>38</v>
      </c>
      <c r="AD131" s="3">
        <v>17</v>
      </c>
      <c r="AE131" s="3">
        <v>0</v>
      </c>
      <c r="AF131" s="3">
        <v>11</v>
      </c>
      <c r="AG131" s="3">
        <v>6</v>
      </c>
      <c r="AH131" s="3">
        <v>4.5</v>
      </c>
      <c r="AI131" s="3">
        <v>32</v>
      </c>
      <c r="AJ131" s="3">
        <v>6</v>
      </c>
      <c r="AK131" s="3">
        <v>1302.65488</v>
      </c>
      <c r="AL131" s="2" t="s">
        <v>1710</v>
      </c>
      <c r="AM131" s="3">
        <v>0</v>
      </c>
      <c r="AN131" s="3">
        <v>1</v>
      </c>
      <c r="AO131" s="2"/>
      <c r="AP131" s="4">
        <v>46226</v>
      </c>
      <c r="AQ131" s="2" t="s">
        <v>1879</v>
      </c>
      <c r="AR131" s="2" t="s">
        <v>1454</v>
      </c>
    </row>
    <row r="132" customHeight="1" spans="1:44">
      <c r="A132" s="2" t="s">
        <v>662</v>
      </c>
      <c r="B132" s="2" t="s">
        <v>1692</v>
      </c>
      <c r="C132" s="2" t="s">
        <v>1454</v>
      </c>
      <c r="D132" s="2"/>
      <c r="E132" s="2"/>
      <c r="F132" s="2" t="s">
        <v>343</v>
      </c>
      <c r="G132" s="2" t="s">
        <v>1696</v>
      </c>
      <c r="H132" s="3">
        <v>0</v>
      </c>
      <c r="I132" s="3">
        <v>0</v>
      </c>
      <c r="J132" s="3">
        <v>5</v>
      </c>
      <c r="K132" s="3">
        <v>14</v>
      </c>
      <c r="L132" s="3">
        <v>18</v>
      </c>
      <c r="M132" s="3">
        <v>37</v>
      </c>
      <c r="N132" s="3">
        <v>0</v>
      </c>
      <c r="O132" s="46" t="s">
        <v>1940</v>
      </c>
      <c r="P132" s="3">
        <v>1686.283177</v>
      </c>
      <c r="Q132" s="3">
        <v>1686.283177</v>
      </c>
      <c r="R132" s="3">
        <v>0</v>
      </c>
      <c r="S132" s="3">
        <v>3</v>
      </c>
      <c r="T132" s="3">
        <v>4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45.575221</v>
      </c>
      <c r="AA132" s="3">
        <v>182.300884</v>
      </c>
      <c r="AB132" s="3">
        <v>9.25</v>
      </c>
      <c r="AC132" s="3">
        <v>9.25</v>
      </c>
      <c r="AD132" s="3">
        <v>4.75</v>
      </c>
      <c r="AE132" s="3">
        <v>0</v>
      </c>
      <c r="AF132" s="3">
        <v>1.25</v>
      </c>
      <c r="AG132" s="3">
        <v>3.5</v>
      </c>
      <c r="AH132" s="3">
        <v>4.5</v>
      </c>
      <c r="AI132" s="3">
        <v>13</v>
      </c>
      <c r="AJ132" s="3">
        <v>6</v>
      </c>
      <c r="AK132" s="3">
        <v>592.477873</v>
      </c>
      <c r="AL132" s="2" t="s">
        <v>1710</v>
      </c>
      <c r="AM132" s="3">
        <v>0</v>
      </c>
      <c r="AN132" s="3">
        <v>4</v>
      </c>
      <c r="AO132" s="2"/>
      <c r="AP132" s="4">
        <v>46257</v>
      </c>
      <c r="AQ132" s="2" t="s">
        <v>1879</v>
      </c>
      <c r="AR132" s="2" t="s">
        <v>1454</v>
      </c>
    </row>
    <row r="133" customHeight="1" spans="1:44">
      <c r="A133" s="2" t="s">
        <v>413</v>
      </c>
      <c r="B133" s="2" t="s">
        <v>1692</v>
      </c>
      <c r="C133" s="2" t="s">
        <v>1454</v>
      </c>
      <c r="D133" s="2"/>
      <c r="E133" s="2"/>
      <c r="F133" s="2" t="s">
        <v>343</v>
      </c>
      <c r="G133" s="2" t="s">
        <v>1696</v>
      </c>
      <c r="H133" s="3">
        <v>6</v>
      </c>
      <c r="I133" s="3">
        <v>6</v>
      </c>
      <c r="J133" s="3">
        <v>0</v>
      </c>
      <c r="K133" s="3">
        <v>24</v>
      </c>
      <c r="L133" s="3">
        <v>1</v>
      </c>
      <c r="M133" s="3">
        <v>37</v>
      </c>
      <c r="N133" s="3">
        <v>42</v>
      </c>
      <c r="O133" s="46" t="s">
        <v>1014</v>
      </c>
      <c r="P133" s="3">
        <v>4518.584078</v>
      </c>
      <c r="Q133" s="3">
        <v>9647.787626</v>
      </c>
      <c r="R133" s="3">
        <v>3</v>
      </c>
      <c r="S133" s="3">
        <v>6</v>
      </c>
      <c r="T133" s="3">
        <v>13</v>
      </c>
      <c r="U133" s="3">
        <v>5</v>
      </c>
      <c r="V133" s="3">
        <v>0</v>
      </c>
      <c r="W133" s="3">
        <v>0</v>
      </c>
      <c r="X133" s="3">
        <v>0</v>
      </c>
      <c r="Y133" s="3">
        <v>0</v>
      </c>
      <c r="Z133" s="3">
        <v>122.123894</v>
      </c>
      <c r="AA133" s="3">
        <v>1587.610622</v>
      </c>
      <c r="AB133" s="3">
        <v>6.076923077</v>
      </c>
      <c r="AC133" s="3">
        <v>2.846153846</v>
      </c>
      <c r="AD133" s="3">
        <v>2.769230769</v>
      </c>
      <c r="AE133" s="3">
        <v>0.461538462</v>
      </c>
      <c r="AF133" s="3">
        <v>0</v>
      </c>
      <c r="AG133" s="3">
        <v>1.846153846</v>
      </c>
      <c r="AH133" s="3">
        <v>4.5</v>
      </c>
      <c r="AI133" s="3">
        <v>0</v>
      </c>
      <c r="AJ133" s="3">
        <v>6</v>
      </c>
      <c r="AK133" s="3">
        <v>0</v>
      </c>
      <c r="AL133" s="2" t="s">
        <v>1710</v>
      </c>
      <c r="AM133" s="3">
        <v>0</v>
      </c>
      <c r="AN133" s="3">
        <v>13</v>
      </c>
      <c r="AO133" s="4">
        <v>46298</v>
      </c>
      <c r="AP133" s="4">
        <v>46233</v>
      </c>
      <c r="AQ133" s="2" t="s">
        <v>1879</v>
      </c>
      <c r="AR133" s="2" t="s">
        <v>1454</v>
      </c>
    </row>
    <row r="134" customHeight="1" spans="1:44">
      <c r="A134" s="2" t="s">
        <v>518</v>
      </c>
      <c r="B134" s="2" t="s">
        <v>1692</v>
      </c>
      <c r="C134" s="2" t="s">
        <v>1454</v>
      </c>
      <c r="D134" s="2"/>
      <c r="E134" s="2"/>
      <c r="F134" s="2" t="s">
        <v>1880</v>
      </c>
      <c r="G134" s="2" t="s">
        <v>1696</v>
      </c>
      <c r="H134" s="3">
        <v>0</v>
      </c>
      <c r="I134" s="3">
        <v>0</v>
      </c>
      <c r="J134" s="3">
        <v>20</v>
      </c>
      <c r="K134" s="3">
        <v>16</v>
      </c>
      <c r="L134" s="3">
        <v>1</v>
      </c>
      <c r="M134" s="3">
        <v>37</v>
      </c>
      <c r="N134" s="3">
        <v>0</v>
      </c>
      <c r="O134" s="46" t="s">
        <v>1940</v>
      </c>
      <c r="P134" s="3">
        <v>3623.821551</v>
      </c>
      <c r="Q134" s="3">
        <v>3623.821551</v>
      </c>
      <c r="R134" s="3">
        <v>2</v>
      </c>
      <c r="S134" s="3">
        <v>6</v>
      </c>
      <c r="T134" s="3">
        <v>9</v>
      </c>
      <c r="U134" s="3">
        <v>5</v>
      </c>
      <c r="V134" s="3">
        <v>5</v>
      </c>
      <c r="W134" s="3">
        <v>0</v>
      </c>
      <c r="X134" s="3">
        <v>0</v>
      </c>
      <c r="Y134" s="3">
        <v>0</v>
      </c>
      <c r="Z134" s="3">
        <v>97.941123</v>
      </c>
      <c r="AA134" s="3">
        <v>881.470107</v>
      </c>
      <c r="AB134" s="3">
        <v>4.111111111</v>
      </c>
      <c r="AC134" s="3">
        <v>4.111111111</v>
      </c>
      <c r="AD134" s="3">
        <v>4</v>
      </c>
      <c r="AE134" s="3">
        <v>0</v>
      </c>
      <c r="AF134" s="3">
        <v>2.222222222</v>
      </c>
      <c r="AG134" s="3">
        <v>1.777777778</v>
      </c>
      <c r="AH134" s="3">
        <v>4.5</v>
      </c>
      <c r="AI134" s="3">
        <v>0</v>
      </c>
      <c r="AJ134" s="3">
        <v>6</v>
      </c>
      <c r="AK134" s="3">
        <v>0</v>
      </c>
      <c r="AL134" s="2" t="s">
        <v>1694</v>
      </c>
      <c r="AM134" s="3">
        <v>0</v>
      </c>
      <c r="AN134" s="3">
        <v>6</v>
      </c>
      <c r="AO134" s="2"/>
      <c r="AP134" s="4">
        <v>45688</v>
      </c>
      <c r="AQ134" s="2" t="s">
        <v>1879</v>
      </c>
      <c r="AR134" s="2" t="s">
        <v>1454</v>
      </c>
    </row>
    <row r="135" customHeight="1" spans="1:44">
      <c r="A135" s="2" t="s">
        <v>530</v>
      </c>
      <c r="B135" s="2" t="s">
        <v>1692</v>
      </c>
      <c r="C135" s="2" t="s">
        <v>1454</v>
      </c>
      <c r="D135" s="2"/>
      <c r="E135" s="2"/>
      <c r="F135" s="2" t="s">
        <v>1924</v>
      </c>
      <c r="G135" s="2" t="s">
        <v>1696</v>
      </c>
      <c r="H135" s="3">
        <v>0</v>
      </c>
      <c r="I135" s="3">
        <v>0</v>
      </c>
      <c r="J135" s="3">
        <v>17</v>
      </c>
      <c r="K135" s="3">
        <v>0</v>
      </c>
      <c r="L135" s="3">
        <v>19</v>
      </c>
      <c r="M135" s="3">
        <v>36</v>
      </c>
      <c r="N135" s="3">
        <v>0</v>
      </c>
      <c r="O135" s="46" t="s">
        <v>980</v>
      </c>
      <c r="P135" s="3">
        <v>2944.14228</v>
      </c>
      <c r="Q135" s="3">
        <v>2944.14228</v>
      </c>
      <c r="R135" s="3">
        <v>0</v>
      </c>
      <c r="S135" s="3">
        <v>0</v>
      </c>
      <c r="T135" s="3">
        <v>0</v>
      </c>
      <c r="U135" s="3">
        <v>1</v>
      </c>
      <c r="V135" s="3">
        <v>0</v>
      </c>
      <c r="W135" s="3">
        <v>0</v>
      </c>
      <c r="X135" s="3">
        <v>0</v>
      </c>
      <c r="Y135" s="3">
        <v>0</v>
      </c>
      <c r="Z135" s="3">
        <v>81.78173</v>
      </c>
      <c r="AA135" s="3">
        <v>0</v>
      </c>
      <c r="AB135" s="3"/>
      <c r="AC135" s="3"/>
      <c r="AD135" s="3"/>
      <c r="AE135" s="3"/>
      <c r="AF135" s="3"/>
      <c r="AG135" s="3"/>
      <c r="AH135" s="3">
        <v>4.5</v>
      </c>
      <c r="AI135" s="3">
        <v>36</v>
      </c>
      <c r="AJ135" s="3">
        <v>6</v>
      </c>
      <c r="AK135" s="3">
        <v>2944.14228</v>
      </c>
      <c r="AL135" s="2" t="s">
        <v>1694</v>
      </c>
      <c r="AM135" s="3">
        <v>0</v>
      </c>
      <c r="AN135" s="3">
        <v>0</v>
      </c>
      <c r="AO135" s="2"/>
      <c r="AP135" s="4">
        <v>45765</v>
      </c>
      <c r="AQ135" s="2" t="s">
        <v>1879</v>
      </c>
      <c r="AR135" s="2" t="s">
        <v>1454</v>
      </c>
    </row>
    <row r="136" customHeight="1" spans="1:44">
      <c r="A136" s="2" t="s">
        <v>542</v>
      </c>
      <c r="B136" s="2" t="s">
        <v>1692</v>
      </c>
      <c r="C136" s="2" t="s">
        <v>1454</v>
      </c>
      <c r="D136" s="2"/>
      <c r="E136" s="2"/>
      <c r="F136" s="2" t="s">
        <v>343</v>
      </c>
      <c r="G136" s="2" t="s">
        <v>1696</v>
      </c>
      <c r="H136" s="3">
        <v>0</v>
      </c>
      <c r="I136" s="3">
        <v>0</v>
      </c>
      <c r="J136" s="3">
        <v>15</v>
      </c>
      <c r="K136" s="3">
        <v>1</v>
      </c>
      <c r="L136" s="3">
        <v>20</v>
      </c>
      <c r="M136" s="3">
        <v>36</v>
      </c>
      <c r="N136" s="3">
        <v>0</v>
      </c>
      <c r="O136" s="46" t="s">
        <v>980</v>
      </c>
      <c r="P136" s="3">
        <v>3117.34512</v>
      </c>
      <c r="Q136" s="3">
        <v>3117.34512</v>
      </c>
      <c r="R136" s="3">
        <v>0</v>
      </c>
      <c r="S136" s="3">
        <v>1</v>
      </c>
      <c r="T136" s="3">
        <v>4</v>
      </c>
      <c r="U136" s="3">
        <v>2</v>
      </c>
      <c r="V136" s="3">
        <v>0</v>
      </c>
      <c r="W136" s="3">
        <v>0</v>
      </c>
      <c r="X136" s="3">
        <v>20</v>
      </c>
      <c r="Y136" s="3">
        <v>20</v>
      </c>
      <c r="Z136" s="3">
        <v>86.59292</v>
      </c>
      <c r="AA136" s="3">
        <v>346.37168</v>
      </c>
      <c r="AB136" s="3">
        <v>9</v>
      </c>
      <c r="AC136" s="3">
        <v>9</v>
      </c>
      <c r="AD136" s="3">
        <v>4</v>
      </c>
      <c r="AE136" s="3">
        <v>0</v>
      </c>
      <c r="AF136" s="3">
        <v>3.75</v>
      </c>
      <c r="AG136" s="3">
        <v>0.25</v>
      </c>
      <c r="AH136" s="3">
        <v>4.5</v>
      </c>
      <c r="AI136" s="3">
        <v>12</v>
      </c>
      <c r="AJ136" s="3">
        <v>6</v>
      </c>
      <c r="AK136" s="3">
        <v>1039.11504</v>
      </c>
      <c r="AL136" s="2" t="s">
        <v>1710</v>
      </c>
      <c r="AM136" s="3">
        <v>0</v>
      </c>
      <c r="AN136" s="3">
        <v>4</v>
      </c>
      <c r="AO136" s="2"/>
      <c r="AP136" s="4">
        <v>46203</v>
      </c>
      <c r="AQ136" s="2" t="s">
        <v>1879</v>
      </c>
      <c r="AR136" s="2" t="s">
        <v>1454</v>
      </c>
    </row>
    <row r="137" customHeight="1" spans="1:44">
      <c r="A137" s="2" t="s">
        <v>545</v>
      </c>
      <c r="B137" s="2" t="s">
        <v>1692</v>
      </c>
      <c r="C137" s="2" t="s">
        <v>1454</v>
      </c>
      <c r="D137" s="2"/>
      <c r="E137" s="2"/>
      <c r="F137" s="2" t="s">
        <v>343</v>
      </c>
      <c r="G137" s="2" t="s">
        <v>1696</v>
      </c>
      <c r="H137" s="3">
        <v>0</v>
      </c>
      <c r="I137" s="3">
        <v>0</v>
      </c>
      <c r="J137" s="3">
        <v>13</v>
      </c>
      <c r="K137" s="3">
        <v>6</v>
      </c>
      <c r="L137" s="3">
        <v>17</v>
      </c>
      <c r="M137" s="3">
        <v>36</v>
      </c>
      <c r="N137" s="3">
        <v>0</v>
      </c>
      <c r="O137" s="46" t="s">
        <v>980</v>
      </c>
      <c r="P137" s="3">
        <v>1476.637164</v>
      </c>
      <c r="Q137" s="3">
        <v>1476.637164</v>
      </c>
      <c r="R137" s="3">
        <v>0</v>
      </c>
      <c r="S137" s="3">
        <v>2</v>
      </c>
      <c r="T137" s="3">
        <v>2</v>
      </c>
      <c r="U137" s="3">
        <v>1</v>
      </c>
      <c r="V137" s="3">
        <v>0</v>
      </c>
      <c r="W137" s="3">
        <v>0</v>
      </c>
      <c r="X137" s="3">
        <v>0</v>
      </c>
      <c r="Y137" s="3">
        <v>0</v>
      </c>
      <c r="Z137" s="3">
        <v>41.017699</v>
      </c>
      <c r="AA137" s="3">
        <v>82.035398</v>
      </c>
      <c r="AB137" s="3">
        <v>18</v>
      </c>
      <c r="AC137" s="3">
        <v>18</v>
      </c>
      <c r="AD137" s="3">
        <v>9.5</v>
      </c>
      <c r="AE137" s="3">
        <v>0</v>
      </c>
      <c r="AF137" s="3">
        <v>6.5</v>
      </c>
      <c r="AG137" s="3">
        <v>3</v>
      </c>
      <c r="AH137" s="3">
        <v>4.5</v>
      </c>
      <c r="AI137" s="3">
        <v>24</v>
      </c>
      <c r="AJ137" s="3">
        <v>6</v>
      </c>
      <c r="AK137" s="3">
        <v>984.424776</v>
      </c>
      <c r="AL137" s="2" t="s">
        <v>1710</v>
      </c>
      <c r="AM137" s="3">
        <v>0</v>
      </c>
      <c r="AN137" s="3">
        <v>2</v>
      </c>
      <c r="AO137" s="2"/>
      <c r="AP137" s="4">
        <v>46203</v>
      </c>
      <c r="AQ137" s="2" t="s">
        <v>1879</v>
      </c>
      <c r="AR137" s="2" t="s">
        <v>1454</v>
      </c>
    </row>
    <row r="138" customHeight="1" spans="1:44">
      <c r="A138" s="2" t="s">
        <v>494</v>
      </c>
      <c r="B138" s="2" t="s">
        <v>1692</v>
      </c>
      <c r="C138" s="2" t="s">
        <v>1454</v>
      </c>
      <c r="D138" s="2"/>
      <c r="E138" s="2"/>
      <c r="F138" s="2" t="s">
        <v>1885</v>
      </c>
      <c r="G138" s="2" t="s">
        <v>1696</v>
      </c>
      <c r="H138" s="3">
        <v>0</v>
      </c>
      <c r="I138" s="3">
        <v>0</v>
      </c>
      <c r="J138" s="3">
        <v>8</v>
      </c>
      <c r="K138" s="3">
        <v>3</v>
      </c>
      <c r="L138" s="3">
        <v>25</v>
      </c>
      <c r="M138" s="3">
        <v>36</v>
      </c>
      <c r="N138" s="3">
        <v>0</v>
      </c>
      <c r="O138" s="46" t="s">
        <v>980</v>
      </c>
      <c r="P138" s="3">
        <v>2554.543512</v>
      </c>
      <c r="Q138" s="3">
        <v>2554.543512</v>
      </c>
      <c r="R138" s="3">
        <v>4</v>
      </c>
      <c r="S138" s="3">
        <v>4</v>
      </c>
      <c r="T138" s="3">
        <v>5</v>
      </c>
      <c r="U138" s="3">
        <v>1</v>
      </c>
      <c r="V138" s="3">
        <v>3</v>
      </c>
      <c r="W138" s="3">
        <v>0</v>
      </c>
      <c r="X138" s="3">
        <v>0</v>
      </c>
      <c r="Y138" s="3">
        <v>0</v>
      </c>
      <c r="Z138" s="3">
        <v>70.959542</v>
      </c>
      <c r="AA138" s="3">
        <v>354.79771</v>
      </c>
      <c r="AB138" s="3">
        <v>7.2</v>
      </c>
      <c r="AC138" s="3">
        <v>7.2</v>
      </c>
      <c r="AD138" s="3">
        <v>2.2</v>
      </c>
      <c r="AE138" s="3">
        <v>0</v>
      </c>
      <c r="AF138" s="3">
        <v>1.6</v>
      </c>
      <c r="AG138" s="3">
        <v>0.6</v>
      </c>
      <c r="AH138" s="3">
        <v>4.5</v>
      </c>
      <c r="AI138" s="3">
        <v>6</v>
      </c>
      <c r="AJ138" s="3">
        <v>6</v>
      </c>
      <c r="AK138" s="3">
        <v>425.757252</v>
      </c>
      <c r="AL138" s="2" t="s">
        <v>1694</v>
      </c>
      <c r="AM138" s="3">
        <v>0</v>
      </c>
      <c r="AN138" s="3">
        <v>5</v>
      </c>
      <c r="AO138" s="2"/>
      <c r="AP138" s="4">
        <v>45760</v>
      </c>
      <c r="AQ138" s="2" t="s">
        <v>1879</v>
      </c>
      <c r="AR138" s="2" t="s">
        <v>1454</v>
      </c>
    </row>
    <row r="139" customHeight="1" spans="1:44">
      <c r="A139" s="2" t="s">
        <v>695</v>
      </c>
      <c r="B139" s="2" t="s">
        <v>1692</v>
      </c>
      <c r="C139" s="2" t="s">
        <v>1454</v>
      </c>
      <c r="D139" s="2"/>
      <c r="E139" s="2"/>
      <c r="F139" s="2" t="s">
        <v>1880</v>
      </c>
      <c r="G139" s="2" t="s">
        <v>1696</v>
      </c>
      <c r="H139" s="3">
        <v>0</v>
      </c>
      <c r="I139" s="3">
        <v>0</v>
      </c>
      <c r="J139" s="3">
        <v>6</v>
      </c>
      <c r="K139" s="3">
        <v>6</v>
      </c>
      <c r="L139" s="3">
        <v>23</v>
      </c>
      <c r="M139" s="3">
        <v>35</v>
      </c>
      <c r="N139" s="3">
        <v>0</v>
      </c>
      <c r="O139" s="46" t="s">
        <v>791</v>
      </c>
      <c r="P139" s="3">
        <v>2045.486695</v>
      </c>
      <c r="Q139" s="3">
        <v>2045.486695</v>
      </c>
      <c r="R139" s="3">
        <v>0</v>
      </c>
      <c r="S139" s="3">
        <v>0</v>
      </c>
      <c r="T139" s="3">
        <v>2</v>
      </c>
      <c r="U139" s="3">
        <v>3</v>
      </c>
      <c r="V139" s="3">
        <v>0</v>
      </c>
      <c r="W139" s="3">
        <v>0</v>
      </c>
      <c r="X139" s="3">
        <v>0</v>
      </c>
      <c r="Y139" s="3">
        <v>0</v>
      </c>
      <c r="Z139" s="3">
        <v>58.442477</v>
      </c>
      <c r="AA139" s="3">
        <v>116.884954</v>
      </c>
      <c r="AB139" s="3">
        <v>17.5</v>
      </c>
      <c r="AC139" s="3">
        <v>17.5</v>
      </c>
      <c r="AD139" s="3">
        <v>6</v>
      </c>
      <c r="AE139" s="3">
        <v>0</v>
      </c>
      <c r="AF139" s="3">
        <v>3</v>
      </c>
      <c r="AG139" s="3">
        <v>3</v>
      </c>
      <c r="AH139" s="3">
        <v>4.5</v>
      </c>
      <c r="AI139" s="3">
        <v>23</v>
      </c>
      <c r="AJ139" s="3">
        <v>6</v>
      </c>
      <c r="AK139" s="3">
        <v>1344.176971</v>
      </c>
      <c r="AL139" s="2" t="s">
        <v>1694</v>
      </c>
      <c r="AM139" s="3">
        <v>0</v>
      </c>
      <c r="AN139" s="3">
        <v>2</v>
      </c>
      <c r="AO139" s="2"/>
      <c r="AP139" s="4">
        <v>45739</v>
      </c>
      <c r="AQ139" s="2" t="s">
        <v>1879</v>
      </c>
      <c r="AR139" s="2" t="s">
        <v>1454</v>
      </c>
    </row>
    <row r="140" customHeight="1" spans="1:44">
      <c r="A140" s="2" t="s">
        <v>680</v>
      </c>
      <c r="B140" s="2" t="s">
        <v>1692</v>
      </c>
      <c r="C140" s="2" t="s">
        <v>1454</v>
      </c>
      <c r="D140" s="2"/>
      <c r="E140" s="2"/>
      <c r="F140" s="2" t="s">
        <v>343</v>
      </c>
      <c r="G140" s="2" t="s">
        <v>1696</v>
      </c>
      <c r="H140" s="3">
        <v>0</v>
      </c>
      <c r="I140" s="3">
        <v>0</v>
      </c>
      <c r="J140" s="3">
        <v>13</v>
      </c>
      <c r="K140" s="3">
        <v>0</v>
      </c>
      <c r="L140" s="3">
        <v>21</v>
      </c>
      <c r="M140" s="3">
        <v>34</v>
      </c>
      <c r="N140" s="3">
        <v>40</v>
      </c>
      <c r="O140" s="46" t="s">
        <v>1941</v>
      </c>
      <c r="P140" s="3">
        <v>2045.415928</v>
      </c>
      <c r="Q140" s="3">
        <v>4451.787608</v>
      </c>
      <c r="R140" s="3">
        <v>3</v>
      </c>
      <c r="S140" s="3">
        <v>7</v>
      </c>
      <c r="T140" s="3">
        <v>7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60.159292</v>
      </c>
      <c r="AA140" s="3">
        <v>421.115044</v>
      </c>
      <c r="AB140" s="3">
        <v>10.57142857</v>
      </c>
      <c r="AC140" s="3">
        <v>4.857142857</v>
      </c>
      <c r="AD140" s="3">
        <v>1.857142857</v>
      </c>
      <c r="AE140" s="3">
        <v>0</v>
      </c>
      <c r="AF140" s="3">
        <v>1.857142857</v>
      </c>
      <c r="AG140" s="3">
        <v>0</v>
      </c>
      <c r="AH140" s="3">
        <v>4.5</v>
      </c>
      <c r="AI140" s="3">
        <v>0</v>
      </c>
      <c r="AJ140" s="3">
        <v>6</v>
      </c>
      <c r="AK140" s="3">
        <v>0</v>
      </c>
      <c r="AL140" s="2" t="s">
        <v>1710</v>
      </c>
      <c r="AM140" s="3">
        <v>0</v>
      </c>
      <c r="AN140" s="3">
        <v>7</v>
      </c>
      <c r="AO140" s="2"/>
      <c r="AP140" s="4">
        <v>46280</v>
      </c>
      <c r="AQ140" s="2" t="s">
        <v>1879</v>
      </c>
      <c r="AR140" s="2" t="s">
        <v>1454</v>
      </c>
    </row>
    <row r="141" customHeight="1" spans="1:44">
      <c r="A141" s="2" t="s">
        <v>395</v>
      </c>
      <c r="B141" s="2" t="s">
        <v>1692</v>
      </c>
      <c r="C141" s="2" t="s">
        <v>1454</v>
      </c>
      <c r="D141" s="2"/>
      <c r="E141" s="2"/>
      <c r="F141" s="2" t="s">
        <v>343</v>
      </c>
      <c r="G141" s="2" t="s">
        <v>1696</v>
      </c>
      <c r="H141" s="3">
        <v>0</v>
      </c>
      <c r="I141" s="3">
        <v>0</v>
      </c>
      <c r="J141" s="3">
        <v>12</v>
      </c>
      <c r="K141" s="3">
        <v>2</v>
      </c>
      <c r="L141" s="3">
        <v>20</v>
      </c>
      <c r="M141" s="3">
        <v>34</v>
      </c>
      <c r="N141" s="3">
        <v>20</v>
      </c>
      <c r="O141" s="46" t="s">
        <v>1077</v>
      </c>
      <c r="P141" s="3">
        <v>2200.371676</v>
      </c>
      <c r="Q141" s="3">
        <v>3494.707956</v>
      </c>
      <c r="R141" s="3">
        <v>0</v>
      </c>
      <c r="S141" s="3">
        <v>0</v>
      </c>
      <c r="T141" s="3">
        <v>0</v>
      </c>
      <c r="U141" s="3">
        <v>4</v>
      </c>
      <c r="V141" s="3">
        <v>1</v>
      </c>
      <c r="W141" s="3">
        <v>0</v>
      </c>
      <c r="X141" s="3">
        <v>20</v>
      </c>
      <c r="Y141" s="3">
        <v>20</v>
      </c>
      <c r="Z141" s="3">
        <v>64.716814</v>
      </c>
      <c r="AA141" s="3">
        <v>0</v>
      </c>
      <c r="AB141" s="3"/>
      <c r="AC141" s="3"/>
      <c r="AD141" s="3"/>
      <c r="AE141" s="3"/>
      <c r="AF141" s="3"/>
      <c r="AG141" s="3"/>
      <c r="AH141" s="3">
        <v>4.5</v>
      </c>
      <c r="AI141" s="3">
        <v>34</v>
      </c>
      <c r="AJ141" s="3">
        <v>6</v>
      </c>
      <c r="AK141" s="3">
        <v>2200.371676</v>
      </c>
      <c r="AL141" s="2" t="s">
        <v>1710</v>
      </c>
      <c r="AM141" s="3">
        <v>0</v>
      </c>
      <c r="AN141" s="3">
        <v>0</v>
      </c>
      <c r="AO141" s="2"/>
      <c r="AP141" s="4">
        <v>46226</v>
      </c>
      <c r="AQ141" s="2" t="s">
        <v>1879</v>
      </c>
      <c r="AR141" s="2" t="s">
        <v>1454</v>
      </c>
    </row>
    <row r="142" customHeight="1" spans="1:44">
      <c r="A142" s="2" t="s">
        <v>371</v>
      </c>
      <c r="B142" s="2" t="s">
        <v>1692</v>
      </c>
      <c r="C142" s="2" t="s">
        <v>1454</v>
      </c>
      <c r="D142" s="2"/>
      <c r="E142" s="2"/>
      <c r="F142" s="2" t="s">
        <v>343</v>
      </c>
      <c r="G142" s="2" t="s">
        <v>1696</v>
      </c>
      <c r="H142" s="3">
        <v>1</v>
      </c>
      <c r="I142" s="3">
        <v>4</v>
      </c>
      <c r="J142" s="3">
        <v>4</v>
      </c>
      <c r="K142" s="3">
        <v>24</v>
      </c>
      <c r="L142" s="3">
        <v>1</v>
      </c>
      <c r="M142" s="3">
        <v>34</v>
      </c>
      <c r="N142" s="3">
        <v>62</v>
      </c>
      <c r="O142" s="46" t="s">
        <v>924</v>
      </c>
      <c r="P142" s="3">
        <v>9142.38937</v>
      </c>
      <c r="Q142" s="3">
        <v>25813.80528</v>
      </c>
      <c r="R142" s="3">
        <v>0</v>
      </c>
      <c r="S142" s="3">
        <v>2</v>
      </c>
      <c r="T142" s="3">
        <v>3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268.893805</v>
      </c>
      <c r="AA142" s="3">
        <v>806.681415</v>
      </c>
      <c r="AB142" s="3">
        <v>32</v>
      </c>
      <c r="AC142" s="3">
        <v>11.33333333</v>
      </c>
      <c r="AD142" s="3">
        <v>11</v>
      </c>
      <c r="AE142" s="3">
        <v>0.333333333</v>
      </c>
      <c r="AF142" s="3">
        <v>1.333333333</v>
      </c>
      <c r="AG142" s="3">
        <v>8</v>
      </c>
      <c r="AH142" s="3">
        <v>4.5</v>
      </c>
      <c r="AI142" s="3">
        <v>16</v>
      </c>
      <c r="AJ142" s="3">
        <v>6</v>
      </c>
      <c r="AK142" s="3">
        <v>4302.30088</v>
      </c>
      <c r="AL142" s="2" t="s">
        <v>1710</v>
      </c>
      <c r="AM142" s="3">
        <v>0</v>
      </c>
      <c r="AN142" s="3">
        <v>3</v>
      </c>
      <c r="AO142" s="4">
        <v>46274</v>
      </c>
      <c r="AP142" s="4">
        <v>46270</v>
      </c>
      <c r="AQ142" s="2" t="s">
        <v>1879</v>
      </c>
      <c r="AR142" s="2" t="s">
        <v>1454</v>
      </c>
    </row>
    <row r="143" customHeight="1" spans="1:44">
      <c r="A143" s="2" t="s">
        <v>205</v>
      </c>
      <c r="B143" s="2" t="s">
        <v>1692</v>
      </c>
      <c r="C143" s="2" t="s">
        <v>1454</v>
      </c>
      <c r="D143" s="2"/>
      <c r="E143" s="2"/>
      <c r="F143" s="2" t="s">
        <v>1880</v>
      </c>
      <c r="G143" s="2" t="s">
        <v>1696</v>
      </c>
      <c r="H143" s="3">
        <v>10</v>
      </c>
      <c r="I143" s="3">
        <v>0</v>
      </c>
      <c r="J143" s="3">
        <v>4</v>
      </c>
      <c r="K143" s="3">
        <v>2</v>
      </c>
      <c r="L143" s="3">
        <v>17</v>
      </c>
      <c r="M143" s="3">
        <v>33</v>
      </c>
      <c r="N143" s="3">
        <v>35</v>
      </c>
      <c r="O143" s="46" t="s">
        <v>1146</v>
      </c>
      <c r="P143" s="3">
        <v>1246.438644</v>
      </c>
      <c r="Q143" s="3">
        <v>2568.419024</v>
      </c>
      <c r="R143" s="3">
        <v>3</v>
      </c>
      <c r="S143" s="3">
        <v>4</v>
      </c>
      <c r="T143" s="3">
        <v>9</v>
      </c>
      <c r="U143" s="3">
        <v>8</v>
      </c>
      <c r="V143" s="3">
        <v>0</v>
      </c>
      <c r="W143" s="3">
        <v>0</v>
      </c>
      <c r="X143" s="3">
        <v>0</v>
      </c>
      <c r="Y143" s="3">
        <v>0</v>
      </c>
      <c r="Z143" s="3">
        <v>37.770868</v>
      </c>
      <c r="AA143" s="3">
        <v>339.937812</v>
      </c>
      <c r="AB143" s="3">
        <v>7.555555556</v>
      </c>
      <c r="AC143" s="3">
        <v>3.666666667</v>
      </c>
      <c r="AD143" s="3">
        <v>1.777777778</v>
      </c>
      <c r="AE143" s="3">
        <v>1.111111111</v>
      </c>
      <c r="AF143" s="3">
        <v>0.444444444</v>
      </c>
      <c r="AG143" s="3">
        <v>0.222222222</v>
      </c>
      <c r="AH143" s="3">
        <v>4.5</v>
      </c>
      <c r="AI143" s="3">
        <v>0</v>
      </c>
      <c r="AJ143" s="3">
        <v>6</v>
      </c>
      <c r="AK143" s="3">
        <v>0</v>
      </c>
      <c r="AL143" s="2" t="s">
        <v>1694</v>
      </c>
      <c r="AM143" s="3">
        <v>5</v>
      </c>
      <c r="AN143" s="3">
        <v>3</v>
      </c>
      <c r="AO143" s="4">
        <v>46206</v>
      </c>
      <c r="AP143" s="4">
        <v>45717</v>
      </c>
      <c r="AQ143" s="2" t="s">
        <v>1879</v>
      </c>
      <c r="AR143" s="2" t="s">
        <v>1454</v>
      </c>
    </row>
    <row r="144" customHeight="1" spans="1:44">
      <c r="A144" s="2" t="s">
        <v>431</v>
      </c>
      <c r="B144" s="2" t="s">
        <v>1692</v>
      </c>
      <c r="C144" s="2" t="s">
        <v>1454</v>
      </c>
      <c r="D144" s="2"/>
      <c r="E144" s="2"/>
      <c r="F144" s="2" t="s">
        <v>343</v>
      </c>
      <c r="G144" s="2" t="s">
        <v>1696</v>
      </c>
      <c r="H144" s="3">
        <v>2</v>
      </c>
      <c r="I144" s="3">
        <v>2</v>
      </c>
      <c r="J144" s="3">
        <v>3</v>
      </c>
      <c r="K144" s="3">
        <v>5</v>
      </c>
      <c r="L144" s="3">
        <v>21</v>
      </c>
      <c r="M144" s="3">
        <v>33</v>
      </c>
      <c r="N144" s="3">
        <v>0</v>
      </c>
      <c r="O144" s="46" t="s">
        <v>816</v>
      </c>
      <c r="P144" s="3">
        <v>1460.177004</v>
      </c>
      <c r="Q144" s="3">
        <v>1460.177004</v>
      </c>
      <c r="R144" s="3">
        <v>5</v>
      </c>
      <c r="S144" s="3">
        <v>6</v>
      </c>
      <c r="T144" s="3">
        <v>8</v>
      </c>
      <c r="U144" s="3">
        <v>2</v>
      </c>
      <c r="V144" s="3">
        <v>0</v>
      </c>
      <c r="W144" s="3">
        <v>0</v>
      </c>
      <c r="X144" s="3">
        <v>20</v>
      </c>
      <c r="Y144" s="3">
        <v>20</v>
      </c>
      <c r="Z144" s="3">
        <v>44.247788</v>
      </c>
      <c r="AA144" s="3">
        <v>353.982304</v>
      </c>
      <c r="AB144" s="3">
        <v>4.125</v>
      </c>
      <c r="AC144" s="3">
        <v>4.125</v>
      </c>
      <c r="AD144" s="3">
        <v>1.5</v>
      </c>
      <c r="AE144" s="3">
        <v>0.25</v>
      </c>
      <c r="AF144" s="3">
        <v>0.375</v>
      </c>
      <c r="AG144" s="3">
        <v>0.625</v>
      </c>
      <c r="AH144" s="3">
        <v>4.5</v>
      </c>
      <c r="AI144" s="3">
        <v>0</v>
      </c>
      <c r="AJ144" s="3">
        <v>6</v>
      </c>
      <c r="AK144" s="3">
        <v>0</v>
      </c>
      <c r="AL144" s="2" t="s">
        <v>1710</v>
      </c>
      <c r="AM144" s="3">
        <v>0</v>
      </c>
      <c r="AN144" s="3">
        <v>8</v>
      </c>
      <c r="AO144" s="4">
        <v>46274</v>
      </c>
      <c r="AP144" s="4">
        <v>46233</v>
      </c>
      <c r="AQ144" s="2" t="s">
        <v>1879</v>
      </c>
      <c r="AR144" s="2" t="s">
        <v>1454</v>
      </c>
    </row>
    <row r="145" customHeight="1" spans="1:44">
      <c r="A145" s="2" t="s">
        <v>521</v>
      </c>
      <c r="B145" s="2" t="s">
        <v>1692</v>
      </c>
      <c r="C145" s="2" t="s">
        <v>1454</v>
      </c>
      <c r="D145" s="2"/>
      <c r="E145" s="2"/>
      <c r="F145" s="2" t="s">
        <v>1885</v>
      </c>
      <c r="G145" s="2" t="s">
        <v>1696</v>
      </c>
      <c r="H145" s="3">
        <v>0</v>
      </c>
      <c r="I145" s="3">
        <v>0</v>
      </c>
      <c r="J145" s="3">
        <v>0</v>
      </c>
      <c r="K145" s="3">
        <v>0</v>
      </c>
      <c r="L145" s="3">
        <v>33</v>
      </c>
      <c r="M145" s="3">
        <v>33</v>
      </c>
      <c r="N145" s="3">
        <v>0</v>
      </c>
      <c r="O145" s="46" t="s">
        <v>816</v>
      </c>
      <c r="P145" s="3">
        <v>1314.159264</v>
      </c>
      <c r="Q145" s="3">
        <v>1314.159264</v>
      </c>
      <c r="R145" s="3">
        <v>0</v>
      </c>
      <c r="S145" s="3">
        <v>0</v>
      </c>
      <c r="T145" s="3">
        <v>0</v>
      </c>
      <c r="U145" s="3">
        <v>3</v>
      </c>
      <c r="V145" s="3">
        <v>2</v>
      </c>
      <c r="W145" s="3">
        <v>0</v>
      </c>
      <c r="X145" s="3">
        <v>0</v>
      </c>
      <c r="Y145" s="3">
        <v>0</v>
      </c>
      <c r="Z145" s="3">
        <v>39.823008</v>
      </c>
      <c r="AA145" s="3">
        <v>0</v>
      </c>
      <c r="AB145" s="3"/>
      <c r="AC145" s="3"/>
      <c r="AD145" s="3"/>
      <c r="AE145" s="3"/>
      <c r="AF145" s="3"/>
      <c r="AG145" s="3"/>
      <c r="AH145" s="3">
        <v>4.5</v>
      </c>
      <c r="AI145" s="3">
        <v>33</v>
      </c>
      <c r="AJ145" s="3">
        <v>6</v>
      </c>
      <c r="AK145" s="3">
        <v>1314.159264</v>
      </c>
      <c r="AL145" s="2" t="s">
        <v>1694</v>
      </c>
      <c r="AM145" s="3">
        <v>0</v>
      </c>
      <c r="AN145" s="3">
        <v>0</v>
      </c>
      <c r="AO145" s="2"/>
      <c r="AP145" s="4">
        <v>45717</v>
      </c>
      <c r="AQ145" s="2" t="s">
        <v>1879</v>
      </c>
      <c r="AR145" s="2" t="s">
        <v>1454</v>
      </c>
    </row>
    <row r="146" customHeight="1" spans="1:44">
      <c r="A146" s="2" t="s">
        <v>590</v>
      </c>
      <c r="B146" s="2" t="s">
        <v>1692</v>
      </c>
      <c r="C146" s="2" t="s">
        <v>1454</v>
      </c>
      <c r="D146" s="2"/>
      <c r="E146" s="2"/>
      <c r="F146" s="2" t="s">
        <v>343</v>
      </c>
      <c r="G146" s="2" t="s">
        <v>1696</v>
      </c>
      <c r="H146" s="3">
        <v>0</v>
      </c>
      <c r="I146" s="3">
        <v>0</v>
      </c>
      <c r="J146" s="3">
        <v>23</v>
      </c>
      <c r="K146" s="3">
        <v>8</v>
      </c>
      <c r="L146" s="3">
        <v>1</v>
      </c>
      <c r="M146" s="3">
        <v>32</v>
      </c>
      <c r="N146" s="3">
        <v>64</v>
      </c>
      <c r="O146" s="46" t="s">
        <v>924</v>
      </c>
      <c r="P146" s="3">
        <v>5979.469024</v>
      </c>
      <c r="Q146" s="3">
        <v>17938.40707</v>
      </c>
      <c r="R146" s="3">
        <v>1</v>
      </c>
      <c r="S146" s="3">
        <v>1</v>
      </c>
      <c r="T146" s="3">
        <v>3</v>
      </c>
      <c r="U146" s="3">
        <v>2</v>
      </c>
      <c r="V146" s="3">
        <v>0</v>
      </c>
      <c r="W146" s="3">
        <v>0</v>
      </c>
      <c r="X146" s="3">
        <v>0</v>
      </c>
      <c r="Y146" s="3">
        <v>0</v>
      </c>
      <c r="Z146" s="3">
        <v>186.858407</v>
      </c>
      <c r="AA146" s="3">
        <v>560.575221</v>
      </c>
      <c r="AB146" s="3">
        <v>32</v>
      </c>
      <c r="AC146" s="3">
        <v>10.66666667</v>
      </c>
      <c r="AD146" s="3">
        <v>10.33333333</v>
      </c>
      <c r="AE146" s="3">
        <v>0</v>
      </c>
      <c r="AF146" s="3">
        <v>7.666666667</v>
      </c>
      <c r="AG146" s="3">
        <v>2.666666667</v>
      </c>
      <c r="AH146" s="3">
        <v>4.5</v>
      </c>
      <c r="AI146" s="3">
        <v>14</v>
      </c>
      <c r="AJ146" s="3">
        <v>6</v>
      </c>
      <c r="AK146" s="3">
        <v>2616.017698</v>
      </c>
      <c r="AL146" s="2" t="s">
        <v>1710</v>
      </c>
      <c r="AM146" s="3">
        <v>0</v>
      </c>
      <c r="AN146" s="3">
        <v>3</v>
      </c>
      <c r="AO146" s="2"/>
      <c r="AP146" s="4">
        <v>46233</v>
      </c>
      <c r="AQ146" s="2" t="s">
        <v>1879</v>
      </c>
      <c r="AR146" s="2" t="s">
        <v>1454</v>
      </c>
    </row>
    <row r="147" customHeight="1" spans="1:44">
      <c r="A147" s="2" t="s">
        <v>328</v>
      </c>
      <c r="B147" s="2" t="s">
        <v>1692</v>
      </c>
      <c r="C147" s="2" t="s">
        <v>1454</v>
      </c>
      <c r="D147" s="2"/>
      <c r="E147" s="2"/>
      <c r="F147" s="2" t="s">
        <v>1924</v>
      </c>
      <c r="G147" s="2" t="s">
        <v>1696</v>
      </c>
      <c r="H147" s="3">
        <v>10</v>
      </c>
      <c r="I147" s="3">
        <v>0</v>
      </c>
      <c r="J147" s="3">
        <v>3</v>
      </c>
      <c r="K147" s="3">
        <v>10</v>
      </c>
      <c r="L147" s="3">
        <v>9</v>
      </c>
      <c r="M147" s="3">
        <v>32</v>
      </c>
      <c r="N147" s="3">
        <v>0</v>
      </c>
      <c r="O147" s="46" t="s">
        <v>1115</v>
      </c>
      <c r="P147" s="3">
        <v>3518.191648</v>
      </c>
      <c r="Q147" s="3">
        <v>3518.191648</v>
      </c>
      <c r="R147" s="3">
        <v>1</v>
      </c>
      <c r="S147" s="3">
        <v>2</v>
      </c>
      <c r="T147" s="3">
        <v>5</v>
      </c>
      <c r="U147" s="3">
        <v>7</v>
      </c>
      <c r="V147" s="3">
        <v>5</v>
      </c>
      <c r="W147" s="3">
        <v>0</v>
      </c>
      <c r="X147" s="3">
        <v>0</v>
      </c>
      <c r="Y147" s="3">
        <v>0</v>
      </c>
      <c r="Z147" s="3">
        <v>109.943489</v>
      </c>
      <c r="AA147" s="3">
        <v>549.717445</v>
      </c>
      <c r="AB147" s="3">
        <v>6.4</v>
      </c>
      <c r="AC147" s="3">
        <v>6.4</v>
      </c>
      <c r="AD147" s="3">
        <v>4.6</v>
      </c>
      <c r="AE147" s="3">
        <v>2</v>
      </c>
      <c r="AF147" s="3">
        <v>0.6</v>
      </c>
      <c r="AG147" s="3">
        <v>2</v>
      </c>
      <c r="AH147" s="3">
        <v>4.5</v>
      </c>
      <c r="AI147" s="3">
        <v>2</v>
      </c>
      <c r="AJ147" s="3">
        <v>6</v>
      </c>
      <c r="AK147" s="3">
        <v>219.886978</v>
      </c>
      <c r="AL147" s="2" t="s">
        <v>1694</v>
      </c>
      <c r="AM147" s="3">
        <v>1</v>
      </c>
      <c r="AN147" s="3">
        <v>4</v>
      </c>
      <c r="AO147" s="4">
        <v>45368</v>
      </c>
      <c r="AP147" s="4">
        <v>45351</v>
      </c>
      <c r="AQ147" s="2" t="s">
        <v>1879</v>
      </c>
      <c r="AR147" s="2" t="s">
        <v>1454</v>
      </c>
    </row>
    <row r="148" customHeight="1" spans="1:44">
      <c r="A148" s="2" t="s">
        <v>428</v>
      </c>
      <c r="B148" s="2" t="s">
        <v>1692</v>
      </c>
      <c r="C148" s="2" t="s">
        <v>1454</v>
      </c>
      <c r="D148" s="2"/>
      <c r="E148" s="2"/>
      <c r="F148" s="2" t="s">
        <v>343</v>
      </c>
      <c r="G148" s="2" t="s">
        <v>1696</v>
      </c>
      <c r="H148" s="3">
        <v>0</v>
      </c>
      <c r="I148" s="3">
        <v>9</v>
      </c>
      <c r="J148" s="3">
        <v>0</v>
      </c>
      <c r="K148" s="3">
        <v>2</v>
      </c>
      <c r="L148" s="3">
        <v>21</v>
      </c>
      <c r="M148" s="3">
        <v>32</v>
      </c>
      <c r="N148" s="3">
        <v>0</v>
      </c>
      <c r="O148" s="46" t="s">
        <v>1115</v>
      </c>
      <c r="P148" s="3">
        <v>1330.97344</v>
      </c>
      <c r="Q148" s="3">
        <v>1330.97344</v>
      </c>
      <c r="R148" s="3">
        <v>1</v>
      </c>
      <c r="S148" s="3">
        <v>2</v>
      </c>
      <c r="T148" s="3">
        <v>5</v>
      </c>
      <c r="U148" s="3">
        <v>2</v>
      </c>
      <c r="V148" s="3">
        <v>1</v>
      </c>
      <c r="W148" s="3">
        <v>20</v>
      </c>
      <c r="X148" s="3">
        <v>20</v>
      </c>
      <c r="Y148" s="3">
        <v>20</v>
      </c>
      <c r="Z148" s="3">
        <v>41.59292</v>
      </c>
      <c r="AA148" s="3">
        <v>207.9646</v>
      </c>
      <c r="AB148" s="3">
        <v>6.4</v>
      </c>
      <c r="AC148" s="3">
        <v>6.4</v>
      </c>
      <c r="AD148" s="3">
        <v>2.2</v>
      </c>
      <c r="AE148" s="3">
        <v>0</v>
      </c>
      <c r="AF148" s="3">
        <v>0</v>
      </c>
      <c r="AG148" s="3">
        <v>0.4</v>
      </c>
      <c r="AH148" s="3">
        <v>4.5</v>
      </c>
      <c r="AI148" s="3">
        <v>2</v>
      </c>
      <c r="AJ148" s="3">
        <v>6</v>
      </c>
      <c r="AK148" s="3">
        <v>83.18584</v>
      </c>
      <c r="AL148" s="2" t="s">
        <v>1710</v>
      </c>
      <c r="AM148" s="3">
        <v>0</v>
      </c>
      <c r="AN148" s="3">
        <v>5</v>
      </c>
      <c r="AO148" s="2"/>
      <c r="AP148" s="4">
        <v>46233</v>
      </c>
      <c r="AQ148" s="2" t="s">
        <v>1879</v>
      </c>
      <c r="AR148" s="2" t="s">
        <v>1454</v>
      </c>
    </row>
    <row r="149" customHeight="1" spans="1:44">
      <c r="A149" s="2" t="s">
        <v>386</v>
      </c>
      <c r="B149" s="2" t="s">
        <v>1692</v>
      </c>
      <c r="C149" s="2" t="s">
        <v>1454</v>
      </c>
      <c r="D149" s="2"/>
      <c r="E149" s="2"/>
      <c r="F149" s="2" t="s">
        <v>343</v>
      </c>
      <c r="G149" s="2" t="s">
        <v>1696</v>
      </c>
      <c r="H149" s="3">
        <v>0</v>
      </c>
      <c r="I149" s="3">
        <v>0</v>
      </c>
      <c r="J149" s="3">
        <v>20</v>
      </c>
      <c r="K149" s="3">
        <v>10</v>
      </c>
      <c r="L149" s="3">
        <v>1</v>
      </c>
      <c r="M149" s="3">
        <v>31</v>
      </c>
      <c r="N149" s="3">
        <v>20</v>
      </c>
      <c r="O149" s="46" t="s">
        <v>919</v>
      </c>
      <c r="P149" s="3">
        <v>2673.132759</v>
      </c>
      <c r="Q149" s="3">
        <v>4397.734539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86.230089</v>
      </c>
      <c r="AA149" s="3">
        <v>0</v>
      </c>
      <c r="AB149" s="3"/>
      <c r="AC149" s="3"/>
      <c r="AD149" s="3"/>
      <c r="AE149" s="3"/>
      <c r="AF149" s="3"/>
      <c r="AG149" s="3"/>
      <c r="AH149" s="3">
        <v>4.5</v>
      </c>
      <c r="AI149" s="3">
        <v>31</v>
      </c>
      <c r="AJ149" s="3">
        <v>6</v>
      </c>
      <c r="AK149" s="3">
        <v>2673.132759</v>
      </c>
      <c r="AL149" s="2" t="s">
        <v>1710</v>
      </c>
      <c r="AM149" s="3">
        <v>0</v>
      </c>
      <c r="AN149" s="3">
        <v>0</v>
      </c>
      <c r="AO149" s="2"/>
      <c r="AP149" s="4">
        <v>46280</v>
      </c>
      <c r="AQ149" s="2" t="s">
        <v>1879</v>
      </c>
      <c r="AR149" s="2" t="s">
        <v>1454</v>
      </c>
    </row>
    <row r="150" customHeight="1" spans="1:44">
      <c r="A150" s="2" t="s">
        <v>85</v>
      </c>
      <c r="B150" s="2" t="s">
        <v>1692</v>
      </c>
      <c r="C150" s="2" t="s">
        <v>1454</v>
      </c>
      <c r="D150" s="2"/>
      <c r="E150" s="2"/>
      <c r="F150" s="2" t="s">
        <v>1880</v>
      </c>
      <c r="G150" s="2" t="s">
        <v>1696</v>
      </c>
      <c r="H150" s="3">
        <v>1</v>
      </c>
      <c r="I150" s="3">
        <v>0</v>
      </c>
      <c r="J150" s="3">
        <v>16</v>
      </c>
      <c r="K150" s="3">
        <v>14</v>
      </c>
      <c r="L150" s="3">
        <v>0</v>
      </c>
      <c r="M150" s="3">
        <v>31</v>
      </c>
      <c r="N150" s="3">
        <v>64</v>
      </c>
      <c r="O150" s="46" t="s">
        <v>764</v>
      </c>
      <c r="P150" s="3">
        <v>3292.40088</v>
      </c>
      <c r="Q150" s="3">
        <v>10089.6156</v>
      </c>
      <c r="R150" s="3">
        <v>0</v>
      </c>
      <c r="S150" s="3">
        <v>3</v>
      </c>
      <c r="T150" s="3">
        <v>12</v>
      </c>
      <c r="U150" s="3">
        <v>12</v>
      </c>
      <c r="V150" s="3">
        <v>3</v>
      </c>
      <c r="W150" s="3">
        <v>0</v>
      </c>
      <c r="X150" s="3">
        <v>0</v>
      </c>
      <c r="Y150" s="3">
        <v>0</v>
      </c>
      <c r="Z150" s="3">
        <v>106.20648</v>
      </c>
      <c r="AA150" s="3">
        <v>1274.47776</v>
      </c>
      <c r="AB150" s="3">
        <v>7.916666667</v>
      </c>
      <c r="AC150" s="3">
        <v>2.583333333</v>
      </c>
      <c r="AD150" s="3">
        <v>2.583333333</v>
      </c>
      <c r="AE150" s="3">
        <v>0.083333333</v>
      </c>
      <c r="AF150" s="3">
        <v>1.333333333</v>
      </c>
      <c r="AG150" s="3">
        <v>1.166666667</v>
      </c>
      <c r="AH150" s="3">
        <v>4.5</v>
      </c>
      <c r="AI150" s="3">
        <v>0</v>
      </c>
      <c r="AJ150" s="3">
        <v>6</v>
      </c>
      <c r="AK150" s="3">
        <v>0</v>
      </c>
      <c r="AL150" s="2" t="s">
        <v>1694</v>
      </c>
      <c r="AM150" s="3">
        <v>10</v>
      </c>
      <c r="AN150" s="3">
        <v>2</v>
      </c>
      <c r="AO150" s="4">
        <v>46206</v>
      </c>
      <c r="AP150" s="4">
        <v>45765</v>
      </c>
      <c r="AQ150" s="2" t="s">
        <v>1879</v>
      </c>
      <c r="AR150" s="2" t="s">
        <v>1454</v>
      </c>
    </row>
    <row r="151" customHeight="1" spans="1:44">
      <c r="A151" s="2" t="s">
        <v>148</v>
      </c>
      <c r="B151" s="2" t="s">
        <v>1692</v>
      </c>
      <c r="C151" s="2" t="s">
        <v>1454</v>
      </c>
      <c r="D151" s="2"/>
      <c r="E151" s="2"/>
      <c r="F151" s="2" t="s">
        <v>1880</v>
      </c>
      <c r="G151" s="2" t="s">
        <v>1696</v>
      </c>
      <c r="H151" s="3">
        <v>2</v>
      </c>
      <c r="I151" s="3">
        <v>11</v>
      </c>
      <c r="J151" s="3">
        <v>0</v>
      </c>
      <c r="K151" s="3">
        <v>8</v>
      </c>
      <c r="L151" s="3">
        <v>9</v>
      </c>
      <c r="M151" s="3">
        <v>30</v>
      </c>
      <c r="N151" s="3">
        <v>86</v>
      </c>
      <c r="O151" s="46" t="s">
        <v>1942</v>
      </c>
      <c r="P151" s="3">
        <v>3095.93919</v>
      </c>
      <c r="Q151" s="3">
        <v>11970.96487</v>
      </c>
      <c r="R151" s="3">
        <v>2</v>
      </c>
      <c r="S151" s="3">
        <v>3</v>
      </c>
      <c r="T151" s="3">
        <v>5</v>
      </c>
      <c r="U151" s="3">
        <v>17</v>
      </c>
      <c r="V151" s="3">
        <v>23</v>
      </c>
      <c r="W151" s="3">
        <v>0</v>
      </c>
      <c r="X151" s="3">
        <v>0</v>
      </c>
      <c r="Y151" s="3">
        <v>0</v>
      </c>
      <c r="Z151" s="3">
        <v>103.197973</v>
      </c>
      <c r="AA151" s="3">
        <v>515.989865</v>
      </c>
      <c r="AB151" s="3">
        <v>23.2</v>
      </c>
      <c r="AC151" s="3">
        <v>6</v>
      </c>
      <c r="AD151" s="3">
        <v>4.2</v>
      </c>
      <c r="AE151" s="3">
        <v>0.4</v>
      </c>
      <c r="AF151" s="3">
        <v>0</v>
      </c>
      <c r="AG151" s="3">
        <v>1.6</v>
      </c>
      <c r="AH151" s="3">
        <v>4.5</v>
      </c>
      <c r="AI151" s="3">
        <v>0</v>
      </c>
      <c r="AJ151" s="3">
        <v>6</v>
      </c>
      <c r="AK151" s="3">
        <v>0</v>
      </c>
      <c r="AL151" s="2" t="s">
        <v>1694</v>
      </c>
      <c r="AM151" s="3">
        <v>3</v>
      </c>
      <c r="AN151" s="3">
        <v>0</v>
      </c>
      <c r="AO151" s="4">
        <v>46206</v>
      </c>
      <c r="AP151" s="4">
        <v>45696</v>
      </c>
      <c r="AQ151" s="2" t="s">
        <v>1879</v>
      </c>
      <c r="AR151" s="2" t="s">
        <v>1454</v>
      </c>
    </row>
    <row r="152" customHeight="1" spans="1:44">
      <c r="A152" s="2" t="s">
        <v>57</v>
      </c>
      <c r="B152" s="2" t="s">
        <v>1692</v>
      </c>
      <c r="C152" s="2" t="s">
        <v>1454</v>
      </c>
      <c r="D152" s="2"/>
      <c r="E152" s="2"/>
      <c r="F152" s="2" t="s">
        <v>1885</v>
      </c>
      <c r="G152" s="2" t="s">
        <v>1696</v>
      </c>
      <c r="H152" s="3">
        <v>21</v>
      </c>
      <c r="I152" s="3">
        <v>0</v>
      </c>
      <c r="J152" s="3">
        <v>8</v>
      </c>
      <c r="K152" s="3">
        <v>0</v>
      </c>
      <c r="L152" s="3">
        <v>1</v>
      </c>
      <c r="M152" s="3">
        <v>30</v>
      </c>
      <c r="N152" s="3">
        <v>60</v>
      </c>
      <c r="O152" s="46" t="s">
        <v>1943</v>
      </c>
      <c r="P152" s="3">
        <v>1353.98229</v>
      </c>
      <c r="Q152" s="3">
        <v>4061.94687</v>
      </c>
      <c r="R152" s="3">
        <v>1</v>
      </c>
      <c r="S152" s="3">
        <v>3</v>
      </c>
      <c r="T152" s="3">
        <v>7</v>
      </c>
      <c r="U152" s="3">
        <v>15</v>
      </c>
      <c r="V152" s="3">
        <v>6</v>
      </c>
      <c r="W152" s="3">
        <v>0</v>
      </c>
      <c r="X152" s="3">
        <v>0</v>
      </c>
      <c r="Y152" s="3">
        <v>0</v>
      </c>
      <c r="Z152" s="3">
        <v>45.132743</v>
      </c>
      <c r="AA152" s="3">
        <v>315.929201</v>
      </c>
      <c r="AB152" s="3">
        <v>12.85714286</v>
      </c>
      <c r="AC152" s="3">
        <v>4.285714286</v>
      </c>
      <c r="AD152" s="3">
        <v>4.142857143</v>
      </c>
      <c r="AE152" s="3">
        <v>3</v>
      </c>
      <c r="AF152" s="3">
        <v>1.142857143</v>
      </c>
      <c r="AG152" s="3">
        <v>0</v>
      </c>
      <c r="AH152" s="3">
        <v>4.5</v>
      </c>
      <c r="AI152" s="3">
        <v>0</v>
      </c>
      <c r="AJ152" s="3">
        <v>6</v>
      </c>
      <c r="AK152" s="3">
        <v>0</v>
      </c>
      <c r="AL152" s="2" t="s">
        <v>1694</v>
      </c>
      <c r="AM152" s="3">
        <v>6</v>
      </c>
      <c r="AN152" s="3">
        <v>1</v>
      </c>
      <c r="AO152" s="4">
        <v>46054</v>
      </c>
      <c r="AP152" s="4">
        <v>45696</v>
      </c>
      <c r="AQ152" s="2" t="s">
        <v>1879</v>
      </c>
      <c r="AR152" s="2" t="s">
        <v>1454</v>
      </c>
    </row>
    <row r="153" customHeight="1" spans="1:44">
      <c r="A153" s="2" t="s">
        <v>103</v>
      </c>
      <c r="B153" s="2" t="s">
        <v>1692</v>
      </c>
      <c r="C153" s="2" t="s">
        <v>1454</v>
      </c>
      <c r="D153" s="2"/>
      <c r="E153" s="2"/>
      <c r="F153" s="2" t="s">
        <v>1885</v>
      </c>
      <c r="G153" s="2" t="s">
        <v>1696</v>
      </c>
      <c r="H153" s="3">
        <v>6</v>
      </c>
      <c r="I153" s="3">
        <v>0</v>
      </c>
      <c r="J153" s="3">
        <v>4</v>
      </c>
      <c r="K153" s="3">
        <v>8</v>
      </c>
      <c r="L153" s="3">
        <v>12</v>
      </c>
      <c r="M153" s="3">
        <v>30</v>
      </c>
      <c r="N153" s="3">
        <v>14</v>
      </c>
      <c r="O153" s="46" t="s">
        <v>807</v>
      </c>
      <c r="P153" s="3">
        <v>5467.36725</v>
      </c>
      <c r="Q153" s="3">
        <v>8018.8053</v>
      </c>
      <c r="R153" s="3">
        <v>2</v>
      </c>
      <c r="S153" s="3">
        <v>3</v>
      </c>
      <c r="T153" s="3">
        <v>6</v>
      </c>
      <c r="U153" s="3">
        <v>4</v>
      </c>
      <c r="V153" s="3">
        <v>5</v>
      </c>
      <c r="W153" s="3">
        <v>0</v>
      </c>
      <c r="X153" s="3">
        <v>20</v>
      </c>
      <c r="Y153" s="3">
        <v>20</v>
      </c>
      <c r="Z153" s="3">
        <v>182.245575</v>
      </c>
      <c r="AA153" s="3">
        <v>1093.47345</v>
      </c>
      <c r="AB153" s="3">
        <v>7.333333333</v>
      </c>
      <c r="AC153" s="3">
        <v>5</v>
      </c>
      <c r="AD153" s="3">
        <v>3</v>
      </c>
      <c r="AE153" s="3">
        <v>1</v>
      </c>
      <c r="AF153" s="3">
        <v>0.666666667</v>
      </c>
      <c r="AG153" s="3">
        <v>1.333333333</v>
      </c>
      <c r="AH153" s="3">
        <v>4.5</v>
      </c>
      <c r="AI153" s="3">
        <v>0</v>
      </c>
      <c r="AJ153" s="3">
        <v>6</v>
      </c>
      <c r="AK153" s="3">
        <v>0</v>
      </c>
      <c r="AL153" s="2" t="s">
        <v>1694</v>
      </c>
      <c r="AM153" s="3">
        <v>0</v>
      </c>
      <c r="AN153" s="3">
        <v>6</v>
      </c>
      <c r="AO153" s="4">
        <v>46296</v>
      </c>
      <c r="AP153" s="4">
        <v>45753</v>
      </c>
      <c r="AQ153" s="2" t="s">
        <v>1879</v>
      </c>
      <c r="AR153" s="2" t="s">
        <v>1454</v>
      </c>
    </row>
    <row r="154" customHeight="1" spans="1:44">
      <c r="A154" s="2" t="s">
        <v>443</v>
      </c>
      <c r="B154" s="2" t="s">
        <v>1692</v>
      </c>
      <c r="C154" s="2" t="s">
        <v>1454</v>
      </c>
      <c r="D154" s="2"/>
      <c r="E154" s="2"/>
      <c r="F154" s="2" t="s">
        <v>343</v>
      </c>
      <c r="G154" s="2" t="s">
        <v>1696</v>
      </c>
      <c r="H154" s="3">
        <v>0</v>
      </c>
      <c r="I154" s="3">
        <v>0</v>
      </c>
      <c r="J154" s="3">
        <v>12</v>
      </c>
      <c r="K154" s="3">
        <v>8</v>
      </c>
      <c r="L154" s="3">
        <v>9</v>
      </c>
      <c r="M154" s="3">
        <v>29</v>
      </c>
      <c r="N154" s="3">
        <v>20</v>
      </c>
      <c r="O154" s="46" t="s">
        <v>1157</v>
      </c>
      <c r="P154" s="3">
        <v>1453.849547</v>
      </c>
      <c r="Q154" s="3">
        <v>2456.504407</v>
      </c>
      <c r="R154" s="3">
        <v>3</v>
      </c>
      <c r="S154" s="3">
        <v>5</v>
      </c>
      <c r="T154" s="3">
        <v>6</v>
      </c>
      <c r="U154" s="3">
        <v>4</v>
      </c>
      <c r="V154" s="3">
        <v>2</v>
      </c>
      <c r="W154" s="3">
        <v>0</v>
      </c>
      <c r="X154" s="3">
        <v>0</v>
      </c>
      <c r="Y154" s="3">
        <v>0</v>
      </c>
      <c r="Z154" s="3">
        <v>50.132743</v>
      </c>
      <c r="AA154" s="3">
        <v>300.796458</v>
      </c>
      <c r="AB154" s="3">
        <v>8.166666667</v>
      </c>
      <c r="AC154" s="3">
        <v>4.833333333</v>
      </c>
      <c r="AD154" s="3">
        <v>3.333333333</v>
      </c>
      <c r="AE154" s="3">
        <v>0</v>
      </c>
      <c r="AF154" s="3">
        <v>2</v>
      </c>
      <c r="AG154" s="3">
        <v>1.333333333</v>
      </c>
      <c r="AH154" s="3">
        <v>4.5</v>
      </c>
      <c r="AI154" s="3">
        <v>0</v>
      </c>
      <c r="AJ154" s="3">
        <v>6</v>
      </c>
      <c r="AK154" s="3">
        <v>0</v>
      </c>
      <c r="AL154" s="2" t="s">
        <v>1710</v>
      </c>
      <c r="AM154" s="3">
        <v>0</v>
      </c>
      <c r="AN154" s="3">
        <v>6</v>
      </c>
      <c r="AO154" s="2"/>
      <c r="AP154" s="4">
        <v>46203</v>
      </c>
      <c r="AQ154" s="2" t="s">
        <v>1879</v>
      </c>
      <c r="AR154" s="2" t="s">
        <v>1454</v>
      </c>
    </row>
    <row r="155" customHeight="1" spans="1:44">
      <c r="A155" s="2" t="s">
        <v>383</v>
      </c>
      <c r="B155" s="2" t="s">
        <v>1692</v>
      </c>
      <c r="C155" s="2" t="s">
        <v>1454</v>
      </c>
      <c r="D155" s="2"/>
      <c r="E155" s="2"/>
      <c r="F155" s="2" t="s">
        <v>1885</v>
      </c>
      <c r="G155" s="2" t="s">
        <v>1696</v>
      </c>
      <c r="H155" s="3">
        <v>0</v>
      </c>
      <c r="I155" s="3">
        <v>0</v>
      </c>
      <c r="J155" s="3">
        <v>28</v>
      </c>
      <c r="K155" s="3">
        <v>0</v>
      </c>
      <c r="L155" s="3">
        <v>1</v>
      </c>
      <c r="M155" s="3">
        <v>29</v>
      </c>
      <c r="N155" s="3">
        <v>20</v>
      </c>
      <c r="O155" s="46" t="s">
        <v>1157</v>
      </c>
      <c r="P155" s="3">
        <v>1586.017685</v>
      </c>
      <c r="Q155" s="3">
        <v>2679.822985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54.690265</v>
      </c>
      <c r="AA155" s="3">
        <v>0</v>
      </c>
      <c r="AB155" s="3"/>
      <c r="AC155" s="3"/>
      <c r="AD155" s="3"/>
      <c r="AE155" s="3"/>
      <c r="AF155" s="3"/>
      <c r="AG155" s="3"/>
      <c r="AH155" s="3">
        <v>4.5</v>
      </c>
      <c r="AI155" s="3">
        <v>29</v>
      </c>
      <c r="AJ155" s="3">
        <v>6</v>
      </c>
      <c r="AK155" s="3">
        <v>1586.017685</v>
      </c>
      <c r="AL155" s="2" t="s">
        <v>1710</v>
      </c>
      <c r="AM155" s="3">
        <v>0</v>
      </c>
      <c r="AN155" s="3">
        <v>0</v>
      </c>
      <c r="AO155" s="2"/>
      <c r="AP155" s="4">
        <v>46232</v>
      </c>
      <c r="AQ155" s="2" t="s">
        <v>1879</v>
      </c>
      <c r="AR155" s="2" t="s">
        <v>1454</v>
      </c>
    </row>
    <row r="156" customHeight="1" spans="1:44">
      <c r="A156" s="2" t="s">
        <v>458</v>
      </c>
      <c r="B156" s="2" t="s">
        <v>1692</v>
      </c>
      <c r="C156" s="2" t="s">
        <v>1454</v>
      </c>
      <c r="D156" s="2"/>
      <c r="E156" s="2"/>
      <c r="F156" s="2" t="s">
        <v>343</v>
      </c>
      <c r="G156" s="2" t="s">
        <v>1696</v>
      </c>
      <c r="H156" s="3">
        <v>18</v>
      </c>
      <c r="I156" s="3">
        <v>0</v>
      </c>
      <c r="J156" s="3">
        <v>1</v>
      </c>
      <c r="K156" s="3">
        <v>0</v>
      </c>
      <c r="L156" s="3">
        <v>9</v>
      </c>
      <c r="M156" s="3">
        <v>28</v>
      </c>
      <c r="N156" s="3">
        <v>88</v>
      </c>
      <c r="O156" s="46" t="s">
        <v>1942</v>
      </c>
      <c r="P156" s="3">
        <v>2756.389384</v>
      </c>
      <c r="Q156" s="3">
        <v>11419.32745</v>
      </c>
      <c r="R156" s="3">
        <v>2</v>
      </c>
      <c r="S156" s="3">
        <v>3</v>
      </c>
      <c r="T156" s="3">
        <v>10</v>
      </c>
      <c r="U156" s="3">
        <v>1</v>
      </c>
      <c r="V156" s="3">
        <v>0</v>
      </c>
      <c r="W156" s="3">
        <v>0</v>
      </c>
      <c r="X156" s="3">
        <v>0</v>
      </c>
      <c r="Y156" s="3">
        <v>0</v>
      </c>
      <c r="Z156" s="3">
        <v>98.442478</v>
      </c>
      <c r="AA156" s="3">
        <v>984.42478</v>
      </c>
      <c r="AB156" s="3">
        <v>11.6</v>
      </c>
      <c r="AC156" s="3">
        <v>2.8</v>
      </c>
      <c r="AD156" s="3">
        <v>1.9</v>
      </c>
      <c r="AE156" s="3">
        <v>1.8</v>
      </c>
      <c r="AF156" s="3">
        <v>0.1</v>
      </c>
      <c r="AG156" s="3">
        <v>0</v>
      </c>
      <c r="AH156" s="3">
        <v>4.5</v>
      </c>
      <c r="AI156" s="3">
        <v>0</v>
      </c>
      <c r="AJ156" s="3">
        <v>6</v>
      </c>
      <c r="AK156" s="3">
        <v>0</v>
      </c>
      <c r="AL156" s="2" t="s">
        <v>1710</v>
      </c>
      <c r="AM156" s="3">
        <v>4</v>
      </c>
      <c r="AN156" s="3">
        <v>6</v>
      </c>
      <c r="AO156" s="4">
        <v>46268</v>
      </c>
      <c r="AP156" s="4">
        <v>46277</v>
      </c>
      <c r="AQ156" s="2" t="s">
        <v>1879</v>
      </c>
      <c r="AR156" s="2" t="s">
        <v>1454</v>
      </c>
    </row>
    <row r="157" customHeight="1" spans="1:44">
      <c r="A157" s="2" t="s">
        <v>533</v>
      </c>
      <c r="B157" s="2" t="s">
        <v>1692</v>
      </c>
      <c r="C157" s="2" t="s">
        <v>1454</v>
      </c>
      <c r="D157" s="2"/>
      <c r="E157" s="2"/>
      <c r="F157" s="2" t="s">
        <v>1885</v>
      </c>
      <c r="G157" s="2" t="s">
        <v>1696</v>
      </c>
      <c r="H157" s="3">
        <v>0</v>
      </c>
      <c r="I157" s="3">
        <v>0</v>
      </c>
      <c r="J157" s="3">
        <v>13</v>
      </c>
      <c r="K157" s="3">
        <v>4</v>
      </c>
      <c r="L157" s="3">
        <v>10</v>
      </c>
      <c r="M157" s="3">
        <v>27</v>
      </c>
      <c r="N157" s="3">
        <v>0</v>
      </c>
      <c r="O157" s="46" t="s">
        <v>754</v>
      </c>
      <c r="P157" s="3">
        <v>1117.035387</v>
      </c>
      <c r="Q157" s="3">
        <v>1117.035387</v>
      </c>
      <c r="R157" s="3">
        <v>0</v>
      </c>
      <c r="S157" s="3">
        <v>0</v>
      </c>
      <c r="T157" s="3">
        <v>0</v>
      </c>
      <c r="U157" s="3">
        <v>0</v>
      </c>
      <c r="V157" s="3">
        <v>1</v>
      </c>
      <c r="W157" s="3">
        <v>0</v>
      </c>
      <c r="X157" s="3">
        <v>0</v>
      </c>
      <c r="Y157" s="3">
        <v>0</v>
      </c>
      <c r="Z157" s="3">
        <v>41.371681</v>
      </c>
      <c r="AA157" s="3">
        <v>0</v>
      </c>
      <c r="AB157" s="3"/>
      <c r="AC157" s="3"/>
      <c r="AD157" s="3"/>
      <c r="AE157" s="3"/>
      <c r="AF157" s="3"/>
      <c r="AG157" s="3"/>
      <c r="AH157" s="3">
        <v>4.5</v>
      </c>
      <c r="AI157" s="3">
        <v>27</v>
      </c>
      <c r="AJ157" s="3">
        <v>6</v>
      </c>
      <c r="AK157" s="3">
        <v>1117.035387</v>
      </c>
      <c r="AL157" s="2" t="s">
        <v>1694</v>
      </c>
      <c r="AM157" s="3">
        <v>0</v>
      </c>
      <c r="AN157" s="3">
        <v>0</v>
      </c>
      <c r="AO157" s="2"/>
      <c r="AP157" s="4">
        <v>45758</v>
      </c>
      <c r="AQ157" s="2" t="s">
        <v>1879</v>
      </c>
      <c r="AR157" s="2" t="s">
        <v>1454</v>
      </c>
    </row>
    <row r="158" customHeight="1" spans="1:44">
      <c r="A158" s="2" t="s">
        <v>527</v>
      </c>
      <c r="B158" s="2" t="s">
        <v>1692</v>
      </c>
      <c r="C158" s="2" t="s">
        <v>1454</v>
      </c>
      <c r="D158" s="2"/>
      <c r="E158" s="2"/>
      <c r="F158" s="2" t="s">
        <v>1885</v>
      </c>
      <c r="G158" s="2" t="s">
        <v>1696</v>
      </c>
      <c r="H158" s="3">
        <v>0</v>
      </c>
      <c r="I158" s="3">
        <v>0</v>
      </c>
      <c r="J158" s="3">
        <v>11</v>
      </c>
      <c r="K158" s="3">
        <v>8</v>
      </c>
      <c r="L158" s="3">
        <v>8</v>
      </c>
      <c r="M158" s="3">
        <v>27</v>
      </c>
      <c r="N158" s="3">
        <v>0</v>
      </c>
      <c r="O158" s="46" t="s">
        <v>754</v>
      </c>
      <c r="P158" s="3">
        <v>1750.075551</v>
      </c>
      <c r="Q158" s="3">
        <v>1750.075551</v>
      </c>
      <c r="R158" s="3">
        <v>0</v>
      </c>
      <c r="S158" s="3">
        <v>0</v>
      </c>
      <c r="T158" s="3">
        <v>0</v>
      </c>
      <c r="U158" s="3">
        <v>1</v>
      </c>
      <c r="V158" s="3">
        <v>1</v>
      </c>
      <c r="W158" s="3">
        <v>0</v>
      </c>
      <c r="X158" s="3">
        <v>0</v>
      </c>
      <c r="Y158" s="3">
        <v>0</v>
      </c>
      <c r="Z158" s="3">
        <v>64.817613</v>
      </c>
      <c r="AA158" s="3">
        <v>0</v>
      </c>
      <c r="AB158" s="3"/>
      <c r="AC158" s="3"/>
      <c r="AD158" s="3"/>
      <c r="AE158" s="3"/>
      <c r="AF158" s="3"/>
      <c r="AG158" s="3"/>
      <c r="AH158" s="3">
        <v>4.5</v>
      </c>
      <c r="AI158" s="3">
        <v>27</v>
      </c>
      <c r="AJ158" s="3">
        <v>6</v>
      </c>
      <c r="AK158" s="3">
        <v>1750.075551</v>
      </c>
      <c r="AL158" s="2" t="s">
        <v>1694</v>
      </c>
      <c r="AM158" s="3">
        <v>0</v>
      </c>
      <c r="AN158" s="3">
        <v>0</v>
      </c>
      <c r="AO158" s="2"/>
      <c r="AP158" s="4">
        <v>45760</v>
      </c>
      <c r="AQ158" s="2" t="s">
        <v>1879</v>
      </c>
      <c r="AR158" s="2" t="s">
        <v>1454</v>
      </c>
    </row>
    <row r="159" customHeight="1" spans="1:44">
      <c r="A159" s="2" t="s">
        <v>422</v>
      </c>
      <c r="B159" s="2" t="s">
        <v>1692</v>
      </c>
      <c r="C159" s="2" t="s">
        <v>1454</v>
      </c>
      <c r="D159" s="2"/>
      <c r="E159" s="2"/>
      <c r="F159" s="2" t="s">
        <v>343</v>
      </c>
      <c r="G159" s="2" t="s">
        <v>1696</v>
      </c>
      <c r="H159" s="3">
        <v>6</v>
      </c>
      <c r="I159" s="3">
        <v>6</v>
      </c>
      <c r="J159" s="3">
        <v>9</v>
      </c>
      <c r="K159" s="3">
        <v>5</v>
      </c>
      <c r="L159" s="3">
        <v>1</v>
      </c>
      <c r="M159" s="3">
        <v>27</v>
      </c>
      <c r="N159" s="3">
        <v>20</v>
      </c>
      <c r="O159" s="46" t="s">
        <v>906</v>
      </c>
      <c r="P159" s="3">
        <v>1058.25663</v>
      </c>
      <c r="Q159" s="3">
        <v>1842.15043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39.19469</v>
      </c>
      <c r="AA159" s="3">
        <v>0</v>
      </c>
      <c r="AB159" s="3"/>
      <c r="AC159" s="3"/>
      <c r="AD159" s="3"/>
      <c r="AE159" s="3"/>
      <c r="AF159" s="3"/>
      <c r="AG159" s="3"/>
      <c r="AH159" s="3">
        <v>4.5</v>
      </c>
      <c r="AI159" s="3">
        <v>27</v>
      </c>
      <c r="AJ159" s="3">
        <v>6</v>
      </c>
      <c r="AK159" s="3">
        <v>1058.25663</v>
      </c>
      <c r="AL159" s="2" t="s">
        <v>1710</v>
      </c>
      <c r="AM159" s="3">
        <v>0</v>
      </c>
      <c r="AN159" s="3">
        <v>0</v>
      </c>
      <c r="AO159" s="4">
        <v>46274</v>
      </c>
      <c r="AP159" s="4">
        <v>46257</v>
      </c>
      <c r="AQ159" s="2" t="s">
        <v>1879</v>
      </c>
      <c r="AR159" s="2" t="s">
        <v>1454</v>
      </c>
    </row>
    <row r="160" customHeight="1" spans="1:44">
      <c r="A160" s="2" t="s">
        <v>255</v>
      </c>
      <c r="B160" s="2" t="s">
        <v>1692</v>
      </c>
      <c r="C160" s="2" t="s">
        <v>1454</v>
      </c>
      <c r="D160" s="2"/>
      <c r="E160" s="2"/>
      <c r="F160" s="2" t="s">
        <v>1880</v>
      </c>
      <c r="G160" s="2" t="s">
        <v>1696</v>
      </c>
      <c r="H160" s="3">
        <v>2</v>
      </c>
      <c r="I160" s="3">
        <v>0</v>
      </c>
      <c r="J160" s="3">
        <v>7</v>
      </c>
      <c r="K160" s="3">
        <v>10</v>
      </c>
      <c r="L160" s="3">
        <v>7</v>
      </c>
      <c r="M160" s="3">
        <v>26</v>
      </c>
      <c r="N160" s="3">
        <v>36</v>
      </c>
      <c r="O160" s="46" t="s">
        <v>1923</v>
      </c>
      <c r="P160" s="3">
        <v>1345.951958</v>
      </c>
      <c r="Q160" s="3">
        <v>3209.577746</v>
      </c>
      <c r="R160" s="3">
        <v>0</v>
      </c>
      <c r="S160" s="3">
        <v>2</v>
      </c>
      <c r="T160" s="3">
        <v>3</v>
      </c>
      <c r="U160" s="3">
        <v>10</v>
      </c>
      <c r="V160" s="3">
        <v>9</v>
      </c>
      <c r="W160" s="3">
        <v>0</v>
      </c>
      <c r="X160" s="3">
        <v>0</v>
      </c>
      <c r="Y160" s="3">
        <v>0</v>
      </c>
      <c r="Z160" s="3">
        <v>51.767383</v>
      </c>
      <c r="AA160" s="3">
        <v>155.302149</v>
      </c>
      <c r="AB160" s="3">
        <v>20.66666667</v>
      </c>
      <c r="AC160" s="3">
        <v>8.666666667</v>
      </c>
      <c r="AD160" s="3">
        <v>6.333333333</v>
      </c>
      <c r="AE160" s="3">
        <v>0.666666667</v>
      </c>
      <c r="AF160" s="3">
        <v>2.333333333</v>
      </c>
      <c r="AG160" s="3">
        <v>3.333333333</v>
      </c>
      <c r="AH160" s="3">
        <v>4.5</v>
      </c>
      <c r="AI160" s="3">
        <v>8</v>
      </c>
      <c r="AJ160" s="3">
        <v>6</v>
      </c>
      <c r="AK160" s="3">
        <v>414.139064</v>
      </c>
      <c r="AL160" s="2" t="s">
        <v>1694</v>
      </c>
      <c r="AM160" s="3">
        <v>0</v>
      </c>
      <c r="AN160" s="3">
        <v>3</v>
      </c>
      <c r="AO160" s="4">
        <v>46139</v>
      </c>
      <c r="AP160" s="4">
        <v>45704</v>
      </c>
      <c r="AQ160" s="2" t="s">
        <v>1879</v>
      </c>
      <c r="AR160" s="2" t="s">
        <v>1454</v>
      </c>
    </row>
    <row r="161" customHeight="1" spans="1:44">
      <c r="A161" s="2" t="s">
        <v>434</v>
      </c>
      <c r="B161" s="2" t="s">
        <v>1692</v>
      </c>
      <c r="C161" s="2" t="s">
        <v>1454</v>
      </c>
      <c r="D161" s="2"/>
      <c r="E161" s="2"/>
      <c r="F161" s="2" t="s">
        <v>343</v>
      </c>
      <c r="G161" s="2" t="s">
        <v>1696</v>
      </c>
      <c r="H161" s="3">
        <v>0</v>
      </c>
      <c r="I161" s="3">
        <v>0</v>
      </c>
      <c r="J161" s="3">
        <v>0</v>
      </c>
      <c r="K161" s="3">
        <v>5</v>
      </c>
      <c r="L161" s="3">
        <v>21</v>
      </c>
      <c r="M161" s="3">
        <v>26</v>
      </c>
      <c r="N161" s="3">
        <v>20</v>
      </c>
      <c r="O161" s="46" t="s">
        <v>865</v>
      </c>
      <c r="P161" s="3">
        <v>1104.424776</v>
      </c>
      <c r="Q161" s="3">
        <v>1953.982296</v>
      </c>
      <c r="R161" s="3">
        <v>1</v>
      </c>
      <c r="S161" s="3">
        <v>8</v>
      </c>
      <c r="T161" s="3">
        <v>13</v>
      </c>
      <c r="U161" s="3">
        <v>1</v>
      </c>
      <c r="V161" s="3">
        <v>1</v>
      </c>
      <c r="W161" s="3">
        <v>0</v>
      </c>
      <c r="X161" s="3">
        <v>20</v>
      </c>
      <c r="Y161" s="3">
        <v>20</v>
      </c>
      <c r="Z161" s="3">
        <v>42.477876</v>
      </c>
      <c r="AA161" s="3">
        <v>552.212388</v>
      </c>
      <c r="AB161" s="3">
        <v>3.538461538</v>
      </c>
      <c r="AC161" s="3">
        <v>2</v>
      </c>
      <c r="AD161" s="3">
        <v>0.384615385</v>
      </c>
      <c r="AE161" s="3">
        <v>0</v>
      </c>
      <c r="AF161" s="3">
        <v>0</v>
      </c>
      <c r="AG161" s="3">
        <v>0.384615385</v>
      </c>
      <c r="AH161" s="3">
        <v>4.5</v>
      </c>
      <c r="AI161" s="3">
        <v>0</v>
      </c>
      <c r="AJ161" s="3">
        <v>6</v>
      </c>
      <c r="AK161" s="3">
        <v>0</v>
      </c>
      <c r="AL161" s="2" t="s">
        <v>1710</v>
      </c>
      <c r="AM161" s="3">
        <v>0</v>
      </c>
      <c r="AN161" s="3">
        <v>13</v>
      </c>
      <c r="AO161" s="2"/>
      <c r="AP161" s="4">
        <v>46233</v>
      </c>
      <c r="AQ161" s="2" t="s">
        <v>1879</v>
      </c>
      <c r="AR161" s="2" t="s">
        <v>1454</v>
      </c>
    </row>
    <row r="162" customHeight="1" spans="1:44">
      <c r="A162" s="2" t="s">
        <v>674</v>
      </c>
      <c r="B162" s="2" t="s">
        <v>1692</v>
      </c>
      <c r="C162" s="2" t="s">
        <v>1454</v>
      </c>
      <c r="D162" s="2"/>
      <c r="E162" s="2"/>
      <c r="F162" s="2" t="s">
        <v>1937</v>
      </c>
      <c r="G162" s="2" t="s">
        <v>1696</v>
      </c>
      <c r="H162" s="3">
        <v>0</v>
      </c>
      <c r="I162" s="3">
        <v>0</v>
      </c>
      <c r="J162" s="3">
        <v>0</v>
      </c>
      <c r="K162" s="3">
        <v>4</v>
      </c>
      <c r="L162" s="3">
        <v>21</v>
      </c>
      <c r="M162" s="3">
        <v>25</v>
      </c>
      <c r="N162" s="3">
        <v>0</v>
      </c>
      <c r="O162" s="46" t="s">
        <v>1944</v>
      </c>
      <c r="P162" s="3">
        <v>2688.93805</v>
      </c>
      <c r="Q162" s="3">
        <v>2688.93805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107.557522</v>
      </c>
      <c r="AA162" s="3">
        <v>0</v>
      </c>
      <c r="AB162" s="3"/>
      <c r="AC162" s="3"/>
      <c r="AD162" s="3"/>
      <c r="AE162" s="3"/>
      <c r="AF162" s="3"/>
      <c r="AG162" s="3"/>
      <c r="AH162" s="3">
        <v>4.5</v>
      </c>
      <c r="AI162" s="3">
        <v>25</v>
      </c>
      <c r="AJ162" s="3">
        <v>6</v>
      </c>
      <c r="AK162" s="3">
        <v>2688.93805</v>
      </c>
      <c r="AL162" s="2" t="s">
        <v>1710</v>
      </c>
      <c r="AM162" s="3">
        <v>0</v>
      </c>
      <c r="AN162" s="3">
        <v>0</v>
      </c>
      <c r="AO162" s="2"/>
      <c r="AP162" s="2"/>
      <c r="AQ162" s="2" t="s">
        <v>1879</v>
      </c>
      <c r="AR162" s="2" t="s">
        <v>1454</v>
      </c>
    </row>
    <row r="163" customHeight="1" spans="1:44">
      <c r="A163" s="2" t="s">
        <v>668</v>
      </c>
      <c r="B163" s="2" t="s">
        <v>1692</v>
      </c>
      <c r="C163" s="2" t="s">
        <v>1454</v>
      </c>
      <c r="D163" s="2"/>
      <c r="E163" s="2"/>
      <c r="F163" s="2" t="s">
        <v>343</v>
      </c>
      <c r="G163" s="2" t="s">
        <v>1696</v>
      </c>
      <c r="H163" s="3">
        <v>0</v>
      </c>
      <c r="I163" s="3">
        <v>0</v>
      </c>
      <c r="J163" s="3">
        <v>7</v>
      </c>
      <c r="K163" s="3">
        <v>11</v>
      </c>
      <c r="L163" s="3">
        <v>7</v>
      </c>
      <c r="M163" s="3">
        <v>25</v>
      </c>
      <c r="N163" s="3">
        <v>0</v>
      </c>
      <c r="O163" s="46" t="s">
        <v>1944</v>
      </c>
      <c r="P163" s="3">
        <v>1548.672575</v>
      </c>
      <c r="Q163" s="3">
        <v>1548.672575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61.946903</v>
      </c>
      <c r="AA163" s="3">
        <v>0</v>
      </c>
      <c r="AB163" s="3"/>
      <c r="AC163" s="3"/>
      <c r="AD163" s="3"/>
      <c r="AE163" s="3"/>
      <c r="AF163" s="3"/>
      <c r="AG163" s="3"/>
      <c r="AH163" s="3">
        <v>4.5</v>
      </c>
      <c r="AI163" s="3">
        <v>25</v>
      </c>
      <c r="AJ163" s="3">
        <v>6</v>
      </c>
      <c r="AK163" s="3">
        <v>1548.672575</v>
      </c>
      <c r="AL163" s="2" t="s">
        <v>1710</v>
      </c>
      <c r="AM163" s="3">
        <v>0</v>
      </c>
      <c r="AN163" s="3">
        <v>0</v>
      </c>
      <c r="AO163" s="2"/>
      <c r="AP163" s="4">
        <v>46275</v>
      </c>
      <c r="AQ163" s="2" t="s">
        <v>1879</v>
      </c>
      <c r="AR163" s="2" t="s">
        <v>1454</v>
      </c>
    </row>
    <row r="164" customHeight="1" spans="1:44">
      <c r="A164" s="2" t="s">
        <v>671</v>
      </c>
      <c r="B164" s="2" t="s">
        <v>1692</v>
      </c>
      <c r="C164" s="2" t="s">
        <v>1454</v>
      </c>
      <c r="D164" s="2"/>
      <c r="E164" s="2"/>
      <c r="F164" s="2" t="s">
        <v>1937</v>
      </c>
      <c r="G164" s="2" t="s">
        <v>1696</v>
      </c>
      <c r="H164" s="3">
        <v>0</v>
      </c>
      <c r="I164" s="3">
        <v>0</v>
      </c>
      <c r="J164" s="3">
        <v>0</v>
      </c>
      <c r="K164" s="3">
        <v>6</v>
      </c>
      <c r="L164" s="3">
        <v>19</v>
      </c>
      <c r="M164" s="3">
        <v>25</v>
      </c>
      <c r="N164" s="3">
        <v>0</v>
      </c>
      <c r="O164" s="46" t="s">
        <v>1944</v>
      </c>
      <c r="P164" s="3">
        <v>3532.07965</v>
      </c>
      <c r="Q164" s="3">
        <v>3532.07965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24</v>
      </c>
      <c r="Z164" s="3">
        <v>141.283186</v>
      </c>
      <c r="AA164" s="3">
        <v>0</v>
      </c>
      <c r="AB164" s="3"/>
      <c r="AC164" s="3"/>
      <c r="AD164" s="3"/>
      <c r="AE164" s="3"/>
      <c r="AF164" s="3"/>
      <c r="AG164" s="3"/>
      <c r="AH164" s="3">
        <v>4.5</v>
      </c>
      <c r="AI164" s="3">
        <v>25</v>
      </c>
      <c r="AJ164" s="3">
        <v>6</v>
      </c>
      <c r="AK164" s="3">
        <v>3532.07965</v>
      </c>
      <c r="AL164" s="2" t="s">
        <v>1710</v>
      </c>
      <c r="AM164" s="3">
        <v>0</v>
      </c>
      <c r="AN164" s="3">
        <v>0</v>
      </c>
      <c r="AO164" s="2"/>
      <c r="AP164" s="2"/>
      <c r="AQ164" s="2" t="s">
        <v>1879</v>
      </c>
      <c r="AR164" s="2" t="s">
        <v>1454</v>
      </c>
    </row>
    <row r="165" customHeight="1" spans="1:44">
      <c r="A165" s="2" t="s">
        <v>641</v>
      </c>
      <c r="B165" s="2" t="s">
        <v>1692</v>
      </c>
      <c r="C165" s="2" t="s">
        <v>1454</v>
      </c>
      <c r="D165" s="2"/>
      <c r="E165" s="2"/>
      <c r="F165" s="2" t="s">
        <v>343</v>
      </c>
      <c r="G165" s="2" t="s">
        <v>1696</v>
      </c>
      <c r="H165" s="3">
        <v>0</v>
      </c>
      <c r="I165" s="3">
        <v>0</v>
      </c>
      <c r="J165" s="3">
        <v>12</v>
      </c>
      <c r="K165" s="3">
        <v>2</v>
      </c>
      <c r="L165" s="3">
        <v>11</v>
      </c>
      <c r="M165" s="3">
        <v>25</v>
      </c>
      <c r="N165" s="3">
        <v>0</v>
      </c>
      <c r="O165" s="46" t="s">
        <v>1944</v>
      </c>
      <c r="P165" s="3">
        <v>1526.548675</v>
      </c>
      <c r="Q165" s="3">
        <v>1526.548675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61.061947</v>
      </c>
      <c r="AA165" s="3">
        <v>0</v>
      </c>
      <c r="AB165" s="3"/>
      <c r="AC165" s="3"/>
      <c r="AD165" s="3"/>
      <c r="AE165" s="3"/>
      <c r="AF165" s="3"/>
      <c r="AG165" s="3"/>
      <c r="AH165" s="3">
        <v>4.5</v>
      </c>
      <c r="AI165" s="3">
        <v>25</v>
      </c>
      <c r="AJ165" s="3">
        <v>6</v>
      </c>
      <c r="AK165" s="3">
        <v>1526.548675</v>
      </c>
      <c r="AL165" s="2" t="s">
        <v>1710</v>
      </c>
      <c r="AM165" s="3">
        <v>0</v>
      </c>
      <c r="AN165" s="3">
        <v>0</v>
      </c>
      <c r="AO165" s="2"/>
      <c r="AP165" s="4">
        <v>46264</v>
      </c>
      <c r="AQ165" s="2" t="s">
        <v>1879</v>
      </c>
      <c r="AR165" s="2" t="s">
        <v>1454</v>
      </c>
    </row>
    <row r="166" customHeight="1" spans="1:44">
      <c r="A166" s="2" t="s">
        <v>605</v>
      </c>
      <c r="B166" s="2" t="s">
        <v>1692</v>
      </c>
      <c r="C166" s="2" t="s">
        <v>1454</v>
      </c>
      <c r="D166" s="2"/>
      <c r="E166" s="2"/>
      <c r="F166" s="2" t="s">
        <v>1885</v>
      </c>
      <c r="G166" s="2" t="s">
        <v>1696</v>
      </c>
      <c r="H166" s="3">
        <v>0</v>
      </c>
      <c r="I166" s="3">
        <v>0</v>
      </c>
      <c r="J166" s="3">
        <v>17</v>
      </c>
      <c r="K166" s="3">
        <v>6</v>
      </c>
      <c r="L166" s="3">
        <v>1</v>
      </c>
      <c r="M166" s="3">
        <v>24</v>
      </c>
      <c r="N166" s="3">
        <v>0</v>
      </c>
      <c r="O166" s="46" t="s">
        <v>755</v>
      </c>
      <c r="P166" s="3">
        <v>2824.77876</v>
      </c>
      <c r="Q166" s="3">
        <v>2824.77876</v>
      </c>
      <c r="R166" s="3">
        <v>0</v>
      </c>
      <c r="S166" s="3">
        <v>1</v>
      </c>
      <c r="T166" s="3">
        <v>1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117.699115</v>
      </c>
      <c r="AA166" s="3">
        <v>117.699115</v>
      </c>
      <c r="AB166" s="3">
        <v>24</v>
      </c>
      <c r="AC166" s="3">
        <v>24</v>
      </c>
      <c r="AD166" s="3">
        <v>23</v>
      </c>
      <c r="AE166" s="3">
        <v>0</v>
      </c>
      <c r="AF166" s="3">
        <v>17</v>
      </c>
      <c r="AG166" s="3">
        <v>6</v>
      </c>
      <c r="AH166" s="3">
        <v>4.5</v>
      </c>
      <c r="AI166" s="3">
        <v>18</v>
      </c>
      <c r="AJ166" s="3">
        <v>6</v>
      </c>
      <c r="AK166" s="3">
        <v>2118.58407</v>
      </c>
      <c r="AL166" s="2" t="s">
        <v>1710</v>
      </c>
      <c r="AM166" s="3">
        <v>0</v>
      </c>
      <c r="AN166" s="3">
        <v>1</v>
      </c>
      <c r="AO166" s="2"/>
      <c r="AP166" s="4">
        <v>46233</v>
      </c>
      <c r="AQ166" s="2" t="s">
        <v>1879</v>
      </c>
      <c r="AR166" s="2" t="s">
        <v>1454</v>
      </c>
    </row>
    <row r="167" customHeight="1" spans="1:44">
      <c r="A167" s="2" t="s">
        <v>401</v>
      </c>
      <c r="B167" s="2" t="s">
        <v>1692</v>
      </c>
      <c r="C167" s="2" t="s">
        <v>1454</v>
      </c>
      <c r="D167" s="2"/>
      <c r="E167" s="2"/>
      <c r="F167" s="2" t="s">
        <v>343</v>
      </c>
      <c r="G167" s="2" t="s">
        <v>1696</v>
      </c>
      <c r="H167" s="3">
        <v>0</v>
      </c>
      <c r="I167" s="3">
        <v>16</v>
      </c>
      <c r="J167" s="3">
        <v>5</v>
      </c>
      <c r="K167" s="3">
        <v>2</v>
      </c>
      <c r="L167" s="3">
        <v>1</v>
      </c>
      <c r="M167" s="3">
        <v>24</v>
      </c>
      <c r="N167" s="3">
        <v>24</v>
      </c>
      <c r="O167" s="46" t="s">
        <v>1945</v>
      </c>
      <c r="P167" s="3">
        <v>1507.964592</v>
      </c>
      <c r="Q167" s="3">
        <v>3015.929184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62.831858</v>
      </c>
      <c r="AA167" s="3">
        <v>0</v>
      </c>
      <c r="AB167" s="3"/>
      <c r="AC167" s="3"/>
      <c r="AD167" s="3"/>
      <c r="AE167" s="3"/>
      <c r="AF167" s="3"/>
      <c r="AG167" s="3"/>
      <c r="AH167" s="3">
        <v>4.5</v>
      </c>
      <c r="AI167" s="3">
        <v>24</v>
      </c>
      <c r="AJ167" s="3">
        <v>6</v>
      </c>
      <c r="AK167" s="3">
        <v>1507.964592</v>
      </c>
      <c r="AL167" s="2" t="s">
        <v>1710</v>
      </c>
      <c r="AM167" s="3">
        <v>0</v>
      </c>
      <c r="AN167" s="3">
        <v>0</v>
      </c>
      <c r="AO167" s="2"/>
      <c r="AP167" s="4">
        <v>46275</v>
      </c>
      <c r="AQ167" s="2" t="s">
        <v>1879</v>
      </c>
      <c r="AR167" s="2" t="s">
        <v>1454</v>
      </c>
    </row>
    <row r="168" customHeight="1" spans="1:44">
      <c r="A168" s="2" t="s">
        <v>623</v>
      </c>
      <c r="B168" s="2" t="s">
        <v>1692</v>
      </c>
      <c r="C168" s="2" t="s">
        <v>1454</v>
      </c>
      <c r="D168" s="2"/>
      <c r="E168" s="2"/>
      <c r="F168" s="2" t="s">
        <v>343</v>
      </c>
      <c r="G168" s="2" t="s">
        <v>1696</v>
      </c>
      <c r="H168" s="3">
        <v>0</v>
      </c>
      <c r="I168" s="3">
        <v>0</v>
      </c>
      <c r="J168" s="3">
        <v>9</v>
      </c>
      <c r="K168" s="3">
        <v>10</v>
      </c>
      <c r="L168" s="3">
        <v>5</v>
      </c>
      <c r="M168" s="3">
        <v>24</v>
      </c>
      <c r="N168" s="3">
        <v>0</v>
      </c>
      <c r="O168" s="46" t="s">
        <v>755</v>
      </c>
      <c r="P168" s="3">
        <v>1550.44248</v>
      </c>
      <c r="Q168" s="3">
        <v>1550.44248</v>
      </c>
      <c r="R168" s="3">
        <v>1</v>
      </c>
      <c r="S168" s="3">
        <v>1</v>
      </c>
      <c r="T168" s="3">
        <v>1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64.60177</v>
      </c>
      <c r="AA168" s="3">
        <v>64.60177</v>
      </c>
      <c r="AB168" s="3">
        <v>24</v>
      </c>
      <c r="AC168" s="3">
        <v>24</v>
      </c>
      <c r="AD168" s="3">
        <v>19</v>
      </c>
      <c r="AE168" s="3">
        <v>0</v>
      </c>
      <c r="AF168" s="3">
        <v>9</v>
      </c>
      <c r="AG168" s="3">
        <v>10</v>
      </c>
      <c r="AH168" s="3">
        <v>4.5</v>
      </c>
      <c r="AI168" s="3">
        <v>18</v>
      </c>
      <c r="AJ168" s="3">
        <v>6</v>
      </c>
      <c r="AK168" s="3">
        <v>1162.83186</v>
      </c>
      <c r="AL168" s="2" t="s">
        <v>1710</v>
      </c>
      <c r="AM168" s="3">
        <v>0</v>
      </c>
      <c r="AN168" s="3">
        <v>1</v>
      </c>
      <c r="AO168" s="2"/>
      <c r="AP168" s="4">
        <v>46259</v>
      </c>
      <c r="AQ168" s="2" t="s">
        <v>1879</v>
      </c>
      <c r="AR168" s="2" t="s">
        <v>1454</v>
      </c>
    </row>
    <row r="169" customHeight="1" spans="1:44">
      <c r="A169" s="2" t="s">
        <v>683</v>
      </c>
      <c r="B169" s="2" t="s">
        <v>1692</v>
      </c>
      <c r="C169" s="2" t="s">
        <v>1454</v>
      </c>
      <c r="D169" s="2"/>
      <c r="E169" s="2"/>
      <c r="F169" s="2" t="s">
        <v>343</v>
      </c>
      <c r="G169" s="2" t="s">
        <v>1696</v>
      </c>
      <c r="H169" s="3">
        <v>0</v>
      </c>
      <c r="I169" s="3">
        <v>0</v>
      </c>
      <c r="J169" s="3">
        <v>11</v>
      </c>
      <c r="K169" s="3">
        <v>4</v>
      </c>
      <c r="L169" s="3">
        <v>9</v>
      </c>
      <c r="M169" s="3">
        <v>24</v>
      </c>
      <c r="N169" s="3">
        <v>48</v>
      </c>
      <c r="O169" s="46" t="s">
        <v>1916</v>
      </c>
      <c r="P169" s="3">
        <v>2515.752216</v>
      </c>
      <c r="Q169" s="3">
        <v>7547.256648</v>
      </c>
      <c r="R169" s="3">
        <v>0</v>
      </c>
      <c r="S169" s="3">
        <v>0</v>
      </c>
      <c r="T169" s="3">
        <v>1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104.823009</v>
      </c>
      <c r="AA169" s="3">
        <v>104.823009</v>
      </c>
      <c r="AB169" s="3">
        <v>72</v>
      </c>
      <c r="AC169" s="3">
        <v>24</v>
      </c>
      <c r="AD169" s="3">
        <v>15</v>
      </c>
      <c r="AE169" s="3">
        <v>0</v>
      </c>
      <c r="AF169" s="3">
        <v>11</v>
      </c>
      <c r="AG169" s="3">
        <v>4</v>
      </c>
      <c r="AH169" s="3">
        <v>4.5</v>
      </c>
      <c r="AI169" s="3">
        <v>18</v>
      </c>
      <c r="AJ169" s="3">
        <v>6</v>
      </c>
      <c r="AK169" s="3">
        <v>1886.814162</v>
      </c>
      <c r="AL169" s="2" t="s">
        <v>1710</v>
      </c>
      <c r="AM169" s="3">
        <v>0</v>
      </c>
      <c r="AN169" s="3">
        <v>1</v>
      </c>
      <c r="AO169" s="2"/>
      <c r="AP169" s="4">
        <v>46253</v>
      </c>
      <c r="AQ169" s="2" t="s">
        <v>1879</v>
      </c>
      <c r="AR169" s="2" t="s">
        <v>1454</v>
      </c>
    </row>
    <row r="170" customHeight="1" spans="1:44">
      <c r="A170" s="2" t="s">
        <v>635</v>
      </c>
      <c r="B170" s="2" t="s">
        <v>1692</v>
      </c>
      <c r="C170" s="2" t="s">
        <v>1454</v>
      </c>
      <c r="D170" s="2"/>
      <c r="E170" s="2"/>
      <c r="F170" s="2" t="s">
        <v>343</v>
      </c>
      <c r="G170" s="2" t="s">
        <v>1696</v>
      </c>
      <c r="H170" s="3">
        <v>0</v>
      </c>
      <c r="I170" s="3">
        <v>0</v>
      </c>
      <c r="J170" s="3">
        <v>6</v>
      </c>
      <c r="K170" s="3">
        <v>10</v>
      </c>
      <c r="L170" s="3">
        <v>8</v>
      </c>
      <c r="M170" s="3">
        <v>24</v>
      </c>
      <c r="N170" s="3">
        <v>0</v>
      </c>
      <c r="O170" s="46" t="s">
        <v>755</v>
      </c>
      <c r="P170" s="3">
        <v>1507.964592</v>
      </c>
      <c r="Q170" s="3">
        <v>1507.964592</v>
      </c>
      <c r="R170" s="3">
        <v>1</v>
      </c>
      <c r="S170" s="3">
        <v>1</v>
      </c>
      <c r="T170" s="3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62.831858</v>
      </c>
      <c r="AA170" s="3">
        <v>62.831858</v>
      </c>
      <c r="AB170" s="3">
        <v>24</v>
      </c>
      <c r="AC170" s="3">
        <v>24</v>
      </c>
      <c r="AD170" s="3">
        <v>16</v>
      </c>
      <c r="AE170" s="3">
        <v>0</v>
      </c>
      <c r="AF170" s="3">
        <v>6</v>
      </c>
      <c r="AG170" s="3">
        <v>10</v>
      </c>
      <c r="AH170" s="3">
        <v>4.5</v>
      </c>
      <c r="AI170" s="3">
        <v>18</v>
      </c>
      <c r="AJ170" s="3">
        <v>6</v>
      </c>
      <c r="AK170" s="3">
        <v>1130.973444</v>
      </c>
      <c r="AL170" s="2" t="s">
        <v>1710</v>
      </c>
      <c r="AM170" s="3">
        <v>0</v>
      </c>
      <c r="AN170" s="3">
        <v>1</v>
      </c>
      <c r="AO170" s="2"/>
      <c r="AP170" s="4">
        <v>46295</v>
      </c>
      <c r="AQ170" s="2" t="s">
        <v>1879</v>
      </c>
      <c r="AR170" s="2" t="s">
        <v>1454</v>
      </c>
    </row>
    <row r="171" customHeight="1" spans="1:44">
      <c r="A171" s="2" t="s">
        <v>677</v>
      </c>
      <c r="B171" s="2" t="s">
        <v>1692</v>
      </c>
      <c r="C171" s="2" t="s">
        <v>1454</v>
      </c>
      <c r="D171" s="2"/>
      <c r="E171" s="2"/>
      <c r="F171" s="2" t="s">
        <v>343</v>
      </c>
      <c r="G171" s="2" t="s">
        <v>1696</v>
      </c>
      <c r="H171" s="3">
        <v>0</v>
      </c>
      <c r="I171" s="3">
        <v>0</v>
      </c>
      <c r="J171" s="3">
        <v>23</v>
      </c>
      <c r="K171" s="3">
        <v>0</v>
      </c>
      <c r="L171" s="3">
        <v>1</v>
      </c>
      <c r="M171" s="3">
        <v>24</v>
      </c>
      <c r="N171" s="3">
        <v>24</v>
      </c>
      <c r="O171" s="46" t="s">
        <v>1945</v>
      </c>
      <c r="P171" s="3">
        <v>2548.67256</v>
      </c>
      <c r="Q171" s="3">
        <v>5097.34512</v>
      </c>
      <c r="R171" s="3">
        <v>0</v>
      </c>
      <c r="S171" s="3">
        <v>0</v>
      </c>
      <c r="T171" s="3">
        <v>1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106.19469</v>
      </c>
      <c r="AA171" s="3">
        <v>106.19469</v>
      </c>
      <c r="AB171" s="3">
        <v>48</v>
      </c>
      <c r="AC171" s="3">
        <v>24</v>
      </c>
      <c r="AD171" s="3">
        <v>23</v>
      </c>
      <c r="AE171" s="3">
        <v>0</v>
      </c>
      <c r="AF171" s="3">
        <v>23</v>
      </c>
      <c r="AG171" s="3">
        <v>0</v>
      </c>
      <c r="AH171" s="3">
        <v>4.5</v>
      </c>
      <c r="AI171" s="3">
        <v>18</v>
      </c>
      <c r="AJ171" s="3">
        <v>6</v>
      </c>
      <c r="AK171" s="3">
        <v>1911.50442</v>
      </c>
      <c r="AL171" s="2" t="s">
        <v>1710</v>
      </c>
      <c r="AM171" s="3">
        <v>0</v>
      </c>
      <c r="AN171" s="3">
        <v>1</v>
      </c>
      <c r="AO171" s="2"/>
      <c r="AP171" s="4">
        <v>46270</v>
      </c>
      <c r="AQ171" s="2" t="s">
        <v>1879</v>
      </c>
      <c r="AR171" s="2" t="s">
        <v>1454</v>
      </c>
    </row>
    <row r="172" customHeight="1" spans="1:44">
      <c r="A172" s="2" t="s">
        <v>596</v>
      </c>
      <c r="B172" s="2" t="s">
        <v>1692</v>
      </c>
      <c r="C172" s="2" t="s">
        <v>1454</v>
      </c>
      <c r="D172" s="2"/>
      <c r="E172" s="2"/>
      <c r="F172" s="2" t="s">
        <v>343</v>
      </c>
      <c r="G172" s="2" t="s">
        <v>1696</v>
      </c>
      <c r="H172" s="3">
        <v>0</v>
      </c>
      <c r="I172" s="3">
        <v>0</v>
      </c>
      <c r="J172" s="3">
        <v>7</v>
      </c>
      <c r="K172" s="3">
        <v>12</v>
      </c>
      <c r="L172" s="3">
        <v>4</v>
      </c>
      <c r="M172" s="3">
        <v>23</v>
      </c>
      <c r="N172" s="3">
        <v>0</v>
      </c>
      <c r="O172" s="46" t="s">
        <v>809</v>
      </c>
      <c r="P172" s="3">
        <v>1628.31858</v>
      </c>
      <c r="Q172" s="3">
        <v>1628.31858</v>
      </c>
      <c r="R172" s="3">
        <v>0</v>
      </c>
      <c r="S172" s="3">
        <v>1</v>
      </c>
      <c r="T172" s="3">
        <v>1</v>
      </c>
      <c r="U172" s="3">
        <v>1</v>
      </c>
      <c r="V172" s="3">
        <v>0</v>
      </c>
      <c r="W172" s="3">
        <v>0</v>
      </c>
      <c r="X172" s="3">
        <v>0</v>
      </c>
      <c r="Y172" s="3">
        <v>0</v>
      </c>
      <c r="Z172" s="3">
        <v>70.79646</v>
      </c>
      <c r="AA172" s="3">
        <v>70.79646</v>
      </c>
      <c r="AB172" s="3">
        <v>23</v>
      </c>
      <c r="AC172" s="3">
        <v>23</v>
      </c>
      <c r="AD172" s="3">
        <v>19</v>
      </c>
      <c r="AE172" s="3">
        <v>0</v>
      </c>
      <c r="AF172" s="3">
        <v>7</v>
      </c>
      <c r="AG172" s="3">
        <v>12</v>
      </c>
      <c r="AH172" s="3">
        <v>4.5</v>
      </c>
      <c r="AI172" s="3">
        <v>17</v>
      </c>
      <c r="AJ172" s="3">
        <v>6</v>
      </c>
      <c r="AK172" s="3">
        <v>1203.53982</v>
      </c>
      <c r="AL172" s="2" t="s">
        <v>1710</v>
      </c>
      <c r="AM172" s="3">
        <v>0</v>
      </c>
      <c r="AN172" s="3">
        <v>1</v>
      </c>
      <c r="AO172" s="2"/>
      <c r="AP172" s="4">
        <v>46233</v>
      </c>
      <c r="AQ172" s="2" t="s">
        <v>1879</v>
      </c>
      <c r="AR172" s="2" t="s">
        <v>1454</v>
      </c>
    </row>
    <row r="173" customHeight="1" spans="1:44">
      <c r="A173" s="2" t="s">
        <v>524</v>
      </c>
      <c r="B173" s="2" t="s">
        <v>1692</v>
      </c>
      <c r="C173" s="2" t="s">
        <v>1454</v>
      </c>
      <c r="D173" s="2"/>
      <c r="E173" s="2"/>
      <c r="F173" s="2" t="s">
        <v>1880</v>
      </c>
      <c r="G173" s="2" t="s">
        <v>1696</v>
      </c>
      <c r="H173" s="3">
        <v>0</v>
      </c>
      <c r="I173" s="3">
        <v>0</v>
      </c>
      <c r="J173" s="3">
        <v>2</v>
      </c>
      <c r="K173" s="3">
        <v>18</v>
      </c>
      <c r="L173" s="3">
        <v>3</v>
      </c>
      <c r="M173" s="3">
        <v>23</v>
      </c>
      <c r="N173" s="3">
        <v>40</v>
      </c>
      <c r="O173" s="46" t="s">
        <v>1922</v>
      </c>
      <c r="P173" s="3">
        <v>1758.521419</v>
      </c>
      <c r="Q173" s="3">
        <v>4816.819539</v>
      </c>
      <c r="R173" s="3">
        <v>2</v>
      </c>
      <c r="S173" s="3">
        <v>6</v>
      </c>
      <c r="T173" s="3">
        <v>9</v>
      </c>
      <c r="U173" s="3">
        <v>5</v>
      </c>
      <c r="V173" s="3">
        <v>5</v>
      </c>
      <c r="W173" s="3">
        <v>0</v>
      </c>
      <c r="X173" s="3">
        <v>0</v>
      </c>
      <c r="Y173" s="3">
        <v>0</v>
      </c>
      <c r="Z173" s="3">
        <v>76.457453</v>
      </c>
      <c r="AA173" s="3">
        <v>688.117077</v>
      </c>
      <c r="AB173" s="3">
        <v>7</v>
      </c>
      <c r="AC173" s="3">
        <v>2.555555556</v>
      </c>
      <c r="AD173" s="3">
        <v>2.222222222</v>
      </c>
      <c r="AE173" s="3">
        <v>0</v>
      </c>
      <c r="AF173" s="3">
        <v>0.222222222</v>
      </c>
      <c r="AG173" s="3">
        <v>2</v>
      </c>
      <c r="AH173" s="3">
        <v>4.5</v>
      </c>
      <c r="AI173" s="3">
        <v>0</v>
      </c>
      <c r="AJ173" s="3">
        <v>6</v>
      </c>
      <c r="AK173" s="3">
        <v>0</v>
      </c>
      <c r="AL173" s="2" t="s">
        <v>1694</v>
      </c>
      <c r="AM173" s="3">
        <v>0</v>
      </c>
      <c r="AN173" s="3">
        <v>6</v>
      </c>
      <c r="AO173" s="2"/>
      <c r="AP173" s="4">
        <v>45717</v>
      </c>
      <c r="AQ173" s="2" t="s">
        <v>1879</v>
      </c>
      <c r="AR173" s="2" t="s">
        <v>1454</v>
      </c>
    </row>
    <row r="174" customHeight="1" spans="1:44">
      <c r="A174" s="2" t="s">
        <v>587</v>
      </c>
      <c r="B174" s="2" t="s">
        <v>1692</v>
      </c>
      <c r="C174" s="2" t="s">
        <v>1454</v>
      </c>
      <c r="D174" s="2"/>
      <c r="E174" s="2"/>
      <c r="F174" s="2" t="s">
        <v>343</v>
      </c>
      <c r="G174" s="2" t="s">
        <v>1696</v>
      </c>
      <c r="H174" s="3">
        <v>0</v>
      </c>
      <c r="I174" s="3">
        <v>0</v>
      </c>
      <c r="J174" s="3">
        <v>6</v>
      </c>
      <c r="K174" s="3">
        <v>10</v>
      </c>
      <c r="L174" s="3">
        <v>6</v>
      </c>
      <c r="M174" s="3">
        <v>22</v>
      </c>
      <c r="N174" s="3">
        <v>0</v>
      </c>
      <c r="O174" s="46" t="s">
        <v>1127</v>
      </c>
      <c r="P174" s="3">
        <v>1304.42477</v>
      </c>
      <c r="Q174" s="3">
        <v>1304.42477</v>
      </c>
      <c r="R174" s="3">
        <v>1</v>
      </c>
      <c r="S174" s="3">
        <v>2</v>
      </c>
      <c r="T174" s="3">
        <v>3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59.292035</v>
      </c>
      <c r="AA174" s="3">
        <v>177.876105</v>
      </c>
      <c r="AB174" s="3">
        <v>7.333333333</v>
      </c>
      <c r="AC174" s="3">
        <v>7.333333333</v>
      </c>
      <c r="AD174" s="3">
        <v>5.333333333</v>
      </c>
      <c r="AE174" s="3">
        <v>0</v>
      </c>
      <c r="AF174" s="3">
        <v>2</v>
      </c>
      <c r="AG174" s="3">
        <v>3.333333333</v>
      </c>
      <c r="AH174" s="3">
        <v>4.5</v>
      </c>
      <c r="AI174" s="3">
        <v>4</v>
      </c>
      <c r="AJ174" s="3">
        <v>6</v>
      </c>
      <c r="AK174" s="3">
        <v>237.16814</v>
      </c>
      <c r="AL174" s="2" t="s">
        <v>1710</v>
      </c>
      <c r="AM174" s="3">
        <v>0</v>
      </c>
      <c r="AN174" s="3">
        <v>3</v>
      </c>
      <c r="AO174" s="2"/>
      <c r="AP174" s="4">
        <v>46233</v>
      </c>
      <c r="AQ174" s="2" t="s">
        <v>1879</v>
      </c>
      <c r="AR174" s="2" t="s">
        <v>1454</v>
      </c>
    </row>
    <row r="175" customHeight="1" spans="1:44">
      <c r="A175" s="2" t="s">
        <v>584</v>
      </c>
      <c r="B175" s="2" t="s">
        <v>1692</v>
      </c>
      <c r="C175" s="2" t="s">
        <v>1454</v>
      </c>
      <c r="D175" s="2"/>
      <c r="E175" s="2"/>
      <c r="F175" s="2" t="s">
        <v>343</v>
      </c>
      <c r="G175" s="2" t="s">
        <v>1696</v>
      </c>
      <c r="H175" s="3">
        <v>0</v>
      </c>
      <c r="I175" s="3">
        <v>0</v>
      </c>
      <c r="J175" s="3">
        <v>6</v>
      </c>
      <c r="K175" s="3">
        <v>10</v>
      </c>
      <c r="L175" s="3">
        <v>6</v>
      </c>
      <c r="M175" s="3">
        <v>22</v>
      </c>
      <c r="N175" s="3">
        <v>0</v>
      </c>
      <c r="O175" s="46" t="s">
        <v>1127</v>
      </c>
      <c r="P175" s="3">
        <v>1946.90265</v>
      </c>
      <c r="Q175" s="3">
        <v>1946.90265</v>
      </c>
      <c r="R175" s="3">
        <v>0</v>
      </c>
      <c r="S175" s="3">
        <v>0</v>
      </c>
      <c r="T175" s="3">
        <v>3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88.495575</v>
      </c>
      <c r="AA175" s="3">
        <v>265.486725</v>
      </c>
      <c r="AB175" s="3">
        <v>7.333333333</v>
      </c>
      <c r="AC175" s="3">
        <v>7.333333333</v>
      </c>
      <c r="AD175" s="3">
        <v>5.333333333</v>
      </c>
      <c r="AE175" s="3">
        <v>0</v>
      </c>
      <c r="AF175" s="3">
        <v>2</v>
      </c>
      <c r="AG175" s="3">
        <v>3.333333333</v>
      </c>
      <c r="AH175" s="3">
        <v>4.5</v>
      </c>
      <c r="AI175" s="3">
        <v>4</v>
      </c>
      <c r="AJ175" s="3">
        <v>6</v>
      </c>
      <c r="AK175" s="3">
        <v>353.9823</v>
      </c>
      <c r="AL175" s="2" t="s">
        <v>1710</v>
      </c>
      <c r="AM175" s="3">
        <v>0</v>
      </c>
      <c r="AN175" s="3">
        <v>3</v>
      </c>
      <c r="AO175" s="2"/>
      <c r="AP175" s="4">
        <v>46233</v>
      </c>
      <c r="AQ175" s="2" t="s">
        <v>1879</v>
      </c>
      <c r="AR175" s="2" t="s">
        <v>1454</v>
      </c>
    </row>
    <row r="176" customHeight="1" spans="1:44">
      <c r="A176" s="2" t="s">
        <v>392</v>
      </c>
      <c r="B176" s="2" t="s">
        <v>1692</v>
      </c>
      <c r="C176" s="2" t="s">
        <v>1454</v>
      </c>
      <c r="D176" s="2"/>
      <c r="E176" s="2"/>
      <c r="F176" s="2" t="s">
        <v>343</v>
      </c>
      <c r="G176" s="2" t="s">
        <v>1696</v>
      </c>
      <c r="H176" s="3">
        <v>0</v>
      </c>
      <c r="I176" s="3">
        <v>0</v>
      </c>
      <c r="J176" s="3">
        <v>17</v>
      </c>
      <c r="K176" s="3">
        <v>4</v>
      </c>
      <c r="L176" s="3">
        <v>1</v>
      </c>
      <c r="M176" s="3">
        <v>22</v>
      </c>
      <c r="N176" s="3">
        <v>20</v>
      </c>
      <c r="O176" s="46" t="s">
        <v>1933</v>
      </c>
      <c r="P176" s="3">
        <v>4812.743364</v>
      </c>
      <c r="Q176" s="3">
        <v>9187.964604</v>
      </c>
      <c r="R176" s="3">
        <v>1</v>
      </c>
      <c r="S176" s="3">
        <v>2</v>
      </c>
      <c r="T176" s="3">
        <v>5</v>
      </c>
      <c r="U176" s="3">
        <v>2</v>
      </c>
      <c r="V176" s="3">
        <v>0</v>
      </c>
      <c r="W176" s="3">
        <v>0</v>
      </c>
      <c r="X176" s="3">
        <v>0</v>
      </c>
      <c r="Y176" s="3">
        <v>0</v>
      </c>
      <c r="Z176" s="3">
        <v>218.761062</v>
      </c>
      <c r="AA176" s="3">
        <v>1093.80531</v>
      </c>
      <c r="AB176" s="3">
        <v>8.4</v>
      </c>
      <c r="AC176" s="3">
        <v>4.4</v>
      </c>
      <c r="AD176" s="3">
        <v>4.2</v>
      </c>
      <c r="AE176" s="3">
        <v>0</v>
      </c>
      <c r="AF176" s="3">
        <v>3.4</v>
      </c>
      <c r="AG176" s="3">
        <v>0.8</v>
      </c>
      <c r="AH176" s="3">
        <v>4.5</v>
      </c>
      <c r="AI176" s="3">
        <v>0</v>
      </c>
      <c r="AJ176" s="3">
        <v>6</v>
      </c>
      <c r="AK176" s="3">
        <v>0</v>
      </c>
      <c r="AL176" s="2" t="s">
        <v>1710</v>
      </c>
      <c r="AM176" s="3">
        <v>0</v>
      </c>
      <c r="AN176" s="3">
        <v>5</v>
      </c>
      <c r="AO176" s="2"/>
      <c r="AP176" s="4">
        <v>46220</v>
      </c>
      <c r="AQ176" s="2" t="s">
        <v>1879</v>
      </c>
      <c r="AR176" s="2" t="s">
        <v>1454</v>
      </c>
    </row>
    <row r="177" customHeight="1" spans="1:44">
      <c r="A177" s="2" t="s">
        <v>617</v>
      </c>
      <c r="B177" s="2" t="s">
        <v>1692</v>
      </c>
      <c r="C177" s="2" t="s">
        <v>1454</v>
      </c>
      <c r="D177" s="2"/>
      <c r="E177" s="2"/>
      <c r="F177" s="2" t="s">
        <v>1937</v>
      </c>
      <c r="G177" s="2" t="s">
        <v>1696</v>
      </c>
      <c r="H177" s="3">
        <v>0</v>
      </c>
      <c r="I177" s="3">
        <v>0</v>
      </c>
      <c r="J177" s="3">
        <v>0</v>
      </c>
      <c r="K177" s="3">
        <v>6</v>
      </c>
      <c r="L177" s="3">
        <v>15</v>
      </c>
      <c r="M177" s="3">
        <v>21</v>
      </c>
      <c r="N177" s="3">
        <v>20</v>
      </c>
      <c r="O177" s="46" t="s">
        <v>1936</v>
      </c>
      <c r="P177" s="3">
        <v>2041.769919</v>
      </c>
      <c r="Q177" s="3">
        <v>3986.312699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97.227139</v>
      </c>
      <c r="AA177" s="3">
        <v>0</v>
      </c>
      <c r="AB177" s="3"/>
      <c r="AC177" s="3"/>
      <c r="AD177" s="3"/>
      <c r="AE177" s="3"/>
      <c r="AF177" s="3"/>
      <c r="AG177" s="3"/>
      <c r="AH177" s="3">
        <v>4.5</v>
      </c>
      <c r="AI177" s="3">
        <v>21</v>
      </c>
      <c r="AJ177" s="3">
        <v>6</v>
      </c>
      <c r="AK177" s="3">
        <v>2041.769919</v>
      </c>
      <c r="AL177" s="2" t="s">
        <v>1710</v>
      </c>
      <c r="AM177" s="3">
        <v>0</v>
      </c>
      <c r="AN177" s="3">
        <v>0</v>
      </c>
      <c r="AO177" s="2"/>
      <c r="AP177" s="2"/>
      <c r="AQ177" s="2" t="s">
        <v>1879</v>
      </c>
      <c r="AR177" s="2" t="s">
        <v>1454</v>
      </c>
    </row>
    <row r="178" customHeight="1" spans="1:44">
      <c r="A178" s="2" t="s">
        <v>656</v>
      </c>
      <c r="B178" s="2" t="s">
        <v>1692</v>
      </c>
      <c r="C178" s="2" t="s">
        <v>1454</v>
      </c>
      <c r="D178" s="2"/>
      <c r="E178" s="2"/>
      <c r="F178" s="2" t="s">
        <v>1937</v>
      </c>
      <c r="G178" s="2" t="s">
        <v>1696</v>
      </c>
      <c r="H178" s="3">
        <v>0</v>
      </c>
      <c r="I178" s="3">
        <v>0</v>
      </c>
      <c r="J178" s="3">
        <v>0</v>
      </c>
      <c r="K178" s="3">
        <v>16</v>
      </c>
      <c r="L178" s="3">
        <v>5</v>
      </c>
      <c r="M178" s="3">
        <v>21</v>
      </c>
      <c r="N178" s="3">
        <v>20</v>
      </c>
      <c r="O178" s="46" t="s">
        <v>1936</v>
      </c>
      <c r="P178" s="3">
        <v>5155.746435</v>
      </c>
      <c r="Q178" s="3">
        <v>10065.98114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245.511735</v>
      </c>
      <c r="AA178" s="3">
        <v>0</v>
      </c>
      <c r="AB178" s="3"/>
      <c r="AC178" s="3"/>
      <c r="AD178" s="3"/>
      <c r="AE178" s="3"/>
      <c r="AF178" s="3"/>
      <c r="AG178" s="3"/>
      <c r="AH178" s="3">
        <v>4.5</v>
      </c>
      <c r="AI178" s="3">
        <v>21</v>
      </c>
      <c r="AJ178" s="3">
        <v>6</v>
      </c>
      <c r="AK178" s="3">
        <v>5155.746435</v>
      </c>
      <c r="AL178" s="2" t="s">
        <v>1710</v>
      </c>
      <c r="AM178" s="3">
        <v>0</v>
      </c>
      <c r="AN178" s="3">
        <v>0</v>
      </c>
      <c r="AO178" s="2"/>
      <c r="AP178" s="2"/>
      <c r="AQ178" s="2" t="s">
        <v>1879</v>
      </c>
      <c r="AR178" s="2" t="s">
        <v>1454</v>
      </c>
    </row>
    <row r="179" customHeight="1" spans="1:44">
      <c r="A179" s="2" t="s">
        <v>440</v>
      </c>
      <c r="B179" s="2" t="s">
        <v>1692</v>
      </c>
      <c r="C179" s="2" t="s">
        <v>1454</v>
      </c>
      <c r="D179" s="2"/>
      <c r="E179" s="2"/>
      <c r="F179" s="2" t="s">
        <v>343</v>
      </c>
      <c r="G179" s="2" t="s">
        <v>1696</v>
      </c>
      <c r="H179" s="3">
        <v>2</v>
      </c>
      <c r="I179" s="3">
        <v>2</v>
      </c>
      <c r="J179" s="3">
        <v>14</v>
      </c>
      <c r="K179" s="3">
        <v>2</v>
      </c>
      <c r="L179" s="3">
        <v>1</v>
      </c>
      <c r="M179" s="3">
        <v>21</v>
      </c>
      <c r="N179" s="3">
        <v>40</v>
      </c>
      <c r="O179" s="46" t="s">
        <v>1042</v>
      </c>
      <c r="P179" s="3">
        <v>1378.194699</v>
      </c>
      <c r="Q179" s="3">
        <v>4003.327459</v>
      </c>
      <c r="R179" s="3">
        <v>0</v>
      </c>
      <c r="S179" s="3">
        <v>0</v>
      </c>
      <c r="T179" s="3">
        <v>2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65.628319</v>
      </c>
      <c r="AA179" s="3">
        <v>131.256638</v>
      </c>
      <c r="AB179" s="3">
        <v>30.5</v>
      </c>
      <c r="AC179" s="3">
        <v>10.5</v>
      </c>
      <c r="AD179" s="3">
        <v>10</v>
      </c>
      <c r="AE179" s="3">
        <v>1</v>
      </c>
      <c r="AF179" s="3">
        <v>7</v>
      </c>
      <c r="AG179" s="3">
        <v>1</v>
      </c>
      <c r="AH179" s="3">
        <v>4.5</v>
      </c>
      <c r="AI179" s="3">
        <v>9</v>
      </c>
      <c r="AJ179" s="3">
        <v>6</v>
      </c>
      <c r="AK179" s="3">
        <v>590.654871</v>
      </c>
      <c r="AL179" s="2" t="s">
        <v>1710</v>
      </c>
      <c r="AM179" s="3">
        <v>0</v>
      </c>
      <c r="AN179" s="3">
        <v>2</v>
      </c>
      <c r="AO179" s="4">
        <v>46274</v>
      </c>
      <c r="AP179" s="4">
        <v>46262</v>
      </c>
      <c r="AQ179" s="2" t="s">
        <v>1879</v>
      </c>
      <c r="AR179" s="2" t="s">
        <v>1454</v>
      </c>
    </row>
    <row r="180" customHeight="1" spans="1:44">
      <c r="A180" s="2" t="s">
        <v>686</v>
      </c>
      <c r="B180" s="2" t="s">
        <v>1692</v>
      </c>
      <c r="C180" s="2" t="s">
        <v>1454</v>
      </c>
      <c r="D180" s="2"/>
      <c r="E180" s="2"/>
      <c r="F180" s="2" t="s">
        <v>343</v>
      </c>
      <c r="G180" s="2" t="s">
        <v>1696</v>
      </c>
      <c r="H180" s="3">
        <v>0</v>
      </c>
      <c r="I180" s="3">
        <v>0</v>
      </c>
      <c r="J180" s="3">
        <v>12</v>
      </c>
      <c r="K180" s="3">
        <v>8</v>
      </c>
      <c r="L180" s="3">
        <v>1</v>
      </c>
      <c r="M180" s="3">
        <v>21</v>
      </c>
      <c r="N180" s="3">
        <v>20</v>
      </c>
      <c r="O180" s="46" t="s">
        <v>1936</v>
      </c>
      <c r="P180" s="3">
        <v>842.230095</v>
      </c>
      <c r="Q180" s="3">
        <v>1644.353995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40.106195</v>
      </c>
      <c r="AA180" s="3">
        <v>0</v>
      </c>
      <c r="AB180" s="3"/>
      <c r="AC180" s="3"/>
      <c r="AD180" s="3"/>
      <c r="AE180" s="3"/>
      <c r="AF180" s="3"/>
      <c r="AG180" s="3"/>
      <c r="AH180" s="3">
        <v>4.5</v>
      </c>
      <c r="AI180" s="3">
        <v>21</v>
      </c>
      <c r="AJ180" s="3">
        <v>6</v>
      </c>
      <c r="AK180" s="3">
        <v>842.230095</v>
      </c>
      <c r="AL180" s="2" t="s">
        <v>1710</v>
      </c>
      <c r="AM180" s="3">
        <v>0</v>
      </c>
      <c r="AN180" s="3">
        <v>0</v>
      </c>
      <c r="AO180" s="2"/>
      <c r="AP180" s="4">
        <v>46253</v>
      </c>
      <c r="AQ180" s="2" t="s">
        <v>1879</v>
      </c>
      <c r="AR180" s="2" t="s">
        <v>1454</v>
      </c>
    </row>
    <row r="181" customHeight="1" spans="1:44">
      <c r="A181" s="2" t="s">
        <v>416</v>
      </c>
      <c r="B181" s="2" t="s">
        <v>1692</v>
      </c>
      <c r="C181" s="2" t="s">
        <v>1454</v>
      </c>
      <c r="D181" s="2"/>
      <c r="E181" s="2"/>
      <c r="F181" s="2" t="s">
        <v>343</v>
      </c>
      <c r="G181" s="2" t="s">
        <v>1696</v>
      </c>
      <c r="H181" s="3">
        <v>1</v>
      </c>
      <c r="I181" s="3">
        <v>1</v>
      </c>
      <c r="J181" s="3">
        <v>17</v>
      </c>
      <c r="K181" s="3">
        <v>0</v>
      </c>
      <c r="L181" s="3">
        <v>2</v>
      </c>
      <c r="M181" s="3">
        <v>21</v>
      </c>
      <c r="N181" s="3">
        <v>40</v>
      </c>
      <c r="O181" s="46" t="s">
        <v>1042</v>
      </c>
      <c r="P181" s="3">
        <v>2048.150433</v>
      </c>
      <c r="Q181" s="3">
        <v>5949.389353</v>
      </c>
      <c r="R181" s="3">
        <v>1</v>
      </c>
      <c r="S181" s="3">
        <v>1</v>
      </c>
      <c r="T181" s="3">
        <v>1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97.530973</v>
      </c>
      <c r="AA181" s="3">
        <v>97.530973</v>
      </c>
      <c r="AB181" s="3">
        <v>61</v>
      </c>
      <c r="AC181" s="3">
        <v>21</v>
      </c>
      <c r="AD181" s="3">
        <v>19</v>
      </c>
      <c r="AE181" s="3">
        <v>1</v>
      </c>
      <c r="AF181" s="3">
        <v>17</v>
      </c>
      <c r="AG181" s="3">
        <v>0</v>
      </c>
      <c r="AH181" s="3">
        <v>4.5</v>
      </c>
      <c r="AI181" s="3">
        <v>15</v>
      </c>
      <c r="AJ181" s="3">
        <v>6</v>
      </c>
      <c r="AK181" s="3">
        <v>1462.964595</v>
      </c>
      <c r="AL181" s="2" t="s">
        <v>1710</v>
      </c>
      <c r="AM181" s="3">
        <v>0</v>
      </c>
      <c r="AN181" s="3">
        <v>1</v>
      </c>
      <c r="AO181" s="4">
        <v>46274</v>
      </c>
      <c r="AP181" s="4">
        <v>46277</v>
      </c>
      <c r="AQ181" s="2" t="s">
        <v>1879</v>
      </c>
      <c r="AR181" s="2" t="s">
        <v>1454</v>
      </c>
    </row>
    <row r="182" customHeight="1" spans="1:44">
      <c r="A182" s="2" t="s">
        <v>647</v>
      </c>
      <c r="B182" s="2" t="s">
        <v>1692</v>
      </c>
      <c r="C182" s="2" t="s">
        <v>1454</v>
      </c>
      <c r="D182" s="2"/>
      <c r="E182" s="2"/>
      <c r="F182" s="2" t="s">
        <v>343</v>
      </c>
      <c r="G182" s="2" t="s">
        <v>1696</v>
      </c>
      <c r="H182" s="3">
        <v>0</v>
      </c>
      <c r="I182" s="3">
        <v>0</v>
      </c>
      <c r="J182" s="3">
        <v>8</v>
      </c>
      <c r="K182" s="3">
        <v>9</v>
      </c>
      <c r="L182" s="3">
        <v>3</v>
      </c>
      <c r="M182" s="3">
        <v>20</v>
      </c>
      <c r="N182" s="3">
        <v>0</v>
      </c>
      <c r="O182" s="46" t="s">
        <v>796</v>
      </c>
      <c r="P182" s="3">
        <v>831.8584</v>
      </c>
      <c r="Q182" s="3">
        <v>831.8584</v>
      </c>
      <c r="R182" s="3">
        <v>1</v>
      </c>
      <c r="S182" s="3">
        <v>1</v>
      </c>
      <c r="T182" s="3">
        <v>1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41.59292</v>
      </c>
      <c r="AA182" s="3">
        <v>41.59292</v>
      </c>
      <c r="AB182" s="3">
        <v>20</v>
      </c>
      <c r="AC182" s="3">
        <v>20</v>
      </c>
      <c r="AD182" s="3">
        <v>17</v>
      </c>
      <c r="AE182" s="3">
        <v>0</v>
      </c>
      <c r="AF182" s="3">
        <v>8</v>
      </c>
      <c r="AG182" s="3">
        <v>9</v>
      </c>
      <c r="AH182" s="3">
        <v>4.5</v>
      </c>
      <c r="AI182" s="3">
        <v>14</v>
      </c>
      <c r="AJ182" s="3">
        <v>6</v>
      </c>
      <c r="AK182" s="3">
        <v>582.30088</v>
      </c>
      <c r="AL182" s="2" t="s">
        <v>1710</v>
      </c>
      <c r="AM182" s="3">
        <v>0</v>
      </c>
      <c r="AN182" s="3">
        <v>1</v>
      </c>
      <c r="AO182" s="2"/>
      <c r="AP182" s="4">
        <v>46270</v>
      </c>
      <c r="AQ182" s="2" t="s">
        <v>1879</v>
      </c>
      <c r="AR182" s="2" t="s">
        <v>1454</v>
      </c>
    </row>
    <row r="183" customHeight="1" spans="1:44">
      <c r="A183" s="2" t="s">
        <v>608</v>
      </c>
      <c r="B183" s="2" t="s">
        <v>1692</v>
      </c>
      <c r="C183" s="2" t="s">
        <v>1454</v>
      </c>
      <c r="D183" s="2"/>
      <c r="E183" s="2"/>
      <c r="F183" s="2" t="s">
        <v>343</v>
      </c>
      <c r="G183" s="2" t="s">
        <v>1696</v>
      </c>
      <c r="H183" s="3">
        <v>0</v>
      </c>
      <c r="I183" s="3">
        <v>0</v>
      </c>
      <c r="J183" s="3">
        <v>8</v>
      </c>
      <c r="K183" s="3">
        <v>11</v>
      </c>
      <c r="L183" s="3">
        <v>1</v>
      </c>
      <c r="M183" s="3">
        <v>20</v>
      </c>
      <c r="N183" s="3">
        <v>20</v>
      </c>
      <c r="O183" s="46" t="s">
        <v>946</v>
      </c>
      <c r="P183" s="3">
        <v>929.73452</v>
      </c>
      <c r="Q183" s="3">
        <v>1859.46904</v>
      </c>
      <c r="R183" s="3">
        <v>1</v>
      </c>
      <c r="S183" s="3">
        <v>1</v>
      </c>
      <c r="T183" s="3">
        <v>1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46.486726</v>
      </c>
      <c r="AA183" s="3">
        <v>46.486726</v>
      </c>
      <c r="AB183" s="3">
        <v>40</v>
      </c>
      <c r="AC183" s="3">
        <v>20</v>
      </c>
      <c r="AD183" s="3">
        <v>19</v>
      </c>
      <c r="AE183" s="3">
        <v>0</v>
      </c>
      <c r="AF183" s="3">
        <v>8</v>
      </c>
      <c r="AG183" s="3">
        <v>11</v>
      </c>
      <c r="AH183" s="3">
        <v>4.5</v>
      </c>
      <c r="AI183" s="3">
        <v>14</v>
      </c>
      <c r="AJ183" s="3">
        <v>6</v>
      </c>
      <c r="AK183" s="3">
        <v>650.814164</v>
      </c>
      <c r="AL183" s="2" t="s">
        <v>1710</v>
      </c>
      <c r="AM183" s="3">
        <v>0</v>
      </c>
      <c r="AN183" s="3">
        <v>1</v>
      </c>
      <c r="AO183" s="2"/>
      <c r="AP183" s="4">
        <v>46257</v>
      </c>
      <c r="AQ183" s="2" t="s">
        <v>1879</v>
      </c>
      <c r="AR183" s="2" t="s">
        <v>1454</v>
      </c>
    </row>
    <row r="184" customHeight="1" spans="1:44">
      <c r="A184" s="2" t="s">
        <v>629</v>
      </c>
      <c r="B184" s="2" t="s">
        <v>1692</v>
      </c>
      <c r="C184" s="2" t="s">
        <v>1454</v>
      </c>
      <c r="D184" s="2"/>
      <c r="E184" s="2"/>
      <c r="F184" s="2" t="s">
        <v>343</v>
      </c>
      <c r="G184" s="2" t="s">
        <v>1696</v>
      </c>
      <c r="H184" s="3">
        <v>0</v>
      </c>
      <c r="I184" s="3">
        <v>0</v>
      </c>
      <c r="J184" s="3">
        <v>9</v>
      </c>
      <c r="K184" s="3">
        <v>10</v>
      </c>
      <c r="L184" s="3">
        <v>1</v>
      </c>
      <c r="M184" s="3">
        <v>20</v>
      </c>
      <c r="N184" s="3">
        <v>20</v>
      </c>
      <c r="O184" s="46" t="s">
        <v>946</v>
      </c>
      <c r="P184" s="3">
        <v>1731.8584</v>
      </c>
      <c r="Q184" s="3">
        <v>3463.7168</v>
      </c>
      <c r="R184" s="3">
        <v>0</v>
      </c>
      <c r="S184" s="3">
        <v>1</v>
      </c>
      <c r="T184" s="3">
        <v>1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86.59292</v>
      </c>
      <c r="AA184" s="3">
        <v>86.59292</v>
      </c>
      <c r="AB184" s="3">
        <v>40</v>
      </c>
      <c r="AC184" s="3">
        <v>20</v>
      </c>
      <c r="AD184" s="3">
        <v>19</v>
      </c>
      <c r="AE184" s="3">
        <v>0</v>
      </c>
      <c r="AF184" s="3">
        <v>9</v>
      </c>
      <c r="AG184" s="3">
        <v>10</v>
      </c>
      <c r="AH184" s="3">
        <v>4.5</v>
      </c>
      <c r="AI184" s="3">
        <v>14</v>
      </c>
      <c r="AJ184" s="3">
        <v>6</v>
      </c>
      <c r="AK184" s="3">
        <v>1212.30088</v>
      </c>
      <c r="AL184" s="2" t="s">
        <v>1710</v>
      </c>
      <c r="AM184" s="3">
        <v>0</v>
      </c>
      <c r="AN184" s="3">
        <v>1</v>
      </c>
      <c r="AO184" s="2"/>
      <c r="AP184" s="4">
        <v>46258</v>
      </c>
      <c r="AQ184" s="2" t="s">
        <v>1879</v>
      </c>
      <c r="AR184" s="2" t="s">
        <v>1454</v>
      </c>
    </row>
    <row r="185" customHeight="1" spans="1:44">
      <c r="A185" s="2" t="s">
        <v>368</v>
      </c>
      <c r="B185" s="2" t="s">
        <v>1692</v>
      </c>
      <c r="C185" s="2" t="s">
        <v>1454</v>
      </c>
      <c r="D185" s="2"/>
      <c r="E185" s="2"/>
      <c r="F185" s="2" t="s">
        <v>343</v>
      </c>
      <c r="G185" s="2" t="s">
        <v>1696</v>
      </c>
      <c r="H185" s="3">
        <v>1</v>
      </c>
      <c r="I185" s="3">
        <v>8</v>
      </c>
      <c r="J185" s="3">
        <v>1</v>
      </c>
      <c r="K185" s="3">
        <v>9</v>
      </c>
      <c r="L185" s="3">
        <v>1</v>
      </c>
      <c r="M185" s="3">
        <v>20</v>
      </c>
      <c r="N185" s="3">
        <v>40</v>
      </c>
      <c r="O185" s="46" t="s">
        <v>752</v>
      </c>
      <c r="P185" s="3">
        <v>725.66372</v>
      </c>
      <c r="Q185" s="3">
        <v>2176.99116</v>
      </c>
      <c r="R185" s="3">
        <v>0</v>
      </c>
      <c r="S185" s="3">
        <v>2</v>
      </c>
      <c r="T185" s="3">
        <v>10</v>
      </c>
      <c r="U185" s="3">
        <v>4</v>
      </c>
      <c r="V185" s="3">
        <v>1</v>
      </c>
      <c r="W185" s="3">
        <v>0</v>
      </c>
      <c r="X185" s="3">
        <v>0</v>
      </c>
      <c r="Y185" s="3">
        <v>0</v>
      </c>
      <c r="Z185" s="3">
        <v>36.283186</v>
      </c>
      <c r="AA185" s="3">
        <v>362.83186</v>
      </c>
      <c r="AB185" s="3">
        <v>6</v>
      </c>
      <c r="AC185" s="3">
        <v>2</v>
      </c>
      <c r="AD185" s="3">
        <v>1.9</v>
      </c>
      <c r="AE185" s="3">
        <v>0.1</v>
      </c>
      <c r="AF185" s="3">
        <v>0.1</v>
      </c>
      <c r="AG185" s="3">
        <v>0.9</v>
      </c>
      <c r="AH185" s="3">
        <v>4.5</v>
      </c>
      <c r="AI185" s="3">
        <v>0</v>
      </c>
      <c r="AJ185" s="3">
        <v>6</v>
      </c>
      <c r="AK185" s="3">
        <v>0</v>
      </c>
      <c r="AL185" s="2" t="s">
        <v>1710</v>
      </c>
      <c r="AM185" s="3">
        <v>0</v>
      </c>
      <c r="AN185" s="3">
        <v>8</v>
      </c>
      <c r="AO185" s="4">
        <v>46279</v>
      </c>
      <c r="AP185" s="4">
        <v>46221</v>
      </c>
      <c r="AQ185" s="2" t="s">
        <v>1879</v>
      </c>
      <c r="AR185" s="2" t="s">
        <v>1454</v>
      </c>
    </row>
    <row r="186" customHeight="1" spans="1:44">
      <c r="A186" s="2" t="s">
        <v>407</v>
      </c>
      <c r="B186" s="2" t="s">
        <v>1692</v>
      </c>
      <c r="C186" s="2" t="s">
        <v>1454</v>
      </c>
      <c r="D186" s="2"/>
      <c r="E186" s="2"/>
      <c r="F186" s="2" t="s">
        <v>343</v>
      </c>
      <c r="G186" s="2" t="s">
        <v>1696</v>
      </c>
      <c r="H186" s="3">
        <v>2</v>
      </c>
      <c r="I186" s="3">
        <v>10</v>
      </c>
      <c r="J186" s="3">
        <v>5</v>
      </c>
      <c r="K186" s="3">
        <v>2</v>
      </c>
      <c r="L186" s="3">
        <v>1</v>
      </c>
      <c r="M186" s="3">
        <v>20</v>
      </c>
      <c r="N186" s="3">
        <v>24</v>
      </c>
      <c r="O186" s="46" t="s">
        <v>807</v>
      </c>
      <c r="P186" s="3">
        <v>1398.23008</v>
      </c>
      <c r="Q186" s="3">
        <v>3076.106176</v>
      </c>
      <c r="R186" s="3">
        <v>0</v>
      </c>
      <c r="S186" s="3">
        <v>1</v>
      </c>
      <c r="T186" s="3">
        <v>4</v>
      </c>
      <c r="U186" s="3">
        <v>3</v>
      </c>
      <c r="V186" s="3">
        <v>0</v>
      </c>
      <c r="W186" s="3">
        <v>0</v>
      </c>
      <c r="X186" s="3">
        <v>0</v>
      </c>
      <c r="Y186" s="3">
        <v>0</v>
      </c>
      <c r="Z186" s="3">
        <v>69.911504</v>
      </c>
      <c r="AA186" s="3">
        <v>279.646016</v>
      </c>
      <c r="AB186" s="3">
        <v>11</v>
      </c>
      <c r="AC186" s="3">
        <v>5</v>
      </c>
      <c r="AD186" s="3">
        <v>4.75</v>
      </c>
      <c r="AE186" s="3">
        <v>0.5</v>
      </c>
      <c r="AF186" s="3">
        <v>1.25</v>
      </c>
      <c r="AG186" s="3">
        <v>0.5</v>
      </c>
      <c r="AH186" s="3">
        <v>4.5</v>
      </c>
      <c r="AI186" s="3">
        <v>0</v>
      </c>
      <c r="AJ186" s="3">
        <v>6</v>
      </c>
      <c r="AK186" s="3">
        <v>0</v>
      </c>
      <c r="AL186" s="2" t="s">
        <v>1710</v>
      </c>
      <c r="AM186" s="3">
        <v>0</v>
      </c>
      <c r="AN186" s="3">
        <v>4</v>
      </c>
      <c r="AO186" s="4">
        <v>46274</v>
      </c>
      <c r="AP186" s="4">
        <v>46233</v>
      </c>
      <c r="AQ186" s="2" t="s">
        <v>1879</v>
      </c>
      <c r="AR186" s="2" t="s">
        <v>1454</v>
      </c>
    </row>
    <row r="187" customHeight="1" spans="1:44">
      <c r="A187" s="2" t="s">
        <v>638</v>
      </c>
      <c r="B187" s="2" t="s">
        <v>1692</v>
      </c>
      <c r="C187" s="2" t="s">
        <v>1454</v>
      </c>
      <c r="D187" s="2"/>
      <c r="E187" s="2"/>
      <c r="F187" s="2" t="s">
        <v>343</v>
      </c>
      <c r="G187" s="2" t="s">
        <v>1696</v>
      </c>
      <c r="H187" s="3">
        <v>0</v>
      </c>
      <c r="I187" s="3">
        <v>0</v>
      </c>
      <c r="J187" s="3">
        <v>8</v>
      </c>
      <c r="K187" s="3">
        <v>10</v>
      </c>
      <c r="L187" s="3">
        <v>2</v>
      </c>
      <c r="M187" s="3">
        <v>20</v>
      </c>
      <c r="N187" s="3">
        <v>20</v>
      </c>
      <c r="O187" s="46" t="s">
        <v>946</v>
      </c>
      <c r="P187" s="3">
        <v>783.8938</v>
      </c>
      <c r="Q187" s="3">
        <v>1567.7876</v>
      </c>
      <c r="R187" s="3">
        <v>0</v>
      </c>
      <c r="S187" s="3">
        <v>1</v>
      </c>
      <c r="T187" s="3">
        <v>1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39.19469</v>
      </c>
      <c r="AA187" s="3">
        <v>39.19469</v>
      </c>
      <c r="AB187" s="3">
        <v>40</v>
      </c>
      <c r="AC187" s="3">
        <v>20</v>
      </c>
      <c r="AD187" s="3">
        <v>18</v>
      </c>
      <c r="AE187" s="3">
        <v>0</v>
      </c>
      <c r="AF187" s="3">
        <v>8</v>
      </c>
      <c r="AG187" s="3">
        <v>10</v>
      </c>
      <c r="AH187" s="3">
        <v>4.5</v>
      </c>
      <c r="AI187" s="3">
        <v>14</v>
      </c>
      <c r="AJ187" s="3">
        <v>6</v>
      </c>
      <c r="AK187" s="3">
        <v>548.72566</v>
      </c>
      <c r="AL187" s="2" t="s">
        <v>1710</v>
      </c>
      <c r="AM187" s="3">
        <v>0</v>
      </c>
      <c r="AN187" s="3">
        <v>1</v>
      </c>
      <c r="AO187" s="2"/>
      <c r="AP187" s="4">
        <v>46257</v>
      </c>
      <c r="AQ187" s="2" t="s">
        <v>1879</v>
      </c>
      <c r="AR187" s="2" t="s">
        <v>1454</v>
      </c>
    </row>
    <row r="188" customHeight="1" spans="1:44">
      <c r="A188" s="2" t="s">
        <v>653</v>
      </c>
      <c r="B188" s="2" t="s">
        <v>1692</v>
      </c>
      <c r="C188" s="2" t="s">
        <v>1454</v>
      </c>
      <c r="D188" s="2"/>
      <c r="E188" s="2"/>
      <c r="F188" s="2" t="s">
        <v>343</v>
      </c>
      <c r="G188" s="2" t="s">
        <v>1696</v>
      </c>
      <c r="H188" s="3">
        <v>0</v>
      </c>
      <c r="I188" s="3">
        <v>0</v>
      </c>
      <c r="J188" s="3">
        <v>7</v>
      </c>
      <c r="K188" s="3">
        <v>7</v>
      </c>
      <c r="L188" s="3">
        <v>5</v>
      </c>
      <c r="M188" s="3">
        <v>19</v>
      </c>
      <c r="N188" s="3">
        <v>0</v>
      </c>
      <c r="O188" s="46" t="s">
        <v>896</v>
      </c>
      <c r="P188" s="3">
        <v>891.150445</v>
      </c>
      <c r="Q188" s="3">
        <v>891.150445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46.902655</v>
      </c>
      <c r="AA188" s="3">
        <v>0</v>
      </c>
      <c r="AB188" s="3"/>
      <c r="AC188" s="3"/>
      <c r="AD188" s="3"/>
      <c r="AE188" s="3"/>
      <c r="AF188" s="3"/>
      <c r="AG188" s="3"/>
      <c r="AH188" s="3">
        <v>4.5</v>
      </c>
      <c r="AI188" s="3">
        <v>19</v>
      </c>
      <c r="AJ188" s="3">
        <v>6</v>
      </c>
      <c r="AK188" s="3">
        <v>891.150445</v>
      </c>
      <c r="AL188" s="2" t="s">
        <v>1710</v>
      </c>
      <c r="AM188" s="3">
        <v>0</v>
      </c>
      <c r="AN188" s="3">
        <v>0</v>
      </c>
      <c r="AO188" s="2"/>
      <c r="AP188" s="4">
        <v>46270</v>
      </c>
      <c r="AQ188" s="2" t="s">
        <v>1879</v>
      </c>
      <c r="AR188" s="2" t="s">
        <v>1454</v>
      </c>
    </row>
    <row r="189" customHeight="1" spans="1:44">
      <c r="A189" s="2" t="s">
        <v>659</v>
      </c>
      <c r="B189" s="2" t="s">
        <v>1692</v>
      </c>
      <c r="C189" s="2" t="s">
        <v>1454</v>
      </c>
      <c r="D189" s="2"/>
      <c r="E189" s="2"/>
      <c r="F189" s="2" t="s">
        <v>343</v>
      </c>
      <c r="G189" s="2" t="s">
        <v>1696</v>
      </c>
      <c r="H189" s="3">
        <v>0</v>
      </c>
      <c r="I189" s="3">
        <v>0</v>
      </c>
      <c r="J189" s="3">
        <v>5</v>
      </c>
      <c r="K189" s="3">
        <v>12</v>
      </c>
      <c r="L189" s="3">
        <v>2</v>
      </c>
      <c r="M189" s="3">
        <v>19</v>
      </c>
      <c r="N189" s="3">
        <v>20</v>
      </c>
      <c r="O189" s="46" t="s">
        <v>1938</v>
      </c>
      <c r="P189" s="3">
        <v>1546.902651</v>
      </c>
      <c r="Q189" s="3">
        <v>3175.221231</v>
      </c>
      <c r="R189" s="3">
        <v>1</v>
      </c>
      <c r="S189" s="3">
        <v>1</v>
      </c>
      <c r="T189" s="3">
        <v>2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81.415929</v>
      </c>
      <c r="AA189" s="3">
        <v>162.831858</v>
      </c>
      <c r="AB189" s="3">
        <v>19.5</v>
      </c>
      <c r="AC189" s="3">
        <v>9.5</v>
      </c>
      <c r="AD189" s="3">
        <v>8.5</v>
      </c>
      <c r="AE189" s="3">
        <v>0</v>
      </c>
      <c r="AF189" s="3">
        <v>2.5</v>
      </c>
      <c r="AG189" s="3">
        <v>6</v>
      </c>
      <c r="AH189" s="3">
        <v>4.5</v>
      </c>
      <c r="AI189" s="3">
        <v>7</v>
      </c>
      <c r="AJ189" s="3">
        <v>6</v>
      </c>
      <c r="AK189" s="3">
        <v>569.911503</v>
      </c>
      <c r="AL189" s="2" t="s">
        <v>1710</v>
      </c>
      <c r="AM189" s="3">
        <v>0</v>
      </c>
      <c r="AN189" s="3">
        <v>2</v>
      </c>
      <c r="AO189" s="2"/>
      <c r="AP189" s="4">
        <v>46277</v>
      </c>
      <c r="AQ189" s="2" t="s">
        <v>1879</v>
      </c>
      <c r="AR189" s="2" t="s">
        <v>1454</v>
      </c>
    </row>
    <row r="190" customHeight="1" spans="1:44">
      <c r="A190" s="2" t="s">
        <v>461</v>
      </c>
      <c r="B190" s="2" t="s">
        <v>1692</v>
      </c>
      <c r="C190" s="2" t="s">
        <v>1454</v>
      </c>
      <c r="D190" s="2"/>
      <c r="E190" s="2"/>
      <c r="F190" s="2" t="s">
        <v>343</v>
      </c>
      <c r="G190" s="2" t="s">
        <v>1696</v>
      </c>
      <c r="H190" s="3">
        <v>0</v>
      </c>
      <c r="I190" s="3">
        <v>0</v>
      </c>
      <c r="J190" s="3">
        <v>8</v>
      </c>
      <c r="K190" s="3">
        <v>9</v>
      </c>
      <c r="L190" s="3">
        <v>2</v>
      </c>
      <c r="M190" s="3">
        <v>19</v>
      </c>
      <c r="N190" s="3">
        <v>40</v>
      </c>
      <c r="O190" s="46" t="s">
        <v>867</v>
      </c>
      <c r="P190" s="3">
        <v>952.522117</v>
      </c>
      <c r="Q190" s="3">
        <v>2957.831837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50.132743</v>
      </c>
      <c r="AA190" s="3">
        <v>0</v>
      </c>
      <c r="AB190" s="3"/>
      <c r="AC190" s="3"/>
      <c r="AD190" s="3"/>
      <c r="AE190" s="3"/>
      <c r="AF190" s="3"/>
      <c r="AG190" s="3"/>
      <c r="AH190" s="3">
        <v>4.5</v>
      </c>
      <c r="AI190" s="3">
        <v>19</v>
      </c>
      <c r="AJ190" s="3">
        <v>6</v>
      </c>
      <c r="AK190" s="3">
        <v>952.522117</v>
      </c>
      <c r="AL190" s="2" t="s">
        <v>1710</v>
      </c>
      <c r="AM190" s="3">
        <v>0</v>
      </c>
      <c r="AN190" s="3">
        <v>0</v>
      </c>
      <c r="AO190" s="2"/>
      <c r="AP190" s="4">
        <v>46257</v>
      </c>
      <c r="AQ190" s="2" t="s">
        <v>1879</v>
      </c>
      <c r="AR190" s="2" t="s">
        <v>1454</v>
      </c>
    </row>
    <row r="191" customHeight="1" spans="1:44">
      <c r="A191" s="2" t="s">
        <v>611</v>
      </c>
      <c r="B191" s="2" t="s">
        <v>1692</v>
      </c>
      <c r="C191" s="2" t="s">
        <v>1454</v>
      </c>
      <c r="D191" s="2"/>
      <c r="E191" s="2"/>
      <c r="F191" s="2" t="s">
        <v>343</v>
      </c>
      <c r="G191" s="2" t="s">
        <v>1696</v>
      </c>
      <c r="H191" s="3">
        <v>0</v>
      </c>
      <c r="I191" s="3">
        <v>0</v>
      </c>
      <c r="J191" s="3">
        <v>6</v>
      </c>
      <c r="K191" s="3">
        <v>9</v>
      </c>
      <c r="L191" s="3">
        <v>4</v>
      </c>
      <c r="M191" s="3">
        <v>19</v>
      </c>
      <c r="N191" s="3">
        <v>0</v>
      </c>
      <c r="O191" s="46" t="s">
        <v>896</v>
      </c>
      <c r="P191" s="3">
        <v>1109.73452</v>
      </c>
      <c r="Q191" s="3">
        <v>1109.73452</v>
      </c>
      <c r="R191" s="3">
        <v>1</v>
      </c>
      <c r="S191" s="3">
        <v>2</v>
      </c>
      <c r="T191" s="3">
        <v>2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58.40708</v>
      </c>
      <c r="AA191" s="3">
        <v>116.81416</v>
      </c>
      <c r="AB191" s="3">
        <v>9.5</v>
      </c>
      <c r="AC191" s="3">
        <v>9.5</v>
      </c>
      <c r="AD191" s="3">
        <v>7.5</v>
      </c>
      <c r="AE191" s="3">
        <v>0</v>
      </c>
      <c r="AF191" s="3">
        <v>3</v>
      </c>
      <c r="AG191" s="3">
        <v>4.5</v>
      </c>
      <c r="AH191" s="3">
        <v>4.5</v>
      </c>
      <c r="AI191" s="3">
        <v>7</v>
      </c>
      <c r="AJ191" s="3">
        <v>6</v>
      </c>
      <c r="AK191" s="3">
        <v>408.84956</v>
      </c>
      <c r="AL191" s="2" t="s">
        <v>1710</v>
      </c>
      <c r="AM191" s="3">
        <v>0</v>
      </c>
      <c r="AN191" s="3">
        <v>2</v>
      </c>
      <c r="AO191" s="2"/>
      <c r="AP191" s="4">
        <v>46262</v>
      </c>
      <c r="AQ191" s="2" t="s">
        <v>1879</v>
      </c>
      <c r="AR191" s="2" t="s">
        <v>1454</v>
      </c>
    </row>
    <row r="192" customHeight="1" spans="1:44">
      <c r="A192" s="2" t="s">
        <v>566</v>
      </c>
      <c r="B192" s="2" t="s">
        <v>1692</v>
      </c>
      <c r="C192" s="2" t="s">
        <v>1454</v>
      </c>
      <c r="D192" s="2"/>
      <c r="E192" s="2"/>
      <c r="F192" s="2" t="s">
        <v>343</v>
      </c>
      <c r="G192" s="2" t="s">
        <v>1696</v>
      </c>
      <c r="H192" s="3">
        <v>0</v>
      </c>
      <c r="I192" s="3">
        <v>0</v>
      </c>
      <c r="J192" s="3">
        <v>8</v>
      </c>
      <c r="K192" s="3">
        <v>8</v>
      </c>
      <c r="L192" s="3">
        <v>3</v>
      </c>
      <c r="M192" s="3">
        <v>19</v>
      </c>
      <c r="N192" s="3">
        <v>0</v>
      </c>
      <c r="O192" s="46" t="s">
        <v>896</v>
      </c>
      <c r="P192" s="3">
        <v>891.150445</v>
      </c>
      <c r="Q192" s="3">
        <v>891.150445</v>
      </c>
      <c r="R192" s="3">
        <v>0</v>
      </c>
      <c r="S192" s="3">
        <v>0</v>
      </c>
      <c r="T192" s="3">
        <v>2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46.902655</v>
      </c>
      <c r="AA192" s="3">
        <v>93.80531</v>
      </c>
      <c r="AB192" s="3">
        <v>9.5</v>
      </c>
      <c r="AC192" s="3">
        <v>9.5</v>
      </c>
      <c r="AD192" s="3">
        <v>8</v>
      </c>
      <c r="AE192" s="3">
        <v>0</v>
      </c>
      <c r="AF192" s="3">
        <v>4</v>
      </c>
      <c r="AG192" s="3">
        <v>4</v>
      </c>
      <c r="AH192" s="3">
        <v>4.5</v>
      </c>
      <c r="AI192" s="3">
        <v>7</v>
      </c>
      <c r="AJ192" s="3">
        <v>6</v>
      </c>
      <c r="AK192" s="3">
        <v>328.318585</v>
      </c>
      <c r="AL192" s="2" t="s">
        <v>1710</v>
      </c>
      <c r="AM192" s="3">
        <v>0</v>
      </c>
      <c r="AN192" s="3">
        <v>2</v>
      </c>
      <c r="AO192" s="2"/>
      <c r="AP192" s="4">
        <v>46233</v>
      </c>
      <c r="AQ192" s="2" t="s">
        <v>1879</v>
      </c>
      <c r="AR192" s="2" t="s">
        <v>1454</v>
      </c>
    </row>
    <row r="193" customHeight="1" spans="1:44">
      <c r="A193" s="2" t="s">
        <v>620</v>
      </c>
      <c r="B193" s="2" t="s">
        <v>1692</v>
      </c>
      <c r="C193" s="2" t="s">
        <v>1454</v>
      </c>
      <c r="D193" s="2"/>
      <c r="E193" s="2"/>
      <c r="F193" s="2" t="s">
        <v>343</v>
      </c>
      <c r="G193" s="2" t="s">
        <v>1696</v>
      </c>
      <c r="H193" s="3">
        <v>0</v>
      </c>
      <c r="I193" s="3">
        <v>0</v>
      </c>
      <c r="J193" s="3">
        <v>6</v>
      </c>
      <c r="K193" s="3">
        <v>9</v>
      </c>
      <c r="L193" s="3">
        <v>4</v>
      </c>
      <c r="M193" s="3">
        <v>19</v>
      </c>
      <c r="N193" s="3">
        <v>0</v>
      </c>
      <c r="O193" s="46" t="s">
        <v>896</v>
      </c>
      <c r="P193" s="3">
        <v>891.150445</v>
      </c>
      <c r="Q193" s="3">
        <v>891.150445</v>
      </c>
      <c r="R193" s="3">
        <v>1</v>
      </c>
      <c r="S193" s="3">
        <v>2</v>
      </c>
      <c r="T193" s="3">
        <v>2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46.902655</v>
      </c>
      <c r="AA193" s="3">
        <v>93.80531</v>
      </c>
      <c r="AB193" s="3">
        <v>9.5</v>
      </c>
      <c r="AC193" s="3">
        <v>9.5</v>
      </c>
      <c r="AD193" s="3">
        <v>7.5</v>
      </c>
      <c r="AE193" s="3">
        <v>0</v>
      </c>
      <c r="AF193" s="3">
        <v>3</v>
      </c>
      <c r="AG193" s="3">
        <v>4.5</v>
      </c>
      <c r="AH193" s="3">
        <v>4.5</v>
      </c>
      <c r="AI193" s="3">
        <v>7</v>
      </c>
      <c r="AJ193" s="3">
        <v>6</v>
      </c>
      <c r="AK193" s="3">
        <v>328.318585</v>
      </c>
      <c r="AL193" s="2" t="s">
        <v>1710</v>
      </c>
      <c r="AM193" s="3">
        <v>0</v>
      </c>
      <c r="AN193" s="3">
        <v>2</v>
      </c>
      <c r="AO193" s="2"/>
      <c r="AP193" s="4">
        <v>46270</v>
      </c>
      <c r="AQ193" s="2" t="s">
        <v>1879</v>
      </c>
      <c r="AR193" s="2" t="s">
        <v>1454</v>
      </c>
    </row>
    <row r="194" customHeight="1" spans="1:44">
      <c r="A194" s="2" t="s">
        <v>632</v>
      </c>
      <c r="B194" s="2" t="s">
        <v>1692</v>
      </c>
      <c r="C194" s="2" t="s">
        <v>1454</v>
      </c>
      <c r="D194" s="2"/>
      <c r="E194" s="2"/>
      <c r="F194" s="2" t="s">
        <v>343</v>
      </c>
      <c r="G194" s="2" t="s">
        <v>1696</v>
      </c>
      <c r="H194" s="3">
        <v>0</v>
      </c>
      <c r="I194" s="3">
        <v>0</v>
      </c>
      <c r="J194" s="3">
        <v>9</v>
      </c>
      <c r="K194" s="3">
        <v>4</v>
      </c>
      <c r="L194" s="3">
        <v>5</v>
      </c>
      <c r="M194" s="3">
        <v>18</v>
      </c>
      <c r="N194" s="3">
        <v>20</v>
      </c>
      <c r="O194" s="46" t="s">
        <v>1209</v>
      </c>
      <c r="P194" s="3">
        <v>1722.74337</v>
      </c>
      <c r="Q194" s="3">
        <v>3636.90267</v>
      </c>
      <c r="R194" s="3">
        <v>1</v>
      </c>
      <c r="S194" s="3">
        <v>2</v>
      </c>
      <c r="T194" s="3">
        <v>2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95.707965</v>
      </c>
      <c r="AA194" s="3">
        <v>191.41593</v>
      </c>
      <c r="AB194" s="3">
        <v>19</v>
      </c>
      <c r="AC194" s="3">
        <v>9</v>
      </c>
      <c r="AD194" s="3">
        <v>6.5</v>
      </c>
      <c r="AE194" s="3">
        <v>0</v>
      </c>
      <c r="AF194" s="3">
        <v>4.5</v>
      </c>
      <c r="AG194" s="3">
        <v>2</v>
      </c>
      <c r="AH194" s="3">
        <v>4.5</v>
      </c>
      <c r="AI194" s="3">
        <v>6</v>
      </c>
      <c r="AJ194" s="3">
        <v>6</v>
      </c>
      <c r="AK194" s="3">
        <v>574.24779</v>
      </c>
      <c r="AL194" s="2" t="s">
        <v>1710</v>
      </c>
      <c r="AM194" s="3">
        <v>0</v>
      </c>
      <c r="AN194" s="3">
        <v>2</v>
      </c>
      <c r="AO194" s="2"/>
      <c r="AP194" s="4">
        <v>46296</v>
      </c>
      <c r="AQ194" s="2" t="s">
        <v>1879</v>
      </c>
      <c r="AR194" s="2" t="s">
        <v>1454</v>
      </c>
    </row>
    <row r="195" customHeight="1" spans="1:44">
      <c r="A195" s="2" t="s">
        <v>650</v>
      </c>
      <c r="B195" s="2" t="s">
        <v>1692</v>
      </c>
      <c r="C195" s="2" t="s">
        <v>1454</v>
      </c>
      <c r="D195" s="2"/>
      <c r="E195" s="2"/>
      <c r="F195" s="2" t="s">
        <v>343</v>
      </c>
      <c r="G195" s="2" t="s">
        <v>1696</v>
      </c>
      <c r="H195" s="3">
        <v>0</v>
      </c>
      <c r="I195" s="3">
        <v>0</v>
      </c>
      <c r="J195" s="3">
        <v>7</v>
      </c>
      <c r="K195" s="3">
        <v>10</v>
      </c>
      <c r="L195" s="3">
        <v>1</v>
      </c>
      <c r="M195" s="3">
        <v>18</v>
      </c>
      <c r="N195" s="3">
        <v>20</v>
      </c>
      <c r="O195" s="46" t="s">
        <v>1209</v>
      </c>
      <c r="P195" s="3">
        <v>1657.115046</v>
      </c>
      <c r="Q195" s="3">
        <v>3498.353986</v>
      </c>
      <c r="R195" s="3">
        <v>0</v>
      </c>
      <c r="S195" s="3">
        <v>1</v>
      </c>
      <c r="T195" s="3">
        <v>3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92.061947</v>
      </c>
      <c r="AA195" s="3">
        <v>276.185841</v>
      </c>
      <c r="AB195" s="3">
        <v>12.66666667</v>
      </c>
      <c r="AC195" s="3">
        <v>6</v>
      </c>
      <c r="AD195" s="3">
        <v>5.666666667</v>
      </c>
      <c r="AE195" s="3">
        <v>0</v>
      </c>
      <c r="AF195" s="3">
        <v>2.333333333</v>
      </c>
      <c r="AG195" s="3">
        <v>3.333333333</v>
      </c>
      <c r="AH195" s="3">
        <v>4.5</v>
      </c>
      <c r="AI195" s="3">
        <v>0</v>
      </c>
      <c r="AJ195" s="3">
        <v>6</v>
      </c>
      <c r="AK195" s="3">
        <v>0</v>
      </c>
      <c r="AL195" s="2" t="s">
        <v>1710</v>
      </c>
      <c r="AM195" s="3">
        <v>0</v>
      </c>
      <c r="AN195" s="3">
        <v>3</v>
      </c>
      <c r="AO195" s="2"/>
      <c r="AP195" s="4">
        <v>46257</v>
      </c>
      <c r="AQ195" s="2" t="s">
        <v>1879</v>
      </c>
      <c r="AR195" s="2" t="s">
        <v>1454</v>
      </c>
    </row>
    <row r="196" customHeight="1" spans="1:44">
      <c r="A196" s="2" t="s">
        <v>644</v>
      </c>
      <c r="B196" s="2" t="s">
        <v>1692</v>
      </c>
      <c r="C196" s="2" t="s">
        <v>1454</v>
      </c>
      <c r="D196" s="2"/>
      <c r="E196" s="2"/>
      <c r="F196" s="2" t="s">
        <v>343</v>
      </c>
      <c r="G196" s="2" t="s">
        <v>1696</v>
      </c>
      <c r="H196" s="3">
        <v>0</v>
      </c>
      <c r="I196" s="3">
        <v>0</v>
      </c>
      <c r="J196" s="3">
        <v>5</v>
      </c>
      <c r="K196" s="3">
        <v>11</v>
      </c>
      <c r="L196" s="3">
        <v>2</v>
      </c>
      <c r="M196" s="3">
        <v>18</v>
      </c>
      <c r="N196" s="3">
        <v>20</v>
      </c>
      <c r="O196" s="46" t="s">
        <v>1209</v>
      </c>
      <c r="P196" s="3">
        <v>1558.67256</v>
      </c>
      <c r="Q196" s="3">
        <v>3290.53096</v>
      </c>
      <c r="R196" s="3">
        <v>0</v>
      </c>
      <c r="S196" s="3">
        <v>2</v>
      </c>
      <c r="T196" s="3">
        <v>3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86.59292</v>
      </c>
      <c r="AA196" s="3">
        <v>259.77876</v>
      </c>
      <c r="AB196" s="3">
        <v>12.66666667</v>
      </c>
      <c r="AC196" s="3">
        <v>6</v>
      </c>
      <c r="AD196" s="3">
        <v>5.333333333</v>
      </c>
      <c r="AE196" s="3">
        <v>0</v>
      </c>
      <c r="AF196" s="3">
        <v>1.666666667</v>
      </c>
      <c r="AG196" s="3">
        <v>3.666666667</v>
      </c>
      <c r="AH196" s="3">
        <v>4.5</v>
      </c>
      <c r="AI196" s="3">
        <v>0</v>
      </c>
      <c r="AJ196" s="3">
        <v>6</v>
      </c>
      <c r="AK196" s="3">
        <v>0</v>
      </c>
      <c r="AL196" s="2" t="s">
        <v>1710</v>
      </c>
      <c r="AM196" s="3">
        <v>0</v>
      </c>
      <c r="AN196" s="3">
        <v>3</v>
      </c>
      <c r="AO196" s="2"/>
      <c r="AP196" s="4">
        <v>46277</v>
      </c>
      <c r="AQ196" s="2" t="s">
        <v>1879</v>
      </c>
      <c r="AR196" s="2" t="s">
        <v>1454</v>
      </c>
    </row>
    <row r="197" customHeight="1" spans="1:44">
      <c r="A197" s="2" t="s">
        <v>602</v>
      </c>
      <c r="B197" s="2" t="s">
        <v>1692</v>
      </c>
      <c r="C197" s="2" t="s">
        <v>1454</v>
      </c>
      <c r="D197" s="2"/>
      <c r="E197" s="2"/>
      <c r="F197" s="2" t="s">
        <v>343</v>
      </c>
      <c r="G197" s="2" t="s">
        <v>1696</v>
      </c>
      <c r="H197" s="3">
        <v>0</v>
      </c>
      <c r="I197" s="3">
        <v>0</v>
      </c>
      <c r="J197" s="3">
        <v>6</v>
      </c>
      <c r="K197" s="3">
        <v>11</v>
      </c>
      <c r="L197" s="3">
        <v>1</v>
      </c>
      <c r="M197" s="3">
        <v>18</v>
      </c>
      <c r="N197" s="3">
        <v>0</v>
      </c>
      <c r="O197" s="46" t="s">
        <v>841</v>
      </c>
      <c r="P197" s="3">
        <v>1003.539816</v>
      </c>
      <c r="Q197" s="3">
        <v>1003.539816</v>
      </c>
      <c r="R197" s="3">
        <v>1</v>
      </c>
      <c r="S197" s="3">
        <v>2</v>
      </c>
      <c r="T197" s="3">
        <v>2</v>
      </c>
      <c r="U197" s="3">
        <v>1</v>
      </c>
      <c r="V197" s="3">
        <v>0</v>
      </c>
      <c r="W197" s="3">
        <v>0</v>
      </c>
      <c r="X197" s="3">
        <v>0</v>
      </c>
      <c r="Y197" s="3">
        <v>0</v>
      </c>
      <c r="Z197" s="3">
        <v>55.752212</v>
      </c>
      <c r="AA197" s="3">
        <v>111.504424</v>
      </c>
      <c r="AB197" s="3">
        <v>9</v>
      </c>
      <c r="AC197" s="3">
        <v>9</v>
      </c>
      <c r="AD197" s="3">
        <v>8.5</v>
      </c>
      <c r="AE197" s="3">
        <v>0</v>
      </c>
      <c r="AF197" s="3">
        <v>3</v>
      </c>
      <c r="AG197" s="3">
        <v>5.5</v>
      </c>
      <c r="AH197" s="3">
        <v>4.5</v>
      </c>
      <c r="AI197" s="3">
        <v>6</v>
      </c>
      <c r="AJ197" s="3">
        <v>6</v>
      </c>
      <c r="AK197" s="3">
        <v>334.513272</v>
      </c>
      <c r="AL197" s="2" t="s">
        <v>1710</v>
      </c>
      <c r="AM197" s="3">
        <v>0</v>
      </c>
      <c r="AN197" s="3">
        <v>2</v>
      </c>
      <c r="AO197" s="2"/>
      <c r="AP197" s="4">
        <v>46233</v>
      </c>
      <c r="AQ197" s="2" t="s">
        <v>1879</v>
      </c>
      <c r="AR197" s="2" t="s">
        <v>1454</v>
      </c>
    </row>
    <row r="198" customHeight="1" spans="1:44">
      <c r="A198" s="2" t="s">
        <v>139</v>
      </c>
      <c r="B198" s="2" t="s">
        <v>1692</v>
      </c>
      <c r="C198" s="2" t="s">
        <v>1454</v>
      </c>
      <c r="D198" s="2"/>
      <c r="E198" s="2"/>
      <c r="F198" s="2" t="s">
        <v>1880</v>
      </c>
      <c r="G198" s="2" t="s">
        <v>1696</v>
      </c>
      <c r="H198" s="3">
        <v>4</v>
      </c>
      <c r="I198" s="3">
        <v>0</v>
      </c>
      <c r="J198" s="3">
        <v>0</v>
      </c>
      <c r="K198" s="3">
        <v>0</v>
      </c>
      <c r="L198" s="3">
        <v>14</v>
      </c>
      <c r="M198" s="3">
        <v>18</v>
      </c>
      <c r="N198" s="3">
        <v>40</v>
      </c>
      <c r="O198" s="46" t="s">
        <v>947</v>
      </c>
      <c r="P198" s="3">
        <v>812.389374</v>
      </c>
      <c r="Q198" s="3">
        <v>2617.699094</v>
      </c>
      <c r="R198" s="3">
        <v>6</v>
      </c>
      <c r="S198" s="3">
        <v>9</v>
      </c>
      <c r="T198" s="3">
        <v>18</v>
      </c>
      <c r="U198" s="3">
        <v>6</v>
      </c>
      <c r="V198" s="3">
        <v>2</v>
      </c>
      <c r="W198" s="3">
        <v>0</v>
      </c>
      <c r="X198" s="3">
        <v>0</v>
      </c>
      <c r="Y198" s="3">
        <v>0</v>
      </c>
      <c r="Z198" s="3">
        <v>45.132743</v>
      </c>
      <c r="AA198" s="3">
        <v>812.389374</v>
      </c>
      <c r="AB198" s="3">
        <v>3.222222222</v>
      </c>
      <c r="AC198" s="3">
        <v>1</v>
      </c>
      <c r="AD198" s="3">
        <v>0.222222222</v>
      </c>
      <c r="AE198" s="3">
        <v>0.222222222</v>
      </c>
      <c r="AF198" s="3">
        <v>0</v>
      </c>
      <c r="AG198" s="3">
        <v>0</v>
      </c>
      <c r="AH198" s="3">
        <v>4.5</v>
      </c>
      <c r="AI198" s="3">
        <v>0</v>
      </c>
      <c r="AJ198" s="3">
        <v>6</v>
      </c>
      <c r="AK198" s="3">
        <v>0</v>
      </c>
      <c r="AL198" s="2" t="s">
        <v>1694</v>
      </c>
      <c r="AM198" s="3">
        <v>18</v>
      </c>
      <c r="AN198" s="3">
        <v>0</v>
      </c>
      <c r="AO198" s="4">
        <v>46206</v>
      </c>
      <c r="AP198" s="4">
        <v>45697</v>
      </c>
      <c r="AQ198" s="2" t="s">
        <v>1879</v>
      </c>
      <c r="AR198" s="2" t="s">
        <v>1454</v>
      </c>
    </row>
    <row r="199" customHeight="1" spans="1:44">
      <c r="A199" s="2" t="s">
        <v>560</v>
      </c>
      <c r="B199" s="2" t="s">
        <v>1692</v>
      </c>
      <c r="C199" s="2" t="s">
        <v>1454</v>
      </c>
      <c r="D199" s="2"/>
      <c r="E199" s="2"/>
      <c r="F199" s="2" t="s">
        <v>343</v>
      </c>
      <c r="G199" s="2" t="s">
        <v>1696</v>
      </c>
      <c r="H199" s="3">
        <v>0</v>
      </c>
      <c r="I199" s="3">
        <v>0</v>
      </c>
      <c r="J199" s="3">
        <v>8</v>
      </c>
      <c r="K199" s="3">
        <v>8</v>
      </c>
      <c r="L199" s="3">
        <v>1</v>
      </c>
      <c r="M199" s="3">
        <v>17</v>
      </c>
      <c r="N199" s="3">
        <v>20</v>
      </c>
      <c r="O199" s="46" t="s">
        <v>1940</v>
      </c>
      <c r="P199" s="3">
        <v>3099.115045</v>
      </c>
      <c r="Q199" s="3">
        <v>6745.132745</v>
      </c>
      <c r="R199" s="3">
        <v>1</v>
      </c>
      <c r="S199" s="3">
        <v>1</v>
      </c>
      <c r="T199" s="3">
        <v>1</v>
      </c>
      <c r="U199" s="3">
        <v>2</v>
      </c>
      <c r="V199" s="3">
        <v>1</v>
      </c>
      <c r="W199" s="3">
        <v>0</v>
      </c>
      <c r="X199" s="3">
        <v>0</v>
      </c>
      <c r="Y199" s="3">
        <v>0</v>
      </c>
      <c r="Z199" s="3">
        <v>182.300885</v>
      </c>
      <c r="AA199" s="3">
        <v>182.300885</v>
      </c>
      <c r="AB199" s="3">
        <v>37</v>
      </c>
      <c r="AC199" s="3">
        <v>17</v>
      </c>
      <c r="AD199" s="3">
        <v>16</v>
      </c>
      <c r="AE199" s="3">
        <v>0</v>
      </c>
      <c r="AF199" s="3">
        <v>8</v>
      </c>
      <c r="AG199" s="3">
        <v>8</v>
      </c>
      <c r="AH199" s="3">
        <v>4.5</v>
      </c>
      <c r="AI199" s="3">
        <v>11</v>
      </c>
      <c r="AJ199" s="3">
        <v>6</v>
      </c>
      <c r="AK199" s="3">
        <v>2005.309735</v>
      </c>
      <c r="AL199" s="2" t="s">
        <v>1710</v>
      </c>
      <c r="AM199" s="3">
        <v>0</v>
      </c>
      <c r="AN199" s="3">
        <v>1</v>
      </c>
      <c r="AO199" s="2"/>
      <c r="AP199" s="4">
        <v>46233</v>
      </c>
      <c r="AQ199" s="2" t="s">
        <v>1879</v>
      </c>
      <c r="AR199" s="2" t="s">
        <v>1454</v>
      </c>
    </row>
    <row r="200" customHeight="1" spans="1:44">
      <c r="A200" s="2" t="s">
        <v>313</v>
      </c>
      <c r="B200" s="2" t="s">
        <v>1692</v>
      </c>
      <c r="C200" s="2" t="s">
        <v>1454</v>
      </c>
      <c r="D200" s="2"/>
      <c r="E200" s="2"/>
      <c r="F200" s="2" t="s">
        <v>1880</v>
      </c>
      <c r="G200" s="2" t="s">
        <v>1696</v>
      </c>
      <c r="H200" s="3">
        <v>10</v>
      </c>
      <c r="I200" s="3">
        <v>0</v>
      </c>
      <c r="J200" s="3">
        <v>1</v>
      </c>
      <c r="K200" s="3">
        <v>6</v>
      </c>
      <c r="L200" s="3">
        <v>0</v>
      </c>
      <c r="M200" s="3">
        <v>17</v>
      </c>
      <c r="N200" s="3">
        <v>90</v>
      </c>
      <c r="O200" s="46" t="s">
        <v>1946</v>
      </c>
      <c r="P200" s="3">
        <v>1117.157839</v>
      </c>
      <c r="Q200" s="3">
        <v>7031.522869</v>
      </c>
      <c r="R200" s="3">
        <v>3</v>
      </c>
      <c r="S200" s="3">
        <v>7</v>
      </c>
      <c r="T200" s="3">
        <v>11</v>
      </c>
      <c r="U200" s="3">
        <v>17</v>
      </c>
      <c r="V200" s="3">
        <v>23</v>
      </c>
      <c r="W200" s="3">
        <v>0</v>
      </c>
      <c r="X200" s="3">
        <v>0</v>
      </c>
      <c r="Y200" s="3">
        <v>0</v>
      </c>
      <c r="Z200" s="3">
        <v>65.715167</v>
      </c>
      <c r="AA200" s="3">
        <v>722.866837</v>
      </c>
      <c r="AB200" s="3">
        <v>9.727272727</v>
      </c>
      <c r="AC200" s="3">
        <v>1.545454545</v>
      </c>
      <c r="AD200" s="3">
        <v>1.545454545</v>
      </c>
      <c r="AE200" s="3">
        <v>0.909090909</v>
      </c>
      <c r="AF200" s="3">
        <v>0.090909091</v>
      </c>
      <c r="AG200" s="3">
        <v>0.545454545</v>
      </c>
      <c r="AH200" s="3">
        <v>4.5</v>
      </c>
      <c r="AI200" s="3">
        <v>0</v>
      </c>
      <c r="AJ200" s="3">
        <v>6</v>
      </c>
      <c r="AK200" s="3">
        <v>0</v>
      </c>
      <c r="AL200" s="2" t="s">
        <v>1694</v>
      </c>
      <c r="AM200" s="3">
        <v>5</v>
      </c>
      <c r="AN200" s="3">
        <v>4</v>
      </c>
      <c r="AO200" s="4">
        <v>46012</v>
      </c>
      <c r="AP200" s="4">
        <v>45704</v>
      </c>
      <c r="AQ200" s="2" t="s">
        <v>1879</v>
      </c>
      <c r="AR200" s="2" t="s">
        <v>1454</v>
      </c>
    </row>
    <row r="201" customHeight="1" spans="1:44">
      <c r="A201" s="2" t="s">
        <v>578</v>
      </c>
      <c r="B201" s="2" t="s">
        <v>1692</v>
      </c>
      <c r="C201" s="2" t="s">
        <v>1454</v>
      </c>
      <c r="D201" s="2"/>
      <c r="E201" s="2"/>
      <c r="F201" s="2" t="s">
        <v>343</v>
      </c>
      <c r="G201" s="2" t="s">
        <v>1696</v>
      </c>
      <c r="H201" s="3">
        <v>0</v>
      </c>
      <c r="I201" s="3">
        <v>0</v>
      </c>
      <c r="J201" s="3">
        <v>8</v>
      </c>
      <c r="K201" s="3">
        <v>6</v>
      </c>
      <c r="L201" s="3">
        <v>2</v>
      </c>
      <c r="M201" s="3">
        <v>16</v>
      </c>
      <c r="N201" s="3">
        <v>0</v>
      </c>
      <c r="O201" s="46" t="s">
        <v>840</v>
      </c>
      <c r="P201" s="3">
        <v>792.920352</v>
      </c>
      <c r="Q201" s="3">
        <v>792.920352</v>
      </c>
      <c r="R201" s="3">
        <v>0</v>
      </c>
      <c r="S201" s="3">
        <v>0</v>
      </c>
      <c r="T201" s="3">
        <v>1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49.557522</v>
      </c>
      <c r="AA201" s="3">
        <v>49.557522</v>
      </c>
      <c r="AB201" s="3">
        <v>16</v>
      </c>
      <c r="AC201" s="3">
        <v>16</v>
      </c>
      <c r="AD201" s="3">
        <v>14</v>
      </c>
      <c r="AE201" s="3">
        <v>0</v>
      </c>
      <c r="AF201" s="3">
        <v>8</v>
      </c>
      <c r="AG201" s="3">
        <v>6</v>
      </c>
      <c r="AH201" s="3">
        <v>4.5</v>
      </c>
      <c r="AI201" s="3">
        <v>10</v>
      </c>
      <c r="AJ201" s="3">
        <v>6</v>
      </c>
      <c r="AK201" s="3">
        <v>495.57522</v>
      </c>
      <c r="AL201" s="2" t="s">
        <v>1710</v>
      </c>
      <c r="AM201" s="3">
        <v>0</v>
      </c>
      <c r="AN201" s="3">
        <v>1</v>
      </c>
      <c r="AO201" s="2"/>
      <c r="AP201" s="4">
        <v>46233</v>
      </c>
      <c r="AQ201" s="2" t="s">
        <v>1879</v>
      </c>
      <c r="AR201" s="2" t="s">
        <v>1454</v>
      </c>
    </row>
    <row r="202" customHeight="1" spans="1:44">
      <c r="A202" s="2" t="s">
        <v>569</v>
      </c>
      <c r="B202" s="2" t="s">
        <v>1692</v>
      </c>
      <c r="C202" s="2" t="s">
        <v>1454</v>
      </c>
      <c r="D202" s="2"/>
      <c r="E202" s="2"/>
      <c r="F202" s="2" t="s">
        <v>343</v>
      </c>
      <c r="G202" s="2" t="s">
        <v>1696</v>
      </c>
      <c r="H202" s="3">
        <v>0</v>
      </c>
      <c r="I202" s="3">
        <v>0</v>
      </c>
      <c r="J202" s="3">
        <v>3</v>
      </c>
      <c r="K202" s="3">
        <v>9</v>
      </c>
      <c r="L202" s="3">
        <v>4</v>
      </c>
      <c r="M202" s="3">
        <v>16</v>
      </c>
      <c r="N202" s="3">
        <v>0</v>
      </c>
      <c r="O202" s="46" t="s">
        <v>840</v>
      </c>
      <c r="P202" s="3">
        <v>1118.584064</v>
      </c>
      <c r="Q202" s="3">
        <v>1118.584064</v>
      </c>
      <c r="R202" s="3">
        <v>2</v>
      </c>
      <c r="S202" s="3">
        <v>2</v>
      </c>
      <c r="T202" s="3">
        <v>5</v>
      </c>
      <c r="U202" s="3">
        <v>2</v>
      </c>
      <c r="V202" s="3">
        <v>0</v>
      </c>
      <c r="W202" s="3">
        <v>0</v>
      </c>
      <c r="X202" s="3">
        <v>0</v>
      </c>
      <c r="Y202" s="3">
        <v>0</v>
      </c>
      <c r="Z202" s="3">
        <v>69.911504</v>
      </c>
      <c r="AA202" s="3">
        <v>349.55752</v>
      </c>
      <c r="AB202" s="3">
        <v>3.2</v>
      </c>
      <c r="AC202" s="3">
        <v>3.2</v>
      </c>
      <c r="AD202" s="3">
        <v>2.4</v>
      </c>
      <c r="AE202" s="3">
        <v>0</v>
      </c>
      <c r="AF202" s="3">
        <v>0.6</v>
      </c>
      <c r="AG202" s="3">
        <v>1.8</v>
      </c>
      <c r="AH202" s="3">
        <v>4.5</v>
      </c>
      <c r="AI202" s="3">
        <v>0</v>
      </c>
      <c r="AJ202" s="3">
        <v>6</v>
      </c>
      <c r="AK202" s="3">
        <v>0</v>
      </c>
      <c r="AL202" s="2" t="s">
        <v>1710</v>
      </c>
      <c r="AM202" s="3">
        <v>0</v>
      </c>
      <c r="AN202" s="3">
        <v>5</v>
      </c>
      <c r="AO202" s="2"/>
      <c r="AP202" s="4">
        <v>46233</v>
      </c>
      <c r="AQ202" s="2" t="s">
        <v>1879</v>
      </c>
      <c r="AR202" s="2" t="s">
        <v>1454</v>
      </c>
    </row>
    <row r="203" customHeight="1" spans="1:44">
      <c r="A203" s="2" t="s">
        <v>557</v>
      </c>
      <c r="B203" s="2" t="s">
        <v>1692</v>
      </c>
      <c r="C203" s="2" t="s">
        <v>1454</v>
      </c>
      <c r="D203" s="2"/>
      <c r="E203" s="2"/>
      <c r="F203" s="2" t="s">
        <v>343</v>
      </c>
      <c r="G203" s="2" t="s">
        <v>1696</v>
      </c>
      <c r="H203" s="3">
        <v>0</v>
      </c>
      <c r="I203" s="3">
        <v>0</v>
      </c>
      <c r="J203" s="3">
        <v>8</v>
      </c>
      <c r="K203" s="3">
        <v>7</v>
      </c>
      <c r="L203" s="3">
        <v>1</v>
      </c>
      <c r="M203" s="3">
        <v>16</v>
      </c>
      <c r="N203" s="3">
        <v>0</v>
      </c>
      <c r="O203" s="46" t="s">
        <v>840</v>
      </c>
      <c r="P203" s="3">
        <v>807.079648</v>
      </c>
      <c r="Q203" s="3">
        <v>807.079648</v>
      </c>
      <c r="R203" s="3">
        <v>0</v>
      </c>
      <c r="S203" s="3">
        <v>0</v>
      </c>
      <c r="T203" s="3">
        <v>0</v>
      </c>
      <c r="U203" s="3">
        <v>1</v>
      </c>
      <c r="V203" s="3">
        <v>0</v>
      </c>
      <c r="W203" s="3">
        <v>0</v>
      </c>
      <c r="X203" s="3">
        <v>0</v>
      </c>
      <c r="Y203" s="3">
        <v>0</v>
      </c>
      <c r="Z203" s="3">
        <v>50.442478</v>
      </c>
      <c r="AA203" s="3">
        <v>0</v>
      </c>
      <c r="AB203" s="3"/>
      <c r="AC203" s="3"/>
      <c r="AD203" s="3"/>
      <c r="AE203" s="3"/>
      <c r="AF203" s="3"/>
      <c r="AG203" s="3"/>
      <c r="AH203" s="3">
        <v>4.5</v>
      </c>
      <c r="AI203" s="3">
        <v>16</v>
      </c>
      <c r="AJ203" s="3">
        <v>6</v>
      </c>
      <c r="AK203" s="3">
        <v>807.079648</v>
      </c>
      <c r="AL203" s="2" t="s">
        <v>1710</v>
      </c>
      <c r="AM203" s="3">
        <v>0</v>
      </c>
      <c r="AN203" s="3">
        <v>0</v>
      </c>
      <c r="AO203" s="2"/>
      <c r="AP203" s="4">
        <v>46226</v>
      </c>
      <c r="AQ203" s="2" t="s">
        <v>1879</v>
      </c>
      <c r="AR203" s="2" t="s">
        <v>1454</v>
      </c>
    </row>
    <row r="204" customHeight="1" spans="1:44">
      <c r="A204" s="2" t="s">
        <v>437</v>
      </c>
      <c r="B204" s="2" t="s">
        <v>1692</v>
      </c>
      <c r="C204" s="2" t="s">
        <v>1454</v>
      </c>
      <c r="D204" s="2"/>
      <c r="E204" s="2"/>
      <c r="F204" s="2" t="s">
        <v>343</v>
      </c>
      <c r="G204" s="2" t="s">
        <v>1696</v>
      </c>
      <c r="H204" s="3">
        <v>0</v>
      </c>
      <c r="I204" s="3">
        <v>5</v>
      </c>
      <c r="J204" s="3">
        <v>7</v>
      </c>
      <c r="K204" s="3">
        <v>3</v>
      </c>
      <c r="L204" s="3">
        <v>1</v>
      </c>
      <c r="M204" s="3">
        <v>16</v>
      </c>
      <c r="N204" s="3">
        <v>20</v>
      </c>
      <c r="O204" s="46" t="s">
        <v>980</v>
      </c>
      <c r="P204" s="3">
        <v>627.11504</v>
      </c>
      <c r="Q204" s="3">
        <v>1411.00884</v>
      </c>
      <c r="R204" s="3">
        <v>1</v>
      </c>
      <c r="S204" s="3">
        <v>1</v>
      </c>
      <c r="T204" s="3">
        <v>3</v>
      </c>
      <c r="U204" s="3">
        <v>1</v>
      </c>
      <c r="V204" s="3">
        <v>0</v>
      </c>
      <c r="W204" s="3">
        <v>0</v>
      </c>
      <c r="X204" s="3">
        <v>0</v>
      </c>
      <c r="Y204" s="3">
        <v>0</v>
      </c>
      <c r="Z204" s="3">
        <v>39.19469</v>
      </c>
      <c r="AA204" s="3">
        <v>117.58407</v>
      </c>
      <c r="AB204" s="3">
        <v>12</v>
      </c>
      <c r="AC204" s="3">
        <v>5.333333333</v>
      </c>
      <c r="AD204" s="3">
        <v>5</v>
      </c>
      <c r="AE204" s="3">
        <v>0</v>
      </c>
      <c r="AF204" s="3">
        <v>2.333333333</v>
      </c>
      <c r="AG204" s="3">
        <v>1</v>
      </c>
      <c r="AH204" s="3">
        <v>4.5</v>
      </c>
      <c r="AI204" s="3">
        <v>0</v>
      </c>
      <c r="AJ204" s="3">
        <v>6</v>
      </c>
      <c r="AK204" s="3">
        <v>0</v>
      </c>
      <c r="AL204" s="2" t="s">
        <v>1710</v>
      </c>
      <c r="AM204" s="3">
        <v>0</v>
      </c>
      <c r="AN204" s="3">
        <v>3</v>
      </c>
      <c r="AO204" s="2"/>
      <c r="AP204" s="4">
        <v>46253</v>
      </c>
      <c r="AQ204" s="2" t="s">
        <v>1879</v>
      </c>
      <c r="AR204" s="2" t="s">
        <v>1454</v>
      </c>
    </row>
    <row r="205" customHeight="1" spans="1:44">
      <c r="A205" s="2" t="s">
        <v>551</v>
      </c>
      <c r="B205" s="2" t="s">
        <v>1692</v>
      </c>
      <c r="C205" s="2" t="s">
        <v>1454</v>
      </c>
      <c r="D205" s="2"/>
      <c r="E205" s="2"/>
      <c r="F205" s="2" t="s">
        <v>343</v>
      </c>
      <c r="G205" s="2" t="s">
        <v>1696</v>
      </c>
      <c r="H205" s="3">
        <v>0</v>
      </c>
      <c r="I205" s="3">
        <v>0</v>
      </c>
      <c r="J205" s="3">
        <v>4</v>
      </c>
      <c r="K205" s="3">
        <v>10</v>
      </c>
      <c r="L205" s="3">
        <v>1</v>
      </c>
      <c r="M205" s="3">
        <v>15</v>
      </c>
      <c r="N205" s="3">
        <v>0</v>
      </c>
      <c r="O205" s="46" t="s">
        <v>761</v>
      </c>
      <c r="P205" s="3">
        <v>690.265485</v>
      </c>
      <c r="Q205" s="3">
        <v>690.265485</v>
      </c>
      <c r="R205" s="3">
        <v>1</v>
      </c>
      <c r="S205" s="3">
        <v>2</v>
      </c>
      <c r="T205" s="3">
        <v>2</v>
      </c>
      <c r="U205" s="3">
        <v>2</v>
      </c>
      <c r="V205" s="3">
        <v>1</v>
      </c>
      <c r="W205" s="3">
        <v>0</v>
      </c>
      <c r="X205" s="3">
        <v>0</v>
      </c>
      <c r="Y205" s="3">
        <v>0</v>
      </c>
      <c r="Z205" s="3">
        <v>46.017699</v>
      </c>
      <c r="AA205" s="3">
        <v>92.035398</v>
      </c>
      <c r="AB205" s="3">
        <v>7.5</v>
      </c>
      <c r="AC205" s="3">
        <v>7.5</v>
      </c>
      <c r="AD205" s="3">
        <v>7</v>
      </c>
      <c r="AE205" s="3">
        <v>0</v>
      </c>
      <c r="AF205" s="3">
        <v>2</v>
      </c>
      <c r="AG205" s="3">
        <v>5</v>
      </c>
      <c r="AH205" s="3">
        <v>4.5</v>
      </c>
      <c r="AI205" s="3">
        <v>3</v>
      </c>
      <c r="AJ205" s="3">
        <v>6</v>
      </c>
      <c r="AK205" s="3">
        <v>138.053097</v>
      </c>
      <c r="AL205" s="2" t="s">
        <v>1710</v>
      </c>
      <c r="AM205" s="3">
        <v>0</v>
      </c>
      <c r="AN205" s="3">
        <v>2</v>
      </c>
      <c r="AO205" s="2"/>
      <c r="AP205" s="4">
        <v>46226</v>
      </c>
      <c r="AQ205" s="2" t="s">
        <v>1879</v>
      </c>
      <c r="AR205" s="2" t="s">
        <v>1454</v>
      </c>
    </row>
    <row r="206" customHeight="1" spans="1:44">
      <c r="A206" s="2" t="s">
        <v>593</v>
      </c>
      <c r="B206" s="2" t="s">
        <v>1692</v>
      </c>
      <c r="C206" s="2" t="s">
        <v>1454</v>
      </c>
      <c r="D206" s="2"/>
      <c r="E206" s="2"/>
      <c r="F206" s="2" t="s">
        <v>343</v>
      </c>
      <c r="G206" s="2" t="s">
        <v>1696</v>
      </c>
      <c r="H206" s="3">
        <v>0</v>
      </c>
      <c r="I206" s="3">
        <v>0</v>
      </c>
      <c r="J206" s="3">
        <v>8</v>
      </c>
      <c r="K206" s="3">
        <v>6</v>
      </c>
      <c r="L206" s="3">
        <v>1</v>
      </c>
      <c r="M206" s="3">
        <v>15</v>
      </c>
      <c r="N206" s="3">
        <v>30</v>
      </c>
      <c r="O206" s="46" t="s">
        <v>1027</v>
      </c>
      <c r="P206" s="3">
        <v>1061.9469</v>
      </c>
      <c r="Q206" s="3">
        <v>3185.8407</v>
      </c>
      <c r="R206" s="3">
        <v>0</v>
      </c>
      <c r="S206" s="3">
        <v>0</v>
      </c>
      <c r="T206" s="3">
        <v>4</v>
      </c>
      <c r="U206" s="3">
        <v>3</v>
      </c>
      <c r="V206" s="3">
        <v>1</v>
      </c>
      <c r="W206" s="3">
        <v>0</v>
      </c>
      <c r="X206" s="3">
        <v>0</v>
      </c>
      <c r="Y206" s="3">
        <v>0</v>
      </c>
      <c r="Z206" s="3">
        <v>70.79646</v>
      </c>
      <c r="AA206" s="3">
        <v>283.18584</v>
      </c>
      <c r="AB206" s="3">
        <v>11.25</v>
      </c>
      <c r="AC206" s="3">
        <v>3.75</v>
      </c>
      <c r="AD206" s="3">
        <v>3.5</v>
      </c>
      <c r="AE206" s="3">
        <v>0</v>
      </c>
      <c r="AF206" s="3">
        <v>2</v>
      </c>
      <c r="AG206" s="3">
        <v>1.5</v>
      </c>
      <c r="AH206" s="3">
        <v>4.5</v>
      </c>
      <c r="AI206" s="3">
        <v>0</v>
      </c>
      <c r="AJ206" s="3">
        <v>6</v>
      </c>
      <c r="AK206" s="3">
        <v>0</v>
      </c>
      <c r="AL206" s="2" t="s">
        <v>1710</v>
      </c>
      <c r="AM206" s="3">
        <v>0</v>
      </c>
      <c r="AN206" s="3">
        <v>4</v>
      </c>
      <c r="AO206" s="2"/>
      <c r="AP206" s="4">
        <v>46233</v>
      </c>
      <c r="AQ206" s="2" t="s">
        <v>1879</v>
      </c>
      <c r="AR206" s="2" t="s">
        <v>1454</v>
      </c>
    </row>
    <row r="207" customHeight="1" spans="1:44">
      <c r="A207" s="2" t="s">
        <v>208</v>
      </c>
      <c r="B207" s="2" t="s">
        <v>1692</v>
      </c>
      <c r="C207" s="2" t="s">
        <v>1454</v>
      </c>
      <c r="D207" s="2"/>
      <c r="E207" s="2"/>
      <c r="F207" s="2" t="s">
        <v>1885</v>
      </c>
      <c r="G207" s="2" t="s">
        <v>1696</v>
      </c>
      <c r="H207" s="3">
        <v>0</v>
      </c>
      <c r="I207" s="3">
        <v>0</v>
      </c>
      <c r="J207" s="3">
        <v>9</v>
      </c>
      <c r="K207" s="3">
        <v>1</v>
      </c>
      <c r="L207" s="3">
        <v>4</v>
      </c>
      <c r="M207" s="3">
        <v>14</v>
      </c>
      <c r="N207" s="3">
        <v>30</v>
      </c>
      <c r="O207" s="46" t="s">
        <v>807</v>
      </c>
      <c r="P207" s="3">
        <v>1240.142582</v>
      </c>
      <c r="Q207" s="3">
        <v>3897.590972</v>
      </c>
      <c r="R207" s="3">
        <v>0</v>
      </c>
      <c r="S207" s="3">
        <v>1</v>
      </c>
      <c r="T207" s="3">
        <v>5</v>
      </c>
      <c r="U207" s="3">
        <v>5</v>
      </c>
      <c r="V207" s="3">
        <v>6</v>
      </c>
      <c r="W207" s="3">
        <v>0</v>
      </c>
      <c r="X207" s="3">
        <v>0</v>
      </c>
      <c r="Y207" s="3">
        <v>0</v>
      </c>
      <c r="Z207" s="3">
        <v>88.581613</v>
      </c>
      <c r="AA207" s="3">
        <v>442.908065</v>
      </c>
      <c r="AB207" s="3">
        <v>8.8</v>
      </c>
      <c r="AC207" s="3">
        <v>2.8</v>
      </c>
      <c r="AD207" s="3">
        <v>2</v>
      </c>
      <c r="AE207" s="3">
        <v>0</v>
      </c>
      <c r="AF207" s="3">
        <v>1.8</v>
      </c>
      <c r="AG207" s="3">
        <v>0.2</v>
      </c>
      <c r="AH207" s="3">
        <v>4.5</v>
      </c>
      <c r="AI207" s="3">
        <v>0</v>
      </c>
      <c r="AJ207" s="3">
        <v>6</v>
      </c>
      <c r="AK207" s="3">
        <v>0</v>
      </c>
      <c r="AL207" s="2" t="s">
        <v>1694</v>
      </c>
      <c r="AM207" s="3">
        <v>0</v>
      </c>
      <c r="AN207" s="3">
        <v>5</v>
      </c>
      <c r="AO207" s="2"/>
      <c r="AP207" s="4">
        <v>45765</v>
      </c>
      <c r="AQ207" s="2" t="s">
        <v>1879</v>
      </c>
      <c r="AR207" s="2" t="s">
        <v>1454</v>
      </c>
    </row>
    <row r="208" customHeight="1" spans="1:44">
      <c r="A208" s="2" t="s">
        <v>261</v>
      </c>
      <c r="B208" s="2" t="s">
        <v>1692</v>
      </c>
      <c r="C208" s="2" t="s">
        <v>1454</v>
      </c>
      <c r="D208" s="2"/>
      <c r="E208" s="2"/>
      <c r="F208" s="2" t="s">
        <v>1880</v>
      </c>
      <c r="G208" s="2" t="s">
        <v>1696</v>
      </c>
      <c r="H208" s="3">
        <v>0</v>
      </c>
      <c r="I208" s="3">
        <v>0</v>
      </c>
      <c r="J208" s="3">
        <v>11</v>
      </c>
      <c r="K208" s="3">
        <v>2</v>
      </c>
      <c r="L208" s="3">
        <v>1</v>
      </c>
      <c r="M208" s="3">
        <v>14</v>
      </c>
      <c r="N208" s="3">
        <v>24</v>
      </c>
      <c r="O208" s="46" t="s">
        <v>1209</v>
      </c>
      <c r="P208" s="3">
        <v>743.36283</v>
      </c>
      <c r="Q208" s="3">
        <v>2017.69911</v>
      </c>
      <c r="R208" s="3">
        <v>3</v>
      </c>
      <c r="S208" s="3">
        <v>5</v>
      </c>
      <c r="T208" s="3">
        <v>6</v>
      </c>
      <c r="U208" s="3">
        <v>4</v>
      </c>
      <c r="V208" s="3">
        <v>1</v>
      </c>
      <c r="W208" s="3">
        <v>0</v>
      </c>
      <c r="X208" s="3">
        <v>0</v>
      </c>
      <c r="Y208" s="3">
        <v>0</v>
      </c>
      <c r="Z208" s="3">
        <v>53.097345</v>
      </c>
      <c r="AA208" s="3">
        <v>318.58407</v>
      </c>
      <c r="AB208" s="3">
        <v>6.333333333</v>
      </c>
      <c r="AC208" s="3">
        <v>2.333333333</v>
      </c>
      <c r="AD208" s="3">
        <v>2.166666667</v>
      </c>
      <c r="AE208" s="3">
        <v>0</v>
      </c>
      <c r="AF208" s="3">
        <v>1.833333333</v>
      </c>
      <c r="AG208" s="3">
        <v>0.333333333</v>
      </c>
      <c r="AH208" s="3">
        <v>4.5</v>
      </c>
      <c r="AI208" s="3">
        <v>0</v>
      </c>
      <c r="AJ208" s="3">
        <v>6</v>
      </c>
      <c r="AK208" s="3">
        <v>0</v>
      </c>
      <c r="AL208" s="2" t="s">
        <v>1694</v>
      </c>
      <c r="AM208" s="3">
        <v>0</v>
      </c>
      <c r="AN208" s="3">
        <v>6</v>
      </c>
      <c r="AO208" s="2"/>
      <c r="AP208" s="4">
        <v>45704</v>
      </c>
      <c r="AQ208" s="2" t="s">
        <v>1879</v>
      </c>
      <c r="AR208" s="2" t="s">
        <v>1454</v>
      </c>
    </row>
    <row r="209" customHeight="1" spans="1:44">
      <c r="A209" s="2" t="s">
        <v>554</v>
      </c>
      <c r="B209" s="2" t="s">
        <v>1692</v>
      </c>
      <c r="C209" s="2" t="s">
        <v>1454</v>
      </c>
      <c r="D209" s="2"/>
      <c r="E209" s="2"/>
      <c r="F209" s="2" t="s">
        <v>343</v>
      </c>
      <c r="G209" s="2" t="s">
        <v>1696</v>
      </c>
      <c r="H209" s="3">
        <v>0</v>
      </c>
      <c r="I209" s="3">
        <v>0</v>
      </c>
      <c r="J209" s="3">
        <v>6</v>
      </c>
      <c r="K209" s="3">
        <v>7</v>
      </c>
      <c r="L209" s="3">
        <v>1</v>
      </c>
      <c r="M209" s="3">
        <v>14</v>
      </c>
      <c r="N209" s="3">
        <v>0</v>
      </c>
      <c r="O209" s="46" t="s">
        <v>945</v>
      </c>
      <c r="P209" s="3">
        <v>656.63717</v>
      </c>
      <c r="Q209" s="3">
        <v>656.63717</v>
      </c>
      <c r="R209" s="3">
        <v>0</v>
      </c>
      <c r="S209" s="3">
        <v>0</v>
      </c>
      <c r="T209" s="3">
        <v>1</v>
      </c>
      <c r="U209" s="3">
        <v>1</v>
      </c>
      <c r="V209" s="3">
        <v>0</v>
      </c>
      <c r="W209" s="3">
        <v>0</v>
      </c>
      <c r="X209" s="3">
        <v>0</v>
      </c>
      <c r="Y209" s="3">
        <v>0</v>
      </c>
      <c r="Z209" s="3">
        <v>46.902655</v>
      </c>
      <c r="AA209" s="3">
        <v>46.902655</v>
      </c>
      <c r="AB209" s="3">
        <v>14</v>
      </c>
      <c r="AC209" s="3">
        <v>14</v>
      </c>
      <c r="AD209" s="3">
        <v>13</v>
      </c>
      <c r="AE209" s="3">
        <v>0</v>
      </c>
      <c r="AF209" s="3">
        <v>6</v>
      </c>
      <c r="AG209" s="3">
        <v>7</v>
      </c>
      <c r="AH209" s="3">
        <v>4.5</v>
      </c>
      <c r="AI209" s="3">
        <v>8</v>
      </c>
      <c r="AJ209" s="3">
        <v>6</v>
      </c>
      <c r="AK209" s="3">
        <v>375.22124</v>
      </c>
      <c r="AL209" s="2" t="s">
        <v>1710</v>
      </c>
      <c r="AM209" s="3">
        <v>0</v>
      </c>
      <c r="AN209" s="3">
        <v>1</v>
      </c>
      <c r="AO209" s="2"/>
      <c r="AP209" s="4">
        <v>46226</v>
      </c>
      <c r="AQ209" s="2" t="s">
        <v>1879</v>
      </c>
      <c r="AR209" s="2" t="s">
        <v>1454</v>
      </c>
    </row>
    <row r="210" customHeight="1" spans="1:44">
      <c r="A210" s="2" t="s">
        <v>536</v>
      </c>
      <c r="B210" s="2" t="s">
        <v>1692</v>
      </c>
      <c r="C210" s="2" t="s">
        <v>1454</v>
      </c>
      <c r="D210" s="2"/>
      <c r="E210" s="2"/>
      <c r="F210" s="2" t="s">
        <v>1880</v>
      </c>
      <c r="G210" s="2" t="s">
        <v>1696</v>
      </c>
      <c r="H210" s="3">
        <v>0</v>
      </c>
      <c r="I210" s="3">
        <v>0</v>
      </c>
      <c r="J210" s="3">
        <v>7</v>
      </c>
      <c r="K210" s="3">
        <v>6</v>
      </c>
      <c r="L210" s="3">
        <v>0</v>
      </c>
      <c r="M210" s="3">
        <v>13</v>
      </c>
      <c r="N210" s="3">
        <v>20</v>
      </c>
      <c r="O210" s="46" t="s">
        <v>816</v>
      </c>
      <c r="P210" s="3">
        <v>706.194684</v>
      </c>
      <c r="Q210" s="3">
        <v>1792.648044</v>
      </c>
      <c r="R210" s="3">
        <v>1</v>
      </c>
      <c r="S210" s="3">
        <v>3</v>
      </c>
      <c r="T210" s="3">
        <v>6</v>
      </c>
      <c r="U210" s="3">
        <v>2</v>
      </c>
      <c r="V210" s="3">
        <v>2</v>
      </c>
      <c r="W210" s="3">
        <v>0</v>
      </c>
      <c r="X210" s="3">
        <v>0</v>
      </c>
      <c r="Y210" s="3">
        <v>0</v>
      </c>
      <c r="Z210" s="3">
        <v>54.322668</v>
      </c>
      <c r="AA210" s="3">
        <v>325.936008</v>
      </c>
      <c r="AB210" s="3">
        <v>5.5</v>
      </c>
      <c r="AC210" s="3">
        <v>2.166666667</v>
      </c>
      <c r="AD210" s="3">
        <v>2.166666667</v>
      </c>
      <c r="AE210" s="3">
        <v>0</v>
      </c>
      <c r="AF210" s="3">
        <v>1.166666667</v>
      </c>
      <c r="AG210" s="3">
        <v>1</v>
      </c>
      <c r="AH210" s="3">
        <v>4.5</v>
      </c>
      <c r="AI210" s="3">
        <v>0</v>
      </c>
      <c r="AJ210" s="3">
        <v>6</v>
      </c>
      <c r="AK210" s="3">
        <v>0</v>
      </c>
      <c r="AL210" s="2" t="s">
        <v>1694</v>
      </c>
      <c r="AM210" s="3">
        <v>0</v>
      </c>
      <c r="AN210" s="3">
        <v>6</v>
      </c>
      <c r="AO210" s="2"/>
      <c r="AP210" s="4">
        <v>45704</v>
      </c>
      <c r="AQ210" s="2" t="s">
        <v>1879</v>
      </c>
      <c r="AR210" s="2" t="s">
        <v>1454</v>
      </c>
    </row>
    <row r="211" customHeight="1" spans="1:44">
      <c r="A211" s="2" t="s">
        <v>572</v>
      </c>
      <c r="B211" s="2" t="s">
        <v>1692</v>
      </c>
      <c r="C211" s="2" t="s">
        <v>1454</v>
      </c>
      <c r="D211" s="2"/>
      <c r="E211" s="2"/>
      <c r="F211" s="2" t="s">
        <v>343</v>
      </c>
      <c r="G211" s="2" t="s">
        <v>1696</v>
      </c>
      <c r="H211" s="3">
        <v>0</v>
      </c>
      <c r="I211" s="3">
        <v>0</v>
      </c>
      <c r="J211" s="3">
        <v>2</v>
      </c>
      <c r="K211" s="3">
        <v>10</v>
      </c>
      <c r="L211" s="3">
        <v>1</v>
      </c>
      <c r="M211" s="3">
        <v>13</v>
      </c>
      <c r="N211" s="3">
        <v>20</v>
      </c>
      <c r="O211" s="46" t="s">
        <v>816</v>
      </c>
      <c r="P211" s="3">
        <v>521.380535</v>
      </c>
      <c r="Q211" s="3">
        <v>1323.504435</v>
      </c>
      <c r="R211" s="3">
        <v>0</v>
      </c>
      <c r="S211" s="3">
        <v>1</v>
      </c>
      <c r="T211" s="3">
        <v>5</v>
      </c>
      <c r="U211" s="3">
        <v>2</v>
      </c>
      <c r="V211" s="3">
        <v>0</v>
      </c>
      <c r="W211" s="3">
        <v>0</v>
      </c>
      <c r="X211" s="3">
        <v>0</v>
      </c>
      <c r="Y211" s="3">
        <v>0</v>
      </c>
      <c r="Z211" s="3">
        <v>40.106195</v>
      </c>
      <c r="AA211" s="3">
        <v>200.530975</v>
      </c>
      <c r="AB211" s="3">
        <v>6.6</v>
      </c>
      <c r="AC211" s="3">
        <v>2.6</v>
      </c>
      <c r="AD211" s="3">
        <v>2.4</v>
      </c>
      <c r="AE211" s="3">
        <v>0</v>
      </c>
      <c r="AF211" s="3">
        <v>0.4</v>
      </c>
      <c r="AG211" s="3">
        <v>2</v>
      </c>
      <c r="AH211" s="3">
        <v>4.5</v>
      </c>
      <c r="AI211" s="3">
        <v>0</v>
      </c>
      <c r="AJ211" s="3">
        <v>6</v>
      </c>
      <c r="AK211" s="3">
        <v>0</v>
      </c>
      <c r="AL211" s="2" t="s">
        <v>1710</v>
      </c>
      <c r="AM211" s="3">
        <v>0</v>
      </c>
      <c r="AN211" s="3">
        <v>5</v>
      </c>
      <c r="AO211" s="2"/>
      <c r="AP211" s="4">
        <v>46235</v>
      </c>
      <c r="AQ211" s="2" t="s">
        <v>1879</v>
      </c>
      <c r="AR211" s="2" t="s">
        <v>1454</v>
      </c>
    </row>
    <row r="212" customHeight="1" spans="1:44">
      <c r="A212" s="2" t="s">
        <v>548</v>
      </c>
      <c r="B212" s="2" t="s">
        <v>1692</v>
      </c>
      <c r="C212" s="2" t="s">
        <v>1454</v>
      </c>
      <c r="D212" s="2"/>
      <c r="E212" s="2"/>
      <c r="F212" s="2" t="s">
        <v>343</v>
      </c>
      <c r="G212" s="2" t="s">
        <v>1696</v>
      </c>
      <c r="H212" s="3">
        <v>0</v>
      </c>
      <c r="I212" s="3">
        <v>0</v>
      </c>
      <c r="J212" s="3">
        <v>1</v>
      </c>
      <c r="K212" s="3">
        <v>10</v>
      </c>
      <c r="L212" s="3">
        <v>1</v>
      </c>
      <c r="M212" s="3">
        <v>12</v>
      </c>
      <c r="N212" s="3">
        <v>20</v>
      </c>
      <c r="O212" s="46" t="s">
        <v>1115</v>
      </c>
      <c r="P212" s="3">
        <v>584.070792</v>
      </c>
      <c r="Q212" s="3">
        <v>1557.522112</v>
      </c>
      <c r="R212" s="3">
        <v>1</v>
      </c>
      <c r="S212" s="3">
        <v>2</v>
      </c>
      <c r="T212" s="3">
        <v>4</v>
      </c>
      <c r="U212" s="3">
        <v>4</v>
      </c>
      <c r="V212" s="3">
        <v>0</v>
      </c>
      <c r="W212" s="3">
        <v>0</v>
      </c>
      <c r="X212" s="3">
        <v>0</v>
      </c>
      <c r="Y212" s="3">
        <v>0</v>
      </c>
      <c r="Z212" s="3">
        <v>48.672566</v>
      </c>
      <c r="AA212" s="3">
        <v>194.690264</v>
      </c>
      <c r="AB212" s="3">
        <v>8</v>
      </c>
      <c r="AC212" s="3">
        <v>3</v>
      </c>
      <c r="AD212" s="3">
        <v>2.75</v>
      </c>
      <c r="AE212" s="3">
        <v>0</v>
      </c>
      <c r="AF212" s="3">
        <v>0.25</v>
      </c>
      <c r="AG212" s="3">
        <v>2.5</v>
      </c>
      <c r="AH212" s="3">
        <v>4.5</v>
      </c>
      <c r="AI212" s="3">
        <v>0</v>
      </c>
      <c r="AJ212" s="3">
        <v>6</v>
      </c>
      <c r="AK212" s="3">
        <v>0</v>
      </c>
      <c r="AL212" s="2" t="s">
        <v>1710</v>
      </c>
      <c r="AM212" s="3">
        <v>0</v>
      </c>
      <c r="AN212" s="3">
        <v>4</v>
      </c>
      <c r="AO212" s="2"/>
      <c r="AP212" s="4">
        <v>46226</v>
      </c>
      <c r="AQ212" s="2" t="s">
        <v>1879</v>
      </c>
      <c r="AR212" s="2" t="s">
        <v>1454</v>
      </c>
    </row>
    <row r="213" customHeight="1" spans="1:44">
      <c r="A213" s="2" t="s">
        <v>91</v>
      </c>
      <c r="B213" s="2" t="s">
        <v>1692</v>
      </c>
      <c r="C213" s="2" t="s">
        <v>1454</v>
      </c>
      <c r="D213" s="2"/>
      <c r="E213" s="2"/>
      <c r="F213" s="2" t="s">
        <v>1880</v>
      </c>
      <c r="G213" s="2" t="s">
        <v>1696</v>
      </c>
      <c r="H213" s="3">
        <v>5</v>
      </c>
      <c r="I213" s="3">
        <v>0</v>
      </c>
      <c r="J213" s="3">
        <v>5</v>
      </c>
      <c r="K213" s="3">
        <v>0</v>
      </c>
      <c r="L213" s="3">
        <v>0</v>
      </c>
      <c r="M213" s="3">
        <v>10</v>
      </c>
      <c r="N213" s="3">
        <v>48</v>
      </c>
      <c r="O213" s="46" t="s">
        <v>947</v>
      </c>
      <c r="P213" s="3">
        <v>752.21238</v>
      </c>
      <c r="Q213" s="3">
        <v>4362.831804</v>
      </c>
      <c r="R213" s="3">
        <v>2</v>
      </c>
      <c r="S213" s="3">
        <v>3</v>
      </c>
      <c r="T213" s="3">
        <v>5</v>
      </c>
      <c r="U213" s="3">
        <v>8</v>
      </c>
      <c r="V213" s="3">
        <v>14</v>
      </c>
      <c r="W213" s="3">
        <v>0</v>
      </c>
      <c r="X213" s="3">
        <v>0</v>
      </c>
      <c r="Y213" s="3">
        <v>0</v>
      </c>
      <c r="Z213" s="3">
        <v>75.221238</v>
      </c>
      <c r="AA213" s="3">
        <v>376.10619</v>
      </c>
      <c r="AB213" s="3">
        <v>11.6</v>
      </c>
      <c r="AC213" s="3">
        <v>2</v>
      </c>
      <c r="AD213" s="3">
        <v>2</v>
      </c>
      <c r="AE213" s="3">
        <v>1</v>
      </c>
      <c r="AF213" s="3">
        <v>1</v>
      </c>
      <c r="AG213" s="3">
        <v>0</v>
      </c>
      <c r="AH213" s="3">
        <v>4.5</v>
      </c>
      <c r="AI213" s="3">
        <v>0</v>
      </c>
      <c r="AJ213" s="3">
        <v>6</v>
      </c>
      <c r="AK213" s="3">
        <v>0</v>
      </c>
      <c r="AL213" s="2" t="s">
        <v>1694</v>
      </c>
      <c r="AM213" s="3">
        <v>1</v>
      </c>
      <c r="AN213" s="3">
        <v>4</v>
      </c>
      <c r="AO213" s="4">
        <v>46206</v>
      </c>
      <c r="AP213" s="4">
        <v>45717</v>
      </c>
      <c r="AQ213" s="2" t="s">
        <v>1879</v>
      </c>
      <c r="AR213" s="2" t="s">
        <v>1454</v>
      </c>
    </row>
    <row r="214" customHeight="1" spans="1:44">
      <c r="A214" s="2" t="s">
        <v>563</v>
      </c>
      <c r="B214" s="2" t="s">
        <v>1692</v>
      </c>
      <c r="C214" s="2" t="s">
        <v>1454</v>
      </c>
      <c r="D214" s="2"/>
      <c r="E214" s="2"/>
      <c r="F214" s="2" t="s">
        <v>343</v>
      </c>
      <c r="G214" s="2" t="s">
        <v>1696</v>
      </c>
      <c r="H214" s="3">
        <v>0</v>
      </c>
      <c r="I214" s="3">
        <v>0</v>
      </c>
      <c r="J214" s="3">
        <v>0</v>
      </c>
      <c r="K214" s="3">
        <v>8</v>
      </c>
      <c r="L214" s="3">
        <v>1</v>
      </c>
      <c r="M214" s="3">
        <v>9</v>
      </c>
      <c r="N214" s="3">
        <v>44</v>
      </c>
      <c r="O214" s="46" t="s">
        <v>1076</v>
      </c>
      <c r="P214" s="3">
        <v>1681.725663</v>
      </c>
      <c r="Q214" s="3">
        <v>9903.495571</v>
      </c>
      <c r="R214" s="3">
        <v>0</v>
      </c>
      <c r="S214" s="3">
        <v>1</v>
      </c>
      <c r="T214" s="3">
        <v>4</v>
      </c>
      <c r="U214" s="3">
        <v>8</v>
      </c>
      <c r="V214" s="3">
        <v>0</v>
      </c>
      <c r="W214" s="3">
        <v>0</v>
      </c>
      <c r="X214" s="3">
        <v>0</v>
      </c>
      <c r="Y214" s="3">
        <v>0</v>
      </c>
      <c r="Z214" s="3">
        <v>186.858407</v>
      </c>
      <c r="AA214" s="3">
        <v>747.433628</v>
      </c>
      <c r="AB214" s="3">
        <v>13.25</v>
      </c>
      <c r="AC214" s="3">
        <v>2.25</v>
      </c>
      <c r="AD214" s="3">
        <v>2</v>
      </c>
      <c r="AE214" s="3">
        <v>0</v>
      </c>
      <c r="AF214" s="3">
        <v>0</v>
      </c>
      <c r="AG214" s="3">
        <v>2</v>
      </c>
      <c r="AH214" s="3">
        <v>4.5</v>
      </c>
      <c r="AI214" s="3">
        <v>0</v>
      </c>
      <c r="AJ214" s="3">
        <v>6</v>
      </c>
      <c r="AK214" s="3">
        <v>0</v>
      </c>
      <c r="AL214" s="2" t="s">
        <v>1710</v>
      </c>
      <c r="AM214" s="3">
        <v>0</v>
      </c>
      <c r="AN214" s="3">
        <v>4</v>
      </c>
      <c r="AO214" s="2"/>
      <c r="AP214" s="4">
        <v>46233</v>
      </c>
      <c r="AQ214" s="2" t="s">
        <v>1879</v>
      </c>
      <c r="AR214" s="2" t="s">
        <v>1454</v>
      </c>
    </row>
    <row r="215" customHeight="1" spans="1:44">
      <c r="A215" s="2" t="s">
        <v>491</v>
      </c>
      <c r="B215" s="2" t="s">
        <v>1692</v>
      </c>
      <c r="C215" s="2" t="s">
        <v>1454</v>
      </c>
      <c r="D215" s="2"/>
      <c r="E215" s="2"/>
      <c r="F215" s="2" t="s">
        <v>1885</v>
      </c>
      <c r="G215" s="2" t="s">
        <v>1696</v>
      </c>
      <c r="H215" s="3">
        <v>0</v>
      </c>
      <c r="I215" s="3">
        <v>0</v>
      </c>
      <c r="J215" s="3">
        <v>7</v>
      </c>
      <c r="K215" s="3">
        <v>0</v>
      </c>
      <c r="L215" s="3">
        <v>0</v>
      </c>
      <c r="M215" s="3">
        <v>7</v>
      </c>
      <c r="N215" s="3">
        <v>0</v>
      </c>
      <c r="O215" s="46" t="s">
        <v>872</v>
      </c>
      <c r="P215" s="3">
        <v>2973.46</v>
      </c>
      <c r="Q215" s="3">
        <v>2973.46</v>
      </c>
      <c r="R215" s="3">
        <v>0</v>
      </c>
      <c r="S215" s="3">
        <v>0</v>
      </c>
      <c r="T215" s="3">
        <v>0</v>
      </c>
      <c r="U215" s="3">
        <v>2</v>
      </c>
      <c r="V215" s="3">
        <v>0</v>
      </c>
      <c r="W215" s="3">
        <v>0</v>
      </c>
      <c r="X215" s="3">
        <v>0</v>
      </c>
      <c r="Y215" s="3">
        <v>0</v>
      </c>
      <c r="Z215" s="3">
        <v>424.78</v>
      </c>
      <c r="AA215" s="3">
        <v>0</v>
      </c>
      <c r="AB215" s="3"/>
      <c r="AC215" s="3"/>
      <c r="AD215" s="3"/>
      <c r="AE215" s="3"/>
      <c r="AF215" s="3"/>
      <c r="AG215" s="3"/>
      <c r="AH215" s="3">
        <v>4.5</v>
      </c>
      <c r="AI215" s="3">
        <v>7</v>
      </c>
      <c r="AJ215" s="3">
        <v>6</v>
      </c>
      <c r="AK215" s="3">
        <v>2973.46</v>
      </c>
      <c r="AL215" s="2" t="s">
        <v>1694</v>
      </c>
      <c r="AM215" s="3">
        <v>0</v>
      </c>
      <c r="AN215" s="3">
        <v>0</v>
      </c>
      <c r="AO215" s="4">
        <v>45368</v>
      </c>
      <c r="AP215" s="4">
        <v>45351</v>
      </c>
      <c r="AQ215" s="2" t="s">
        <v>1879</v>
      </c>
      <c r="AR215" s="2" t="s">
        <v>1454</v>
      </c>
    </row>
    <row r="216" customHeight="1" spans="1:44">
      <c r="A216" s="2" t="s">
        <v>365</v>
      </c>
      <c r="B216" s="2" t="s">
        <v>1692</v>
      </c>
      <c r="C216" s="2" t="s">
        <v>1454</v>
      </c>
      <c r="D216" s="2"/>
      <c r="E216" s="2"/>
      <c r="F216" s="2" t="s">
        <v>343</v>
      </c>
      <c r="G216" s="2" t="s">
        <v>1696</v>
      </c>
      <c r="H216" s="3">
        <v>0</v>
      </c>
      <c r="I216" s="3">
        <v>0</v>
      </c>
      <c r="J216" s="3">
        <v>0</v>
      </c>
      <c r="K216" s="3">
        <v>4</v>
      </c>
      <c r="L216" s="3">
        <v>1</v>
      </c>
      <c r="M216" s="3">
        <v>5</v>
      </c>
      <c r="N216" s="3">
        <v>80</v>
      </c>
      <c r="O216" s="46" t="s">
        <v>1931</v>
      </c>
      <c r="P216" s="3">
        <v>319.02655</v>
      </c>
      <c r="Q216" s="3">
        <v>5423.45135</v>
      </c>
      <c r="R216" s="3">
        <v>3</v>
      </c>
      <c r="S216" s="3">
        <v>7</v>
      </c>
      <c r="T216" s="3">
        <v>13</v>
      </c>
      <c r="U216" s="3">
        <v>13</v>
      </c>
      <c r="V216" s="3">
        <v>3</v>
      </c>
      <c r="W216" s="3">
        <v>0</v>
      </c>
      <c r="X216" s="3">
        <v>0</v>
      </c>
      <c r="Y216" s="3">
        <v>0</v>
      </c>
      <c r="Z216" s="3">
        <v>63.80531</v>
      </c>
      <c r="AA216" s="3">
        <v>829.46903</v>
      </c>
      <c r="AB216" s="3">
        <v>6.538461538</v>
      </c>
      <c r="AC216" s="3">
        <v>0.384615385</v>
      </c>
      <c r="AD216" s="3">
        <v>0.307692308</v>
      </c>
      <c r="AE216" s="3">
        <v>0</v>
      </c>
      <c r="AF216" s="3">
        <v>0</v>
      </c>
      <c r="AG216" s="3">
        <v>0.307692308</v>
      </c>
      <c r="AH216" s="3">
        <v>4.5</v>
      </c>
      <c r="AI216" s="3">
        <v>0</v>
      </c>
      <c r="AJ216" s="3">
        <v>6</v>
      </c>
      <c r="AK216" s="3">
        <v>0</v>
      </c>
      <c r="AL216" s="2" t="s">
        <v>1710</v>
      </c>
      <c r="AM216" s="3">
        <v>0</v>
      </c>
      <c r="AN216" s="3">
        <v>8</v>
      </c>
      <c r="AO216" s="2"/>
      <c r="AP216" s="4">
        <v>46203</v>
      </c>
      <c r="AQ216" s="2" t="s">
        <v>1879</v>
      </c>
      <c r="AR216" s="2" t="s">
        <v>1454</v>
      </c>
    </row>
    <row r="217" customHeight="1" spans="1:44">
      <c r="A217" s="2" t="s">
        <v>692</v>
      </c>
      <c r="B217" s="2" t="s">
        <v>1692</v>
      </c>
      <c r="C217" s="2" t="s">
        <v>1454</v>
      </c>
      <c r="D217" s="2"/>
      <c r="E217" s="2"/>
      <c r="F217" s="2" t="s">
        <v>1885</v>
      </c>
      <c r="G217" s="2" t="s">
        <v>1696</v>
      </c>
      <c r="H217" s="3">
        <v>1</v>
      </c>
      <c r="I217" s="3">
        <v>0</v>
      </c>
      <c r="J217" s="3">
        <v>2</v>
      </c>
      <c r="K217" s="3">
        <v>0</v>
      </c>
      <c r="L217" s="3">
        <v>0</v>
      </c>
      <c r="M217" s="3">
        <v>3</v>
      </c>
      <c r="N217" s="3">
        <v>0</v>
      </c>
      <c r="O217" s="46" t="s">
        <v>894</v>
      </c>
      <c r="P217" s="3">
        <v>695.575221</v>
      </c>
      <c r="Q217" s="3">
        <v>695.575221</v>
      </c>
      <c r="R217" s="3">
        <v>1</v>
      </c>
      <c r="S217" s="3">
        <v>2</v>
      </c>
      <c r="T217" s="3">
        <v>3</v>
      </c>
      <c r="U217" s="3">
        <v>1</v>
      </c>
      <c r="V217" s="3">
        <v>8</v>
      </c>
      <c r="W217" s="3">
        <v>0</v>
      </c>
      <c r="X217" s="3">
        <v>0</v>
      </c>
      <c r="Y217" s="3">
        <v>0</v>
      </c>
      <c r="Z217" s="3">
        <v>231.858407</v>
      </c>
      <c r="AA217" s="3">
        <v>695.575221</v>
      </c>
      <c r="AB217" s="3">
        <v>1</v>
      </c>
      <c r="AC217" s="3">
        <v>1</v>
      </c>
      <c r="AD217" s="3">
        <v>1</v>
      </c>
      <c r="AE217" s="3">
        <v>0.333333333</v>
      </c>
      <c r="AF217" s="3">
        <v>0.666666667</v>
      </c>
      <c r="AG217" s="3">
        <v>0</v>
      </c>
      <c r="AH217" s="3">
        <v>4.5</v>
      </c>
      <c r="AI217" s="3">
        <v>0</v>
      </c>
      <c r="AJ217" s="3">
        <v>6</v>
      </c>
      <c r="AK217" s="3">
        <v>0</v>
      </c>
      <c r="AL217" s="2" t="s">
        <v>1694</v>
      </c>
      <c r="AM217" s="3">
        <v>0</v>
      </c>
      <c r="AN217" s="3">
        <v>3</v>
      </c>
      <c r="AO217" s="4">
        <v>45370</v>
      </c>
      <c r="AP217" s="4">
        <v>45351</v>
      </c>
      <c r="AQ217" s="2" t="s">
        <v>1879</v>
      </c>
      <c r="AR217" s="2" t="s">
        <v>1454</v>
      </c>
    </row>
    <row r="218" customHeight="1" spans="1:44">
      <c r="A218" s="2" t="s">
        <v>1947</v>
      </c>
      <c r="B218" s="2" t="s">
        <v>1692</v>
      </c>
      <c r="C218" s="2" t="s">
        <v>1454</v>
      </c>
      <c r="D218" s="2"/>
      <c r="E218" s="2"/>
      <c r="F218" s="2" t="s">
        <v>1885</v>
      </c>
      <c r="G218" s="2" t="s">
        <v>1696</v>
      </c>
      <c r="H218" s="3">
        <v>0</v>
      </c>
      <c r="I218" s="3">
        <v>0</v>
      </c>
      <c r="J218" s="3">
        <v>3</v>
      </c>
      <c r="K218" s="3">
        <v>0</v>
      </c>
      <c r="L218" s="3">
        <v>0</v>
      </c>
      <c r="M218" s="3">
        <v>3</v>
      </c>
      <c r="N218" s="3">
        <v>0</v>
      </c>
      <c r="O218" s="46" t="s">
        <v>894</v>
      </c>
      <c r="P218" s="3">
        <v>239.035644</v>
      </c>
      <c r="Q218" s="3">
        <v>239.035644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79.678548</v>
      </c>
      <c r="AA218" s="3">
        <v>0</v>
      </c>
      <c r="AB218" s="3"/>
      <c r="AC218" s="3"/>
      <c r="AD218" s="3"/>
      <c r="AE218" s="3"/>
      <c r="AF218" s="3"/>
      <c r="AG218" s="3"/>
      <c r="AH218" s="3">
        <v>4.5</v>
      </c>
      <c r="AI218" s="3">
        <v>3</v>
      </c>
      <c r="AJ218" s="3">
        <v>6</v>
      </c>
      <c r="AK218" s="3">
        <v>239.035644</v>
      </c>
      <c r="AL218" s="2" t="s">
        <v>1714</v>
      </c>
      <c r="AM218" s="3">
        <v>0</v>
      </c>
      <c r="AN218" s="3">
        <v>0</v>
      </c>
      <c r="AO218" s="2"/>
      <c r="AP218" s="4">
        <v>44804</v>
      </c>
      <c r="AQ218" s="2" t="s">
        <v>1879</v>
      </c>
      <c r="AR218" s="2" t="s">
        <v>1454</v>
      </c>
    </row>
    <row r="219" customHeight="1" spans="1:44">
      <c r="A219" s="2" t="s">
        <v>1948</v>
      </c>
      <c r="B219" s="2" t="s">
        <v>1692</v>
      </c>
      <c r="C219" s="2" t="s">
        <v>1454</v>
      </c>
      <c r="D219" s="2"/>
      <c r="E219" s="2"/>
      <c r="F219" s="2" t="s">
        <v>1885</v>
      </c>
      <c r="G219" s="2" t="s">
        <v>1696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>
        <v>1</v>
      </c>
      <c r="N219" s="3">
        <v>0</v>
      </c>
      <c r="O219" s="46" t="s">
        <v>979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/>
      <c r="AC219" s="3"/>
      <c r="AD219" s="3"/>
      <c r="AE219" s="3"/>
      <c r="AF219" s="3"/>
      <c r="AG219" s="3"/>
      <c r="AH219" s="3">
        <v>4.5</v>
      </c>
      <c r="AI219" s="3">
        <v>1</v>
      </c>
      <c r="AJ219" s="3">
        <v>6</v>
      </c>
      <c r="AK219" s="3">
        <v>0</v>
      </c>
      <c r="AL219" s="2" t="s">
        <v>1694</v>
      </c>
      <c r="AM219" s="3">
        <v>0</v>
      </c>
      <c r="AN219" s="3">
        <v>0</v>
      </c>
      <c r="AO219" s="2"/>
      <c r="AP219" s="4">
        <v>46211</v>
      </c>
      <c r="AQ219" s="2" t="s">
        <v>1879</v>
      </c>
      <c r="AR219" s="2" t="s">
        <v>1454</v>
      </c>
    </row>
    <row r="220" customHeight="1" spans="1:44">
      <c r="A220" s="2" t="s">
        <v>1949</v>
      </c>
      <c r="B220" s="2" t="s">
        <v>1692</v>
      </c>
      <c r="C220" s="2" t="s">
        <v>1454</v>
      </c>
      <c r="D220" s="2"/>
      <c r="E220" s="2"/>
      <c r="F220" s="2" t="s">
        <v>1885</v>
      </c>
      <c r="G220" s="2" t="s">
        <v>1696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>
        <v>1</v>
      </c>
      <c r="N220" s="3">
        <v>0</v>
      </c>
      <c r="O220" s="46" t="s">
        <v>979</v>
      </c>
      <c r="P220" s="3">
        <v>79.65</v>
      </c>
      <c r="Q220" s="3">
        <v>79.65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79.65</v>
      </c>
      <c r="AA220" s="3">
        <v>0</v>
      </c>
      <c r="AB220" s="3"/>
      <c r="AC220" s="3"/>
      <c r="AD220" s="3"/>
      <c r="AE220" s="3"/>
      <c r="AF220" s="3"/>
      <c r="AG220" s="3"/>
      <c r="AH220" s="3">
        <v>4.5</v>
      </c>
      <c r="AI220" s="3">
        <v>1</v>
      </c>
      <c r="AJ220" s="3">
        <v>6</v>
      </c>
      <c r="AK220" s="3">
        <v>79.65</v>
      </c>
      <c r="AL220" s="2" t="s">
        <v>1694</v>
      </c>
      <c r="AM220" s="3">
        <v>0</v>
      </c>
      <c r="AN220" s="3">
        <v>0</v>
      </c>
      <c r="AO220" s="4">
        <v>45368</v>
      </c>
      <c r="AP220" s="4">
        <v>45351</v>
      </c>
      <c r="AQ220" s="2" t="s">
        <v>1879</v>
      </c>
      <c r="AR220" s="2" t="s">
        <v>1454</v>
      </c>
    </row>
    <row r="221" customHeight="1" spans="1:44">
      <c r="A221" s="2" t="s">
        <v>1950</v>
      </c>
      <c r="B221" s="2" t="s">
        <v>1692</v>
      </c>
      <c r="C221" s="2" t="s">
        <v>1454</v>
      </c>
      <c r="D221" s="2"/>
      <c r="E221" s="2"/>
      <c r="F221" s="2" t="s">
        <v>343</v>
      </c>
      <c r="G221" s="2" t="s">
        <v>1696</v>
      </c>
      <c r="H221" s="3">
        <v>0</v>
      </c>
      <c r="I221" s="3">
        <v>0</v>
      </c>
      <c r="J221" s="3">
        <v>1</v>
      </c>
      <c r="K221" s="3">
        <v>0</v>
      </c>
      <c r="L221" s="3">
        <v>0</v>
      </c>
      <c r="M221" s="3">
        <v>1</v>
      </c>
      <c r="N221" s="3">
        <v>0</v>
      </c>
      <c r="O221" s="46" t="s">
        <v>979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/>
      <c r="AC221" s="3"/>
      <c r="AD221" s="3"/>
      <c r="AE221" s="3"/>
      <c r="AF221" s="3"/>
      <c r="AG221" s="3"/>
      <c r="AH221" s="3">
        <v>4.5</v>
      </c>
      <c r="AI221" s="3">
        <v>1</v>
      </c>
      <c r="AJ221" s="3">
        <v>6</v>
      </c>
      <c r="AK221" s="3">
        <v>0</v>
      </c>
      <c r="AL221" s="2" t="s">
        <v>1694</v>
      </c>
      <c r="AM221" s="3">
        <v>0</v>
      </c>
      <c r="AN221" s="3">
        <v>0</v>
      </c>
      <c r="AO221" s="2"/>
      <c r="AP221" s="4">
        <v>46278</v>
      </c>
      <c r="AQ221" s="2" t="s">
        <v>1879</v>
      </c>
      <c r="AR221" s="2" t="s">
        <v>1454</v>
      </c>
    </row>
    <row r="222" customHeight="1" spans="1:44">
      <c r="A222" s="2" t="s">
        <v>1951</v>
      </c>
      <c r="B222" s="2" t="s">
        <v>1692</v>
      </c>
      <c r="C222" s="2" t="s">
        <v>1454</v>
      </c>
      <c r="D222" s="2"/>
      <c r="E222" s="2"/>
      <c r="F222" s="2" t="s">
        <v>343</v>
      </c>
      <c r="G222" s="2" t="s">
        <v>1696</v>
      </c>
      <c r="H222" s="3">
        <v>0</v>
      </c>
      <c r="I222" s="3">
        <v>0</v>
      </c>
      <c r="J222" s="3">
        <v>1</v>
      </c>
      <c r="K222" s="3">
        <v>0</v>
      </c>
      <c r="L222" s="3">
        <v>0</v>
      </c>
      <c r="M222" s="3">
        <v>1</v>
      </c>
      <c r="N222" s="3">
        <v>0</v>
      </c>
      <c r="O222" s="46" t="s">
        <v>979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/>
      <c r="AC222" s="3"/>
      <c r="AD222" s="3"/>
      <c r="AE222" s="3"/>
      <c r="AF222" s="3"/>
      <c r="AG222" s="3"/>
      <c r="AH222" s="3">
        <v>4.5</v>
      </c>
      <c r="AI222" s="3">
        <v>1</v>
      </c>
      <c r="AJ222" s="3">
        <v>6</v>
      </c>
      <c r="AK222" s="3">
        <v>0</v>
      </c>
      <c r="AL222" s="2" t="s">
        <v>1694</v>
      </c>
      <c r="AM222" s="3">
        <v>0</v>
      </c>
      <c r="AN222" s="3">
        <v>0</v>
      </c>
      <c r="AO222" s="2"/>
      <c r="AP222" s="4">
        <v>46278</v>
      </c>
      <c r="AQ222" s="2" t="s">
        <v>1879</v>
      </c>
      <c r="AR222" s="2" t="s">
        <v>1454</v>
      </c>
    </row>
    <row r="223" customHeight="1" spans="1:44">
      <c r="A223" s="2" t="s">
        <v>1952</v>
      </c>
      <c r="B223" s="2" t="s">
        <v>1692</v>
      </c>
      <c r="C223" s="2" t="s">
        <v>1454</v>
      </c>
      <c r="D223" s="2"/>
      <c r="E223" s="2"/>
      <c r="F223" s="2" t="s">
        <v>1885</v>
      </c>
      <c r="G223" s="2" t="s">
        <v>1696</v>
      </c>
      <c r="H223" s="3">
        <v>0</v>
      </c>
      <c r="I223" s="3">
        <v>0</v>
      </c>
      <c r="J223" s="3">
        <v>0</v>
      </c>
      <c r="K223" s="3">
        <v>0</v>
      </c>
      <c r="L223" s="3">
        <v>1</v>
      </c>
      <c r="M223" s="3">
        <v>1</v>
      </c>
      <c r="N223" s="3">
        <v>0</v>
      </c>
      <c r="O223" s="46" t="s">
        <v>979</v>
      </c>
      <c r="P223" s="3">
        <v>49.646018</v>
      </c>
      <c r="Q223" s="3">
        <v>49.646018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49.6460177</v>
      </c>
      <c r="AA223" s="3">
        <v>0</v>
      </c>
      <c r="AB223" s="3"/>
      <c r="AC223" s="3"/>
      <c r="AD223" s="3"/>
      <c r="AE223" s="3"/>
      <c r="AF223" s="3"/>
      <c r="AG223" s="3"/>
      <c r="AH223" s="3">
        <v>4.5</v>
      </c>
      <c r="AI223" s="3">
        <v>1</v>
      </c>
      <c r="AJ223" s="3">
        <v>6</v>
      </c>
      <c r="AK223" s="3">
        <v>49.646018</v>
      </c>
      <c r="AL223" s="2" t="s">
        <v>1714</v>
      </c>
      <c r="AM223" s="3">
        <v>0</v>
      </c>
      <c r="AN223" s="3">
        <v>0</v>
      </c>
      <c r="AO223" s="4">
        <v>46012</v>
      </c>
      <c r="AP223" s="4">
        <v>44672</v>
      </c>
      <c r="AQ223" s="2" t="s">
        <v>1879</v>
      </c>
      <c r="AR223" s="2" t="s">
        <v>1454</v>
      </c>
    </row>
    <row r="224" customHeight="1" spans="1:44">
      <c r="A224" s="2" t="s">
        <v>1953</v>
      </c>
      <c r="B224" s="2" t="s">
        <v>1692</v>
      </c>
      <c r="C224" s="2" t="s">
        <v>1454</v>
      </c>
      <c r="D224" s="2"/>
      <c r="E224" s="2"/>
      <c r="F224" s="2" t="s">
        <v>1885</v>
      </c>
      <c r="G224" s="2" t="s">
        <v>1696</v>
      </c>
      <c r="H224" s="3">
        <v>0</v>
      </c>
      <c r="I224" s="3">
        <v>0</v>
      </c>
      <c r="J224" s="3">
        <v>0</v>
      </c>
      <c r="K224" s="3">
        <v>0</v>
      </c>
      <c r="L224" s="3">
        <v>1</v>
      </c>
      <c r="M224" s="3">
        <v>1</v>
      </c>
      <c r="N224" s="3">
        <v>0</v>
      </c>
      <c r="O224" s="46" t="s">
        <v>979</v>
      </c>
      <c r="P224" s="3">
        <v>116.79495</v>
      </c>
      <c r="Q224" s="3">
        <v>116.79495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116.79495</v>
      </c>
      <c r="AA224" s="3">
        <v>0</v>
      </c>
      <c r="AB224" s="3"/>
      <c r="AC224" s="3"/>
      <c r="AD224" s="3"/>
      <c r="AE224" s="3"/>
      <c r="AF224" s="3"/>
      <c r="AG224" s="3"/>
      <c r="AH224" s="3">
        <v>4.5</v>
      </c>
      <c r="AI224" s="3">
        <v>1</v>
      </c>
      <c r="AJ224" s="3">
        <v>6</v>
      </c>
      <c r="AK224" s="3">
        <v>116.79495</v>
      </c>
      <c r="AL224" s="2" t="s">
        <v>1694</v>
      </c>
      <c r="AM224" s="3">
        <v>0</v>
      </c>
      <c r="AN224" s="3">
        <v>0</v>
      </c>
      <c r="AO224" s="4">
        <v>45368</v>
      </c>
      <c r="AP224" s="4">
        <v>45351</v>
      </c>
      <c r="AQ224" s="2" t="s">
        <v>1879</v>
      </c>
      <c r="AR224" s="2" t="s">
        <v>1454</v>
      </c>
    </row>
    <row r="225" customHeight="1" spans="1:44">
      <c r="A225" s="2" t="s">
        <v>614</v>
      </c>
      <c r="B225" s="2" t="s">
        <v>1692</v>
      </c>
      <c r="C225" s="2" t="s">
        <v>1454</v>
      </c>
      <c r="D225" s="2"/>
      <c r="E225" s="2"/>
      <c r="F225" s="2" t="s">
        <v>1937</v>
      </c>
      <c r="G225" s="2" t="s">
        <v>1696</v>
      </c>
      <c r="H225" s="3">
        <v>0</v>
      </c>
      <c r="I225" s="3">
        <v>0</v>
      </c>
      <c r="J225" s="3">
        <v>0</v>
      </c>
      <c r="K225" s="3">
        <v>0</v>
      </c>
      <c r="L225" s="3">
        <v>1</v>
      </c>
      <c r="M225" s="3">
        <v>1</v>
      </c>
      <c r="N225" s="3">
        <v>24</v>
      </c>
      <c r="O225" s="46" t="s">
        <v>1944</v>
      </c>
      <c r="P225" s="3">
        <v>74.336283</v>
      </c>
      <c r="Q225" s="3">
        <v>1858.407075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74.336283</v>
      </c>
      <c r="AA225" s="3">
        <v>0</v>
      </c>
      <c r="AB225" s="3"/>
      <c r="AC225" s="3"/>
      <c r="AD225" s="3"/>
      <c r="AE225" s="3"/>
      <c r="AF225" s="3"/>
      <c r="AG225" s="3"/>
      <c r="AH225" s="3">
        <v>4.5</v>
      </c>
      <c r="AI225" s="3">
        <v>1</v>
      </c>
      <c r="AJ225" s="3">
        <v>6</v>
      </c>
      <c r="AK225" s="3">
        <v>74.336283</v>
      </c>
      <c r="AL225" s="2" t="s">
        <v>1710</v>
      </c>
      <c r="AM225" s="3">
        <v>0</v>
      </c>
      <c r="AN225" s="3">
        <v>0</v>
      </c>
      <c r="AO225" s="2"/>
      <c r="AP225" s="2"/>
      <c r="AQ225" s="2" t="s">
        <v>1879</v>
      </c>
      <c r="AR225" s="2" t="s">
        <v>1454</v>
      </c>
    </row>
    <row r="226" customHeight="1" spans="1:44">
      <c r="A226" s="2" t="s">
        <v>1954</v>
      </c>
      <c r="B226" s="2" t="s">
        <v>1692</v>
      </c>
      <c r="C226" s="2" t="s">
        <v>1454</v>
      </c>
      <c r="D226" s="2"/>
      <c r="E226" s="2"/>
      <c r="F226" s="2" t="s">
        <v>1885</v>
      </c>
      <c r="G226" s="2" t="s">
        <v>1696</v>
      </c>
      <c r="H226" s="3">
        <v>0</v>
      </c>
      <c r="I226" s="3">
        <v>0</v>
      </c>
      <c r="J226" s="3">
        <v>0</v>
      </c>
      <c r="K226" s="3">
        <v>0</v>
      </c>
      <c r="L226" s="3">
        <v>1</v>
      </c>
      <c r="M226" s="3">
        <v>1</v>
      </c>
      <c r="N226" s="3">
        <v>0</v>
      </c>
      <c r="O226" s="46" t="s">
        <v>979</v>
      </c>
      <c r="P226" s="3">
        <v>126.043671</v>
      </c>
      <c r="Q226" s="3">
        <v>126.043671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126.043671</v>
      </c>
      <c r="AA226" s="3">
        <v>0</v>
      </c>
      <c r="AB226" s="3"/>
      <c r="AC226" s="3"/>
      <c r="AD226" s="3"/>
      <c r="AE226" s="3"/>
      <c r="AF226" s="3"/>
      <c r="AG226" s="3"/>
      <c r="AH226" s="3">
        <v>4.5</v>
      </c>
      <c r="AI226" s="3">
        <v>1</v>
      </c>
      <c r="AJ226" s="3">
        <v>6</v>
      </c>
      <c r="AK226" s="3">
        <v>126.043671</v>
      </c>
      <c r="AL226" s="2" t="s">
        <v>1694</v>
      </c>
      <c r="AM226" s="3">
        <v>0</v>
      </c>
      <c r="AN226" s="3">
        <v>0</v>
      </c>
      <c r="AO226" s="4">
        <v>45563</v>
      </c>
      <c r="AP226" s="4">
        <v>45393</v>
      </c>
      <c r="AQ226" s="2" t="s">
        <v>1879</v>
      </c>
      <c r="AR226" s="2" t="s">
        <v>1454</v>
      </c>
    </row>
    <row r="227" customHeight="1" spans="1:44">
      <c r="A227" s="2" t="s">
        <v>1955</v>
      </c>
      <c r="B227" s="2" t="s">
        <v>1692</v>
      </c>
      <c r="C227" s="2" t="s">
        <v>1454</v>
      </c>
      <c r="D227" s="2"/>
      <c r="E227" s="2"/>
      <c r="F227" s="2" t="s">
        <v>1956</v>
      </c>
      <c r="G227" s="2" t="s">
        <v>1696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46" t="s">
        <v>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124.57</v>
      </c>
      <c r="AA227" s="3">
        <v>0</v>
      </c>
      <c r="AB227" s="3"/>
      <c r="AC227" s="3"/>
      <c r="AD227" s="3"/>
      <c r="AE227" s="3"/>
      <c r="AF227" s="3"/>
      <c r="AG227" s="3"/>
      <c r="AH227" s="3">
        <v>4.5</v>
      </c>
      <c r="AI227" s="3">
        <v>0</v>
      </c>
      <c r="AJ227" s="3">
        <v>6</v>
      </c>
      <c r="AK227" s="3">
        <v>0</v>
      </c>
      <c r="AL227" s="2" t="s">
        <v>1714</v>
      </c>
      <c r="AM227" s="3">
        <v>0</v>
      </c>
      <c r="AN227" s="3">
        <v>0</v>
      </c>
      <c r="AO227" s="2"/>
      <c r="AP227" s="4">
        <v>44804</v>
      </c>
      <c r="AQ227" s="2" t="s">
        <v>1879</v>
      </c>
      <c r="AR227" s="2" t="s">
        <v>1454</v>
      </c>
    </row>
    <row r="228" customHeight="1" spans="1:44">
      <c r="A228" s="2" t="s">
        <v>1957</v>
      </c>
      <c r="B228" s="2" t="s">
        <v>1692</v>
      </c>
      <c r="C228" s="2" t="s">
        <v>1454</v>
      </c>
      <c r="D228" s="2"/>
      <c r="E228" s="2"/>
      <c r="F228" s="2" t="s">
        <v>1956</v>
      </c>
      <c r="G228" s="2" t="s">
        <v>1696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46" t="s">
        <v>838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70.40707965</v>
      </c>
      <c r="AA228" s="3">
        <v>0</v>
      </c>
      <c r="AB228" s="3"/>
      <c r="AC228" s="3"/>
      <c r="AD228" s="3"/>
      <c r="AE228" s="3"/>
      <c r="AF228" s="3"/>
      <c r="AG228" s="3"/>
      <c r="AH228" s="3">
        <v>4.5</v>
      </c>
      <c r="AI228" s="3">
        <v>0</v>
      </c>
      <c r="AJ228" s="3">
        <v>6</v>
      </c>
      <c r="AK228" s="3">
        <v>0</v>
      </c>
      <c r="AL228" s="2" t="s">
        <v>1714</v>
      </c>
      <c r="AM228" s="3">
        <v>0</v>
      </c>
      <c r="AN228" s="3">
        <v>0</v>
      </c>
      <c r="AO228" s="2"/>
      <c r="AP228" s="2"/>
      <c r="AQ228" s="2" t="s">
        <v>1879</v>
      </c>
      <c r="AR228" s="2" t="s">
        <v>1454</v>
      </c>
    </row>
    <row r="229" customHeight="1" spans="1:44">
      <c r="A229" s="2" t="s">
        <v>1958</v>
      </c>
      <c r="B229" s="2" t="s">
        <v>1692</v>
      </c>
      <c r="C229" s="2" t="s">
        <v>1454</v>
      </c>
      <c r="D229" s="2"/>
      <c r="E229" s="2"/>
      <c r="F229" s="2" t="s">
        <v>1885</v>
      </c>
      <c r="G229" s="2" t="s">
        <v>1696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46" t="s">
        <v>838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0</v>
      </c>
      <c r="Y229" s="3">
        <v>0</v>
      </c>
      <c r="Z229" s="3">
        <v>60.17723</v>
      </c>
      <c r="AA229" s="3">
        <v>0</v>
      </c>
      <c r="AB229" s="3"/>
      <c r="AC229" s="3"/>
      <c r="AD229" s="3"/>
      <c r="AE229" s="3"/>
      <c r="AF229" s="3"/>
      <c r="AG229" s="3"/>
      <c r="AH229" s="3">
        <v>4.5</v>
      </c>
      <c r="AI229" s="3">
        <v>0</v>
      </c>
      <c r="AJ229" s="3">
        <v>6</v>
      </c>
      <c r="AK229" s="3">
        <v>0</v>
      </c>
      <c r="AL229" s="2" t="s">
        <v>1694</v>
      </c>
      <c r="AM229" s="3">
        <v>0</v>
      </c>
      <c r="AN229" s="3">
        <v>0</v>
      </c>
      <c r="AO229" s="4">
        <v>45368</v>
      </c>
      <c r="AP229" s="4">
        <v>45352</v>
      </c>
      <c r="AQ229" s="2" t="s">
        <v>1879</v>
      </c>
      <c r="AR229" s="2" t="s">
        <v>1454</v>
      </c>
    </row>
    <row r="230" customHeight="1" spans="1:44">
      <c r="A230" s="2" t="s">
        <v>473</v>
      </c>
      <c r="B230" s="2" t="s">
        <v>1692</v>
      </c>
      <c r="C230" s="2" t="s">
        <v>1454</v>
      </c>
      <c r="D230" s="2"/>
      <c r="E230" s="2"/>
      <c r="F230" s="2" t="s">
        <v>1885</v>
      </c>
      <c r="G230" s="2" t="s">
        <v>1696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46" t="s">
        <v>838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207.61</v>
      </c>
      <c r="AA230" s="3">
        <v>0</v>
      </c>
      <c r="AB230" s="3"/>
      <c r="AC230" s="3"/>
      <c r="AD230" s="3"/>
      <c r="AE230" s="3"/>
      <c r="AF230" s="3"/>
      <c r="AG230" s="3"/>
      <c r="AH230" s="3">
        <v>4.5</v>
      </c>
      <c r="AI230" s="3">
        <v>0</v>
      </c>
      <c r="AJ230" s="3">
        <v>6</v>
      </c>
      <c r="AK230" s="3">
        <v>0</v>
      </c>
      <c r="AL230" s="2" t="s">
        <v>1714</v>
      </c>
      <c r="AM230" s="3">
        <v>0</v>
      </c>
      <c r="AN230" s="3">
        <v>0</v>
      </c>
      <c r="AO230" s="2"/>
      <c r="AP230" s="4">
        <v>44803</v>
      </c>
      <c r="AQ230" s="2" t="s">
        <v>1879</v>
      </c>
      <c r="AR230" s="2" t="s">
        <v>1454</v>
      </c>
    </row>
    <row r="231" customHeight="1" spans="1:44">
      <c r="A231" s="2" t="s">
        <v>1959</v>
      </c>
      <c r="B231" s="2" t="s">
        <v>1692</v>
      </c>
      <c r="C231" s="2" t="s">
        <v>1454</v>
      </c>
      <c r="D231" s="2"/>
      <c r="E231" s="2"/>
      <c r="F231" s="2" t="s">
        <v>1956</v>
      </c>
      <c r="G231" s="2" t="s">
        <v>1696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46" t="s">
        <v>838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52.215088</v>
      </c>
      <c r="AA231" s="3">
        <v>0</v>
      </c>
      <c r="AB231" s="3"/>
      <c r="AC231" s="3"/>
      <c r="AD231" s="3"/>
      <c r="AE231" s="3"/>
      <c r="AF231" s="3"/>
      <c r="AG231" s="3"/>
      <c r="AH231" s="3">
        <v>4.5</v>
      </c>
      <c r="AI231" s="3">
        <v>0</v>
      </c>
      <c r="AJ231" s="3">
        <v>6</v>
      </c>
      <c r="AK231" s="3">
        <v>0</v>
      </c>
      <c r="AL231" s="2" t="s">
        <v>1714</v>
      </c>
      <c r="AM231" s="3">
        <v>0</v>
      </c>
      <c r="AN231" s="3">
        <v>0</v>
      </c>
      <c r="AO231" s="2"/>
      <c r="AP231" s="4">
        <v>44804</v>
      </c>
      <c r="AQ231" s="2" t="s">
        <v>1879</v>
      </c>
      <c r="AR231" s="2" t="s">
        <v>1454</v>
      </c>
    </row>
    <row r="232" customHeight="1" spans="1:44">
      <c r="A232" s="2" t="s">
        <v>1960</v>
      </c>
      <c r="B232" s="2" t="s">
        <v>1692</v>
      </c>
      <c r="C232" s="2" t="s">
        <v>1454</v>
      </c>
      <c r="D232" s="2"/>
      <c r="E232" s="2"/>
      <c r="F232" s="2" t="s">
        <v>1956</v>
      </c>
      <c r="G232" s="2" t="s">
        <v>1696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46" t="s">
        <v>838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575.22</v>
      </c>
      <c r="AA232" s="3">
        <v>0</v>
      </c>
      <c r="AB232" s="3"/>
      <c r="AC232" s="3"/>
      <c r="AD232" s="3"/>
      <c r="AE232" s="3"/>
      <c r="AF232" s="3"/>
      <c r="AG232" s="3"/>
      <c r="AH232" s="3">
        <v>4.5</v>
      </c>
      <c r="AI232" s="3">
        <v>0</v>
      </c>
      <c r="AJ232" s="3">
        <v>6</v>
      </c>
      <c r="AK232" s="3">
        <v>0</v>
      </c>
      <c r="AL232" s="2" t="s">
        <v>1694</v>
      </c>
      <c r="AM232" s="3">
        <v>0</v>
      </c>
      <c r="AN232" s="3">
        <v>0</v>
      </c>
      <c r="AO232" s="4">
        <v>45368</v>
      </c>
      <c r="AP232" s="4">
        <v>45351</v>
      </c>
      <c r="AQ232" s="2" t="s">
        <v>1879</v>
      </c>
      <c r="AR232" s="2" t="s">
        <v>1454</v>
      </c>
    </row>
    <row r="233" customHeight="1" spans="1:44">
      <c r="A233" s="2" t="s">
        <v>1961</v>
      </c>
      <c r="B233" s="2" t="s">
        <v>1692</v>
      </c>
      <c r="C233" s="2" t="s">
        <v>1454</v>
      </c>
      <c r="D233" s="2"/>
      <c r="E233" s="2"/>
      <c r="F233" s="2" t="s">
        <v>1885</v>
      </c>
      <c r="G233" s="2" t="s">
        <v>1696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46" t="s">
        <v>838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146.02</v>
      </c>
      <c r="AA233" s="3">
        <v>0</v>
      </c>
      <c r="AB233" s="3"/>
      <c r="AC233" s="3"/>
      <c r="AD233" s="3"/>
      <c r="AE233" s="3"/>
      <c r="AF233" s="3"/>
      <c r="AG233" s="3"/>
      <c r="AH233" s="3">
        <v>4.5</v>
      </c>
      <c r="AI233" s="3">
        <v>0</v>
      </c>
      <c r="AJ233" s="3">
        <v>6</v>
      </c>
      <c r="AK233" s="3">
        <v>0</v>
      </c>
      <c r="AL233" s="2" t="s">
        <v>1694</v>
      </c>
      <c r="AM233" s="3">
        <v>0</v>
      </c>
      <c r="AN233" s="3">
        <v>0</v>
      </c>
      <c r="AO233" s="4">
        <v>45368</v>
      </c>
      <c r="AP233" s="4">
        <v>45351</v>
      </c>
      <c r="AQ233" s="2" t="s">
        <v>1879</v>
      </c>
      <c r="AR233" s="2" t="s">
        <v>1454</v>
      </c>
    </row>
    <row r="234" customHeight="1" spans="1:44">
      <c r="A234" s="2" t="s">
        <v>1962</v>
      </c>
      <c r="B234" s="2" t="s">
        <v>1692</v>
      </c>
      <c r="C234" s="2" t="s">
        <v>1454</v>
      </c>
      <c r="D234" s="2"/>
      <c r="E234" s="2"/>
      <c r="F234" s="2" t="s">
        <v>1956</v>
      </c>
      <c r="G234" s="2" t="s">
        <v>1696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46" t="s">
        <v>838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1e-6</v>
      </c>
      <c r="AA234" s="3">
        <v>0</v>
      </c>
      <c r="AB234" s="3"/>
      <c r="AC234" s="3"/>
      <c r="AD234" s="3"/>
      <c r="AE234" s="3"/>
      <c r="AF234" s="3"/>
      <c r="AG234" s="3"/>
      <c r="AH234" s="3">
        <v>4.5</v>
      </c>
      <c r="AI234" s="3">
        <v>0</v>
      </c>
      <c r="AJ234" s="3">
        <v>6</v>
      </c>
      <c r="AK234" s="3">
        <v>0</v>
      </c>
      <c r="AL234" s="2" t="s">
        <v>1714</v>
      </c>
      <c r="AM234" s="3">
        <v>0</v>
      </c>
      <c r="AN234" s="3">
        <v>0</v>
      </c>
      <c r="AO234" s="2"/>
      <c r="AP234" s="4">
        <v>44672</v>
      </c>
      <c r="AQ234" s="2" t="s">
        <v>1879</v>
      </c>
      <c r="AR234" s="2" t="s">
        <v>1454</v>
      </c>
    </row>
    <row r="235" customHeight="1" spans="1:44">
      <c r="A235" s="2" t="s">
        <v>1963</v>
      </c>
      <c r="B235" s="2" t="s">
        <v>1692</v>
      </c>
      <c r="C235" s="2" t="s">
        <v>1454</v>
      </c>
      <c r="D235" s="2"/>
      <c r="E235" s="2"/>
      <c r="F235" s="2" t="s">
        <v>1885</v>
      </c>
      <c r="G235" s="2" t="s">
        <v>1696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46" t="s">
        <v>838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62.67695</v>
      </c>
      <c r="AA235" s="3">
        <v>0</v>
      </c>
      <c r="AB235" s="3"/>
      <c r="AC235" s="3"/>
      <c r="AD235" s="3"/>
      <c r="AE235" s="3"/>
      <c r="AF235" s="3"/>
      <c r="AG235" s="3"/>
      <c r="AH235" s="3">
        <v>4.5</v>
      </c>
      <c r="AI235" s="3">
        <v>0</v>
      </c>
      <c r="AJ235" s="3">
        <v>6</v>
      </c>
      <c r="AK235" s="3">
        <v>0</v>
      </c>
      <c r="AL235" s="2" t="s">
        <v>1714</v>
      </c>
      <c r="AM235" s="3">
        <v>0</v>
      </c>
      <c r="AN235" s="3">
        <v>0</v>
      </c>
      <c r="AO235" s="2"/>
      <c r="AP235" s="4">
        <v>44672</v>
      </c>
      <c r="AQ235" s="2" t="s">
        <v>1879</v>
      </c>
      <c r="AR235" s="2" t="s">
        <v>1454</v>
      </c>
    </row>
    <row r="236" customHeight="1" spans="1:44">
      <c r="A236" s="2" t="s">
        <v>1964</v>
      </c>
      <c r="B236" s="2" t="s">
        <v>1692</v>
      </c>
      <c r="C236" s="2" t="s">
        <v>1454</v>
      </c>
      <c r="D236" s="2"/>
      <c r="E236" s="2"/>
      <c r="F236" s="2" t="s">
        <v>1956</v>
      </c>
      <c r="G236" s="2" t="s">
        <v>1696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46" t="s">
        <v>838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49.27</v>
      </c>
      <c r="AA236" s="3">
        <v>0</v>
      </c>
      <c r="AB236" s="3"/>
      <c r="AC236" s="3"/>
      <c r="AD236" s="3"/>
      <c r="AE236" s="3"/>
      <c r="AF236" s="3"/>
      <c r="AG236" s="3"/>
      <c r="AH236" s="3">
        <v>4.5</v>
      </c>
      <c r="AI236" s="3">
        <v>0</v>
      </c>
      <c r="AJ236" s="3">
        <v>6</v>
      </c>
      <c r="AK236" s="3">
        <v>0</v>
      </c>
      <c r="AL236" s="2" t="s">
        <v>1714</v>
      </c>
      <c r="AM236" s="3">
        <v>0</v>
      </c>
      <c r="AN236" s="3">
        <v>0</v>
      </c>
      <c r="AO236" s="2"/>
      <c r="AP236" s="4">
        <v>44672</v>
      </c>
      <c r="AQ236" s="2" t="s">
        <v>1879</v>
      </c>
      <c r="AR236" s="2" t="s">
        <v>1454</v>
      </c>
    </row>
    <row r="237" customHeight="1" spans="1:44">
      <c r="A237" s="2" t="s">
        <v>1965</v>
      </c>
      <c r="B237" s="2" t="s">
        <v>1692</v>
      </c>
      <c r="C237" s="2" t="s">
        <v>1454</v>
      </c>
      <c r="D237" s="2"/>
      <c r="E237" s="2"/>
      <c r="F237" s="2" t="s">
        <v>1956</v>
      </c>
      <c r="G237" s="2" t="s">
        <v>1696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46" t="s">
        <v>838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57.52</v>
      </c>
      <c r="AA237" s="3">
        <v>0</v>
      </c>
      <c r="AB237" s="3"/>
      <c r="AC237" s="3"/>
      <c r="AD237" s="3"/>
      <c r="AE237" s="3"/>
      <c r="AF237" s="3"/>
      <c r="AG237" s="3"/>
      <c r="AH237" s="3">
        <v>4.5</v>
      </c>
      <c r="AI237" s="3">
        <v>0</v>
      </c>
      <c r="AJ237" s="3">
        <v>6</v>
      </c>
      <c r="AK237" s="3">
        <v>0</v>
      </c>
      <c r="AL237" s="2" t="s">
        <v>1694</v>
      </c>
      <c r="AM237" s="3">
        <v>0</v>
      </c>
      <c r="AN237" s="3">
        <v>0</v>
      </c>
      <c r="AO237" s="4">
        <v>45368</v>
      </c>
      <c r="AP237" s="4">
        <v>45351</v>
      </c>
      <c r="AQ237" s="2" t="s">
        <v>1879</v>
      </c>
      <c r="AR237" s="2" t="s">
        <v>1454</v>
      </c>
    </row>
    <row r="238" customHeight="1" spans="1:44">
      <c r="A238" s="2" t="s">
        <v>1966</v>
      </c>
      <c r="B238" s="2" t="s">
        <v>1692</v>
      </c>
      <c r="C238" s="2" t="s">
        <v>1454</v>
      </c>
      <c r="D238" s="2"/>
      <c r="E238" s="2"/>
      <c r="F238" s="2" t="s">
        <v>1956</v>
      </c>
      <c r="G238" s="2" t="s">
        <v>1696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46" t="s">
        <v>838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41.52</v>
      </c>
      <c r="AA238" s="3">
        <v>0</v>
      </c>
      <c r="AB238" s="3"/>
      <c r="AC238" s="3"/>
      <c r="AD238" s="3"/>
      <c r="AE238" s="3"/>
      <c r="AF238" s="3"/>
      <c r="AG238" s="3"/>
      <c r="AH238" s="3">
        <v>4.5</v>
      </c>
      <c r="AI238" s="3">
        <v>0</v>
      </c>
      <c r="AJ238" s="3">
        <v>6</v>
      </c>
      <c r="AK238" s="3">
        <v>0</v>
      </c>
      <c r="AL238" s="2" t="s">
        <v>1714</v>
      </c>
      <c r="AM238" s="3">
        <v>0</v>
      </c>
      <c r="AN238" s="3">
        <v>0</v>
      </c>
      <c r="AO238" s="2"/>
      <c r="AP238" s="4">
        <v>44804</v>
      </c>
      <c r="AQ238" s="2" t="s">
        <v>1879</v>
      </c>
      <c r="AR238" s="2" t="s">
        <v>1454</v>
      </c>
    </row>
    <row r="239" customHeight="1" spans="1:44">
      <c r="A239" s="2" t="s">
        <v>1967</v>
      </c>
      <c r="B239" s="2" t="s">
        <v>1692</v>
      </c>
      <c r="C239" s="2" t="s">
        <v>1454</v>
      </c>
      <c r="D239" s="2"/>
      <c r="E239" s="2"/>
      <c r="F239" s="2" t="s">
        <v>1956</v>
      </c>
      <c r="G239" s="2" t="s">
        <v>1696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46" t="s">
        <v>838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132.890494</v>
      </c>
      <c r="AA239" s="3">
        <v>0</v>
      </c>
      <c r="AB239" s="3"/>
      <c r="AC239" s="3"/>
      <c r="AD239" s="3"/>
      <c r="AE239" s="3"/>
      <c r="AF239" s="3"/>
      <c r="AG239" s="3"/>
      <c r="AH239" s="3">
        <v>4.5</v>
      </c>
      <c r="AI239" s="3">
        <v>0</v>
      </c>
      <c r="AJ239" s="3">
        <v>6</v>
      </c>
      <c r="AK239" s="3">
        <v>0</v>
      </c>
      <c r="AL239" s="2" t="s">
        <v>1714</v>
      </c>
      <c r="AM239" s="3">
        <v>0</v>
      </c>
      <c r="AN239" s="3">
        <v>0</v>
      </c>
      <c r="AO239" s="2"/>
      <c r="AP239" s="4">
        <v>44672</v>
      </c>
      <c r="AQ239" s="2" t="s">
        <v>1879</v>
      </c>
      <c r="AR239" s="2" t="s">
        <v>1454</v>
      </c>
    </row>
    <row r="240" customHeight="1" spans="1:44">
      <c r="A240" s="2" t="s">
        <v>1968</v>
      </c>
      <c r="B240" s="2" t="s">
        <v>1692</v>
      </c>
      <c r="C240" s="2" t="s">
        <v>1454</v>
      </c>
      <c r="D240" s="2"/>
      <c r="E240" s="2"/>
      <c r="F240" s="2" t="s">
        <v>1885</v>
      </c>
      <c r="G240" s="2" t="s">
        <v>1696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46" t="s">
        <v>838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63.19</v>
      </c>
      <c r="AA240" s="3">
        <v>0</v>
      </c>
      <c r="AB240" s="3"/>
      <c r="AC240" s="3"/>
      <c r="AD240" s="3"/>
      <c r="AE240" s="3"/>
      <c r="AF240" s="3"/>
      <c r="AG240" s="3"/>
      <c r="AH240" s="3">
        <v>4.5</v>
      </c>
      <c r="AI240" s="3">
        <v>0</v>
      </c>
      <c r="AJ240" s="3">
        <v>6</v>
      </c>
      <c r="AK240" s="3">
        <v>0</v>
      </c>
      <c r="AL240" s="2" t="s">
        <v>1714</v>
      </c>
      <c r="AM240" s="3">
        <v>0</v>
      </c>
      <c r="AN240" s="3">
        <v>0</v>
      </c>
      <c r="AO240" s="2"/>
      <c r="AP240" s="4">
        <v>44804</v>
      </c>
      <c r="AQ240" s="2" t="s">
        <v>1879</v>
      </c>
      <c r="AR240" s="2" t="s">
        <v>1454</v>
      </c>
    </row>
    <row r="241" customHeight="1" spans="1:44">
      <c r="A241" s="2" t="s">
        <v>1969</v>
      </c>
      <c r="B241" s="2" t="s">
        <v>1692</v>
      </c>
      <c r="C241" s="2" t="s">
        <v>1454</v>
      </c>
      <c r="D241" s="2"/>
      <c r="E241" s="2"/>
      <c r="F241" s="2" t="s">
        <v>1956</v>
      </c>
      <c r="G241" s="2" t="s">
        <v>1696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46" t="s">
        <v>838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83.198171</v>
      </c>
      <c r="AA241" s="3">
        <v>0</v>
      </c>
      <c r="AB241" s="3"/>
      <c r="AC241" s="3"/>
      <c r="AD241" s="3"/>
      <c r="AE241" s="3"/>
      <c r="AF241" s="3"/>
      <c r="AG241" s="3"/>
      <c r="AH241" s="3">
        <v>4.5</v>
      </c>
      <c r="AI241" s="3">
        <v>0</v>
      </c>
      <c r="AJ241" s="3">
        <v>6</v>
      </c>
      <c r="AK241" s="3">
        <v>0</v>
      </c>
      <c r="AL241" s="2" t="s">
        <v>1714</v>
      </c>
      <c r="AM241" s="3">
        <v>0</v>
      </c>
      <c r="AN241" s="3">
        <v>0</v>
      </c>
      <c r="AO241" s="2"/>
      <c r="AP241" s="4">
        <v>44672</v>
      </c>
      <c r="AQ241" s="2" t="s">
        <v>1879</v>
      </c>
      <c r="AR241" s="2" t="s">
        <v>1454</v>
      </c>
    </row>
    <row r="242" customHeight="1" spans="1:44">
      <c r="A242" s="2" t="s">
        <v>1970</v>
      </c>
      <c r="B242" s="2" t="s">
        <v>1692</v>
      </c>
      <c r="C242" s="2" t="s">
        <v>1454</v>
      </c>
      <c r="D242" s="2"/>
      <c r="E242" s="2"/>
      <c r="F242" s="2" t="s">
        <v>1956</v>
      </c>
      <c r="G242" s="2" t="s">
        <v>1696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46" t="s">
        <v>838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42.491846</v>
      </c>
      <c r="AA242" s="3">
        <v>0</v>
      </c>
      <c r="AB242" s="3"/>
      <c r="AC242" s="3"/>
      <c r="AD242" s="3"/>
      <c r="AE242" s="3"/>
      <c r="AF242" s="3"/>
      <c r="AG242" s="3"/>
      <c r="AH242" s="3">
        <v>4.5</v>
      </c>
      <c r="AI242" s="3">
        <v>0</v>
      </c>
      <c r="AJ242" s="3">
        <v>6</v>
      </c>
      <c r="AK242" s="3">
        <v>0</v>
      </c>
      <c r="AL242" s="2" t="s">
        <v>1714</v>
      </c>
      <c r="AM242" s="3">
        <v>0</v>
      </c>
      <c r="AN242" s="3">
        <v>0</v>
      </c>
      <c r="AO242" s="2"/>
      <c r="AP242" s="4">
        <v>44804</v>
      </c>
      <c r="AQ242" s="2" t="s">
        <v>1879</v>
      </c>
      <c r="AR242" s="2" t="s">
        <v>1454</v>
      </c>
    </row>
    <row r="243" customHeight="1" spans="1:44">
      <c r="A243" s="2" t="s">
        <v>1971</v>
      </c>
      <c r="B243" s="2" t="s">
        <v>1692</v>
      </c>
      <c r="C243" s="2" t="s">
        <v>1454</v>
      </c>
      <c r="D243" s="2"/>
      <c r="E243" s="2"/>
      <c r="F243" s="2" t="s">
        <v>1956</v>
      </c>
      <c r="G243" s="2" t="s">
        <v>1696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46" t="s">
        <v>838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31.5951</v>
      </c>
      <c r="AA243" s="3">
        <v>0</v>
      </c>
      <c r="AB243" s="3"/>
      <c r="AC243" s="3"/>
      <c r="AD243" s="3"/>
      <c r="AE243" s="3"/>
      <c r="AF243" s="3"/>
      <c r="AG243" s="3"/>
      <c r="AH243" s="3">
        <v>4.5</v>
      </c>
      <c r="AI243" s="3">
        <v>0</v>
      </c>
      <c r="AJ243" s="3">
        <v>6</v>
      </c>
      <c r="AK243" s="3">
        <v>0</v>
      </c>
      <c r="AL243" s="2" t="s">
        <v>1714</v>
      </c>
      <c r="AM243" s="3">
        <v>0</v>
      </c>
      <c r="AN243" s="3">
        <v>0</v>
      </c>
      <c r="AO243" s="2"/>
      <c r="AP243" s="4">
        <v>44672</v>
      </c>
      <c r="AQ243" s="2" t="s">
        <v>1879</v>
      </c>
      <c r="AR243" s="2" t="s">
        <v>1454</v>
      </c>
    </row>
    <row r="244" customHeight="1" spans="1:44">
      <c r="A244" s="2" t="s">
        <v>1972</v>
      </c>
      <c r="B244" s="2" t="s">
        <v>1692</v>
      </c>
      <c r="C244" s="2" t="s">
        <v>1454</v>
      </c>
      <c r="D244" s="2"/>
      <c r="E244" s="2"/>
      <c r="F244" s="2" t="s">
        <v>1956</v>
      </c>
      <c r="G244" s="2" t="s">
        <v>1696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46" t="s">
        <v>838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39.836075</v>
      </c>
      <c r="AA244" s="3">
        <v>0</v>
      </c>
      <c r="AB244" s="3"/>
      <c r="AC244" s="3"/>
      <c r="AD244" s="3"/>
      <c r="AE244" s="3"/>
      <c r="AF244" s="3"/>
      <c r="AG244" s="3"/>
      <c r="AH244" s="3">
        <v>4.5</v>
      </c>
      <c r="AI244" s="3">
        <v>0</v>
      </c>
      <c r="AJ244" s="3">
        <v>6</v>
      </c>
      <c r="AK244" s="3">
        <v>0</v>
      </c>
      <c r="AL244" s="2" t="s">
        <v>1714</v>
      </c>
      <c r="AM244" s="3">
        <v>0</v>
      </c>
      <c r="AN244" s="3">
        <v>0</v>
      </c>
      <c r="AO244" s="2"/>
      <c r="AP244" s="4">
        <v>44804</v>
      </c>
      <c r="AQ244" s="2" t="s">
        <v>1879</v>
      </c>
      <c r="AR244" s="2" t="s">
        <v>1454</v>
      </c>
    </row>
    <row r="245" customHeight="1" spans="1:44">
      <c r="A245" s="2" t="s">
        <v>1973</v>
      </c>
      <c r="B245" s="2" t="s">
        <v>1692</v>
      </c>
      <c r="C245" s="2" t="s">
        <v>1454</v>
      </c>
      <c r="D245" s="2"/>
      <c r="E245" s="2"/>
      <c r="F245" s="2" t="s">
        <v>1956</v>
      </c>
      <c r="G245" s="2" t="s">
        <v>1696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46" t="s">
        <v>838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212.12</v>
      </c>
      <c r="AA245" s="3">
        <v>0</v>
      </c>
      <c r="AB245" s="3"/>
      <c r="AC245" s="3"/>
      <c r="AD245" s="3"/>
      <c r="AE245" s="3"/>
      <c r="AF245" s="3"/>
      <c r="AG245" s="3"/>
      <c r="AH245" s="3">
        <v>4.5</v>
      </c>
      <c r="AI245" s="3">
        <v>0</v>
      </c>
      <c r="AJ245" s="3">
        <v>6</v>
      </c>
      <c r="AK245" s="3">
        <v>0</v>
      </c>
      <c r="AL245" s="2" t="s">
        <v>1714</v>
      </c>
      <c r="AM245" s="3">
        <v>0</v>
      </c>
      <c r="AN245" s="3">
        <v>0</v>
      </c>
      <c r="AO245" s="2"/>
      <c r="AP245" s="2"/>
      <c r="AQ245" s="2" t="s">
        <v>1879</v>
      </c>
      <c r="AR245" s="2" t="s">
        <v>1454</v>
      </c>
    </row>
    <row r="246" customHeight="1" spans="1:44">
      <c r="A246" s="2" t="s">
        <v>1974</v>
      </c>
      <c r="B246" s="2" t="s">
        <v>1692</v>
      </c>
      <c r="C246" s="2" t="s">
        <v>1454</v>
      </c>
      <c r="D246" s="2"/>
      <c r="E246" s="2"/>
      <c r="F246" s="2" t="s">
        <v>1956</v>
      </c>
      <c r="G246" s="2" t="s">
        <v>1696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46" t="s">
        <v>838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48.68859</v>
      </c>
      <c r="AA246" s="3">
        <v>0</v>
      </c>
      <c r="AB246" s="3"/>
      <c r="AC246" s="3"/>
      <c r="AD246" s="3"/>
      <c r="AE246" s="3"/>
      <c r="AF246" s="3"/>
      <c r="AG246" s="3"/>
      <c r="AH246" s="3">
        <v>4.5</v>
      </c>
      <c r="AI246" s="3">
        <v>0</v>
      </c>
      <c r="AJ246" s="3">
        <v>6</v>
      </c>
      <c r="AK246" s="3">
        <v>0</v>
      </c>
      <c r="AL246" s="2" t="s">
        <v>1714</v>
      </c>
      <c r="AM246" s="3">
        <v>0</v>
      </c>
      <c r="AN246" s="3">
        <v>0</v>
      </c>
      <c r="AO246" s="2"/>
      <c r="AP246" s="4">
        <v>44804</v>
      </c>
      <c r="AQ246" s="2" t="s">
        <v>1879</v>
      </c>
      <c r="AR246" s="2" t="s">
        <v>1454</v>
      </c>
    </row>
    <row r="247" customHeight="1" spans="1:44">
      <c r="A247" s="2" t="s">
        <v>1975</v>
      </c>
      <c r="B247" s="2" t="s">
        <v>1692</v>
      </c>
      <c r="C247" s="2" t="s">
        <v>1454</v>
      </c>
      <c r="D247" s="2"/>
      <c r="E247" s="2"/>
      <c r="F247" s="2" t="s">
        <v>1956</v>
      </c>
      <c r="G247" s="2" t="s">
        <v>1696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46" t="s">
        <v>838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31.41</v>
      </c>
      <c r="AA247" s="3">
        <v>0</v>
      </c>
      <c r="AB247" s="3"/>
      <c r="AC247" s="3"/>
      <c r="AD247" s="3"/>
      <c r="AE247" s="3"/>
      <c r="AF247" s="3"/>
      <c r="AG247" s="3"/>
      <c r="AH247" s="3">
        <v>4.5</v>
      </c>
      <c r="AI247" s="3">
        <v>0</v>
      </c>
      <c r="AJ247" s="3">
        <v>6</v>
      </c>
      <c r="AK247" s="3">
        <v>0</v>
      </c>
      <c r="AL247" s="2" t="s">
        <v>1714</v>
      </c>
      <c r="AM247" s="3">
        <v>0</v>
      </c>
      <c r="AN247" s="3">
        <v>0</v>
      </c>
      <c r="AO247" s="2"/>
      <c r="AP247" s="4">
        <v>44803</v>
      </c>
      <c r="AQ247" s="2" t="s">
        <v>1879</v>
      </c>
      <c r="AR247" s="2" t="s">
        <v>1454</v>
      </c>
    </row>
    <row r="248" customHeight="1" spans="1:44">
      <c r="A248" s="2" t="s">
        <v>1976</v>
      </c>
      <c r="B248" s="2" t="s">
        <v>1692</v>
      </c>
      <c r="C248" s="2" t="s">
        <v>1454</v>
      </c>
      <c r="D248" s="2"/>
      <c r="E248" s="2"/>
      <c r="F248" s="2" t="s">
        <v>1956</v>
      </c>
      <c r="G248" s="2" t="s">
        <v>1696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46" t="s">
        <v>838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69.746512</v>
      </c>
      <c r="AA248" s="3">
        <v>0</v>
      </c>
      <c r="AB248" s="3"/>
      <c r="AC248" s="3"/>
      <c r="AD248" s="3"/>
      <c r="AE248" s="3"/>
      <c r="AF248" s="3"/>
      <c r="AG248" s="3"/>
      <c r="AH248" s="3">
        <v>4.5</v>
      </c>
      <c r="AI248" s="3">
        <v>0</v>
      </c>
      <c r="AJ248" s="3">
        <v>6</v>
      </c>
      <c r="AK248" s="3">
        <v>0</v>
      </c>
      <c r="AL248" s="2" t="s">
        <v>1714</v>
      </c>
      <c r="AM248" s="3">
        <v>0</v>
      </c>
      <c r="AN248" s="3">
        <v>0</v>
      </c>
      <c r="AO248" s="2"/>
      <c r="AP248" s="4">
        <v>44672</v>
      </c>
      <c r="AQ248" s="2" t="s">
        <v>1879</v>
      </c>
      <c r="AR248" s="2" t="s">
        <v>1454</v>
      </c>
    </row>
    <row r="249" customHeight="1" spans="1:44">
      <c r="A249" s="2" t="s">
        <v>1977</v>
      </c>
      <c r="B249" s="2" t="s">
        <v>1692</v>
      </c>
      <c r="C249" s="2" t="s">
        <v>1454</v>
      </c>
      <c r="D249" s="2"/>
      <c r="E249" s="2"/>
      <c r="F249" s="2" t="s">
        <v>1956</v>
      </c>
      <c r="G249" s="2" t="s">
        <v>1696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46" t="s">
        <v>838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36.38</v>
      </c>
      <c r="AA249" s="3">
        <v>0</v>
      </c>
      <c r="AB249" s="3"/>
      <c r="AC249" s="3"/>
      <c r="AD249" s="3"/>
      <c r="AE249" s="3"/>
      <c r="AF249" s="3"/>
      <c r="AG249" s="3"/>
      <c r="AH249" s="3">
        <v>4.5</v>
      </c>
      <c r="AI249" s="3">
        <v>0</v>
      </c>
      <c r="AJ249" s="3">
        <v>6</v>
      </c>
      <c r="AK249" s="3">
        <v>0</v>
      </c>
      <c r="AL249" s="2" t="s">
        <v>1714</v>
      </c>
      <c r="AM249" s="3">
        <v>0</v>
      </c>
      <c r="AN249" s="3">
        <v>0</v>
      </c>
      <c r="AO249" s="2"/>
      <c r="AP249" s="4">
        <v>44672</v>
      </c>
      <c r="AQ249" s="2" t="s">
        <v>1879</v>
      </c>
      <c r="AR249" s="2" t="s">
        <v>1454</v>
      </c>
    </row>
    <row r="250" customHeight="1" spans="1:44">
      <c r="A250" s="2" t="s">
        <v>1978</v>
      </c>
      <c r="B250" s="2" t="s">
        <v>1692</v>
      </c>
      <c r="C250" s="2" t="s">
        <v>1454</v>
      </c>
      <c r="D250" s="2"/>
      <c r="E250" s="2"/>
      <c r="F250" s="2" t="s">
        <v>1956</v>
      </c>
      <c r="G250" s="2" t="s">
        <v>1696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46" t="s">
        <v>838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151.65</v>
      </c>
      <c r="AA250" s="3">
        <v>0</v>
      </c>
      <c r="AB250" s="3"/>
      <c r="AC250" s="3"/>
      <c r="AD250" s="3"/>
      <c r="AE250" s="3"/>
      <c r="AF250" s="3"/>
      <c r="AG250" s="3"/>
      <c r="AH250" s="3">
        <v>4.5</v>
      </c>
      <c r="AI250" s="3">
        <v>0</v>
      </c>
      <c r="AJ250" s="3">
        <v>6</v>
      </c>
      <c r="AK250" s="3">
        <v>0</v>
      </c>
      <c r="AL250" s="2" t="s">
        <v>1714</v>
      </c>
      <c r="AM250" s="3">
        <v>0</v>
      </c>
      <c r="AN250" s="3">
        <v>0</v>
      </c>
      <c r="AO250" s="2"/>
      <c r="AP250" s="4">
        <v>44804</v>
      </c>
      <c r="AQ250" s="2" t="s">
        <v>1879</v>
      </c>
      <c r="AR250" s="2" t="s">
        <v>1454</v>
      </c>
    </row>
    <row r="251" customHeight="1" spans="1:44">
      <c r="A251" s="2" t="s">
        <v>1979</v>
      </c>
      <c r="B251" s="2" t="s">
        <v>1692</v>
      </c>
      <c r="C251" s="2" t="s">
        <v>1454</v>
      </c>
      <c r="D251" s="2"/>
      <c r="E251" s="2"/>
      <c r="F251" s="2" t="s">
        <v>1937</v>
      </c>
      <c r="G251" s="2" t="s">
        <v>1696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46" t="s">
        <v>838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68.14159292</v>
      </c>
      <c r="AA251" s="3">
        <v>0</v>
      </c>
      <c r="AB251" s="3"/>
      <c r="AC251" s="3"/>
      <c r="AD251" s="3"/>
      <c r="AE251" s="3"/>
      <c r="AF251" s="3"/>
      <c r="AG251" s="3"/>
      <c r="AH251" s="3">
        <v>4.5</v>
      </c>
      <c r="AI251" s="3">
        <v>0</v>
      </c>
      <c r="AJ251" s="3">
        <v>6</v>
      </c>
      <c r="AK251" s="3">
        <v>0</v>
      </c>
      <c r="AL251" s="2" t="s">
        <v>1710</v>
      </c>
      <c r="AM251" s="3">
        <v>0</v>
      </c>
      <c r="AN251" s="3">
        <v>0</v>
      </c>
      <c r="AO251" s="2"/>
      <c r="AP251" s="2"/>
      <c r="AQ251" s="2" t="s">
        <v>1879</v>
      </c>
      <c r="AR251" s="2" t="s">
        <v>1454</v>
      </c>
    </row>
    <row r="252" customHeight="1" spans="1:44">
      <c r="A252" s="2" t="s">
        <v>1980</v>
      </c>
      <c r="B252" s="2" t="s">
        <v>1692</v>
      </c>
      <c r="C252" s="2" t="s">
        <v>1454</v>
      </c>
      <c r="D252" s="2"/>
      <c r="E252" s="2"/>
      <c r="F252" s="2" t="s">
        <v>1885</v>
      </c>
      <c r="G252" s="2" t="s">
        <v>1696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46" t="s">
        <v>838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46.9</v>
      </c>
      <c r="AA252" s="3">
        <v>0</v>
      </c>
      <c r="AB252" s="3"/>
      <c r="AC252" s="3"/>
      <c r="AD252" s="3"/>
      <c r="AE252" s="3"/>
      <c r="AF252" s="3"/>
      <c r="AG252" s="3"/>
      <c r="AH252" s="3">
        <v>4.5</v>
      </c>
      <c r="AI252" s="3">
        <v>0</v>
      </c>
      <c r="AJ252" s="3">
        <v>6</v>
      </c>
      <c r="AK252" s="3">
        <v>0</v>
      </c>
      <c r="AL252" s="2" t="s">
        <v>1694</v>
      </c>
      <c r="AM252" s="3">
        <v>0</v>
      </c>
      <c r="AN252" s="3">
        <v>0</v>
      </c>
      <c r="AO252" s="4">
        <v>45368</v>
      </c>
      <c r="AP252" s="4">
        <v>45366</v>
      </c>
      <c r="AQ252" s="2" t="s">
        <v>1879</v>
      </c>
      <c r="AR252" s="2" t="s">
        <v>1454</v>
      </c>
    </row>
    <row r="253" customHeight="1" spans="1:44">
      <c r="A253" s="2" t="s">
        <v>1963</v>
      </c>
      <c r="B253" s="2" t="s">
        <v>1692</v>
      </c>
      <c r="C253" s="2" t="s">
        <v>1454</v>
      </c>
      <c r="D253" s="2"/>
      <c r="E253" s="2"/>
      <c r="F253" s="2" t="s">
        <v>1885</v>
      </c>
      <c r="G253" s="2" t="s">
        <v>1696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46" t="s">
        <v>838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62.67695</v>
      </c>
      <c r="AA253" s="3">
        <v>0</v>
      </c>
      <c r="AB253" s="3"/>
      <c r="AC253" s="3"/>
      <c r="AD253" s="3"/>
      <c r="AE253" s="3"/>
      <c r="AF253" s="3"/>
      <c r="AG253" s="3"/>
      <c r="AH253" s="3">
        <v>4.5</v>
      </c>
      <c r="AI253" s="3">
        <v>0</v>
      </c>
      <c r="AJ253" s="3">
        <v>6</v>
      </c>
      <c r="AK253" s="3">
        <v>0</v>
      </c>
      <c r="AL253" s="2" t="s">
        <v>1714</v>
      </c>
      <c r="AM253" s="3">
        <v>0</v>
      </c>
      <c r="AN253" s="3">
        <v>0</v>
      </c>
      <c r="AO253" s="2"/>
      <c r="AP253" s="4">
        <v>44672</v>
      </c>
      <c r="AQ253" s="2" t="s">
        <v>1879</v>
      </c>
      <c r="AR253" s="2" t="s">
        <v>1454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总表</vt:lpstr>
      <vt:lpstr>日更监控</vt:lpstr>
      <vt:lpstr>潜力</vt:lpstr>
      <vt:lpstr>链接质量检测</vt:lpstr>
      <vt:lpstr>Sheet6</vt:lpstr>
      <vt:lpstr>竞对表</vt:lpstr>
      <vt:lpstr>库存明细报表10.16</vt:lpstr>
      <vt:lpstr>进销存报表10.16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米沐</cp:lastModifiedBy>
  <dcterms:created xsi:type="dcterms:W3CDTF">2006-09-16T00:00:00Z</dcterms:created>
  <dcterms:modified xsi:type="dcterms:W3CDTF">2026-10-19T10:24:06Z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D5AFD0B108244C1CB4D9B98287C522E2_12</vt:lpwstr>
  </property>
  <property fmtid="{D5CDD505-2E9C-101B-9397-08002B2CF9AE}" pid="3" name="KSOProductBuildVer">
    <vt:lpwstr>2052-12.1.0.21915</vt:lpwstr>
  </property>
</Properties>
</file>