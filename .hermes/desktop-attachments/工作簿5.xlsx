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Sheet1!$B$1:$G$43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<sst xmlns="http://schemas.openxmlformats.org/spreadsheetml/2006/main" count="204" uniqueCount="163">
  <si>
    <t>商品编码</t>
  </si>
  <si>
    <t>平台销售编码</t>
  </si>
  <si>
    <t>平台商品编码</t>
  </si>
  <si>
    <t>FBA可用库存</t>
  </si>
  <si>
    <t>FBA在途库存</t>
  </si>
  <si>
    <t>头程在途</t>
  </si>
  <si>
    <t>合计</t>
  </si>
  <si>
    <t>海外仓可用库存</t>
  </si>
  <si>
    <t>海外仓在途库存</t>
  </si>
  <si>
    <t>本地仓可用库存</t>
  </si>
  <si>
    <t>ZC2CLK05000</t>
  </si>
  <si>
    <t>B0HD5FB81R</t>
  </si>
  <si>
    <t>6505CLK050KUS</t>
  </si>
  <si>
    <t>OO2EWP01300</t>
  </si>
  <si>
    <t>B0CKX85NSB</t>
  </si>
  <si>
    <t>1002EWP0137US</t>
  </si>
  <si>
    <t>OO2EWP09700</t>
  </si>
  <si>
    <t>B0FLK4C864</t>
  </si>
  <si>
    <t>9920EWP097BUS</t>
  </si>
  <si>
    <t>OO2EWP02900</t>
  </si>
  <si>
    <t>B0HD5Q89RG</t>
  </si>
  <si>
    <t>5867EWP029MUS</t>
  </si>
  <si>
    <t>KC2EWP25500</t>
  </si>
  <si>
    <t>B0HD6KL2ZX</t>
  </si>
  <si>
    <t>3443EWP2554US</t>
  </si>
  <si>
    <t>OO2EWP02500</t>
  </si>
  <si>
    <t>B0HD68B8BL</t>
  </si>
  <si>
    <t>9417EWP0256US</t>
  </si>
  <si>
    <t>ZC2CLK02900</t>
  </si>
  <si>
    <t>B0HD68W4G6</t>
  </si>
  <si>
    <t>2515CLK0299US</t>
  </si>
  <si>
    <t>KC2EWP16700</t>
  </si>
  <si>
    <t>B0HD5ZTHD1</t>
  </si>
  <si>
    <t>9111EWP167VUS</t>
  </si>
  <si>
    <t>KC2EWP26400</t>
  </si>
  <si>
    <t>B0HD684QKG</t>
  </si>
  <si>
    <t>7973EWP264YUS</t>
  </si>
  <si>
    <t>KC2EWP27200</t>
  </si>
  <si>
    <t>B0HD63SR81</t>
  </si>
  <si>
    <t>9377EWP2729US</t>
  </si>
  <si>
    <t>KC2EWP25900</t>
  </si>
  <si>
    <t>B0HD6KLS53</t>
  </si>
  <si>
    <t>6214EWP259TUS</t>
  </si>
  <si>
    <t>KC2EWP16800</t>
  </si>
  <si>
    <t>B0H7Z8F943</t>
  </si>
  <si>
    <t>1682EWP168PUS</t>
  </si>
  <si>
    <t>KC2EWP17000</t>
  </si>
  <si>
    <t>B0HBQD13WL</t>
  </si>
  <si>
    <t>5247EWP1706US</t>
  </si>
  <si>
    <t>KC2EWP28100</t>
  </si>
  <si>
    <t>B0HD5ZCWZ3</t>
  </si>
  <si>
    <t>4424EWP281EUS</t>
  </si>
  <si>
    <t>KC2EWP13700</t>
  </si>
  <si>
    <t>B0HD5F5Z54</t>
  </si>
  <si>
    <t>8732EWP137GUS</t>
  </si>
  <si>
    <t>OO2EWP12800</t>
  </si>
  <si>
    <t>B0HD5XFZPQ</t>
  </si>
  <si>
    <t>3775EWP128CUS</t>
  </si>
  <si>
    <t>KC2EWP20400</t>
  </si>
  <si>
    <t>B0HD68V4ZN</t>
  </si>
  <si>
    <t>2965EWP2046US</t>
  </si>
  <si>
    <t>KC2EWP13600</t>
  </si>
  <si>
    <t>B0HD5Q1KDZ</t>
  </si>
  <si>
    <t>5249EWP136XUS</t>
  </si>
  <si>
    <t>KC2EWP27700</t>
  </si>
  <si>
    <t>B0HD5ZPTV3</t>
  </si>
  <si>
    <t>9292EWP2775US</t>
  </si>
  <si>
    <t>KC2EWP25400</t>
  </si>
  <si>
    <t>B0HD67X6H6</t>
  </si>
  <si>
    <t>4335EWP2541US</t>
  </si>
  <si>
    <t>KC2EWP23800</t>
  </si>
  <si>
    <t>B0HBQ6XCLF</t>
  </si>
  <si>
    <t>5638EWP238AUS</t>
  </si>
  <si>
    <t>KC2EWP20900</t>
  </si>
  <si>
    <t>B0HBQD3ZDM</t>
  </si>
  <si>
    <t>5632EWP2096US</t>
  </si>
  <si>
    <t>ZC2CLK02000</t>
  </si>
  <si>
    <t>B0DG2D424T</t>
  </si>
  <si>
    <t>1683CLK020HUS</t>
  </si>
  <si>
    <t>KC2EWP18900</t>
  </si>
  <si>
    <t>B0H7YS3L6W</t>
  </si>
  <si>
    <t>1455EWP189XUS</t>
  </si>
  <si>
    <t>KC2EWP22800</t>
  </si>
  <si>
    <t>B0HD5F1T8D</t>
  </si>
  <si>
    <t>5316EWP228WUS</t>
  </si>
  <si>
    <t>KC2EWP15500</t>
  </si>
  <si>
    <t>B0HD5TLX7B</t>
  </si>
  <si>
    <t>5337EWP155VUS</t>
  </si>
  <si>
    <t>KC2EWP18700</t>
  </si>
  <si>
    <t>B0HD6H4NN7</t>
  </si>
  <si>
    <t>9337EWP187ZUS</t>
  </si>
  <si>
    <t>KC2EWP24900</t>
  </si>
  <si>
    <t>B0HD6KHH3Z</t>
  </si>
  <si>
    <t>1101EWP249EUS</t>
  </si>
  <si>
    <t>KC2EWP25000</t>
  </si>
  <si>
    <t>B0HD6KCVB5</t>
  </si>
  <si>
    <t>9395EWP250WUS</t>
  </si>
  <si>
    <t>OO2EWP07300</t>
  </si>
  <si>
    <t>B0FZGM1YGD</t>
  </si>
  <si>
    <t>7835EWP073GUS</t>
  </si>
  <si>
    <t>KC2EWP15700</t>
  </si>
  <si>
    <t>B0HD5JZCW5</t>
  </si>
  <si>
    <t>4696EWP157WUS</t>
  </si>
  <si>
    <t>KC2EWP25200</t>
  </si>
  <si>
    <t>B0HBQGF22C</t>
  </si>
  <si>
    <t>2392EWP252PUS</t>
  </si>
  <si>
    <t>KC2EWP16000</t>
  </si>
  <si>
    <t>B0HD6DL9B4</t>
  </si>
  <si>
    <t>9302EWP1601US</t>
  </si>
  <si>
    <t>KC2EWP19400</t>
  </si>
  <si>
    <t>B0HD5MTV7C</t>
  </si>
  <si>
    <t>3020EWP194XUS</t>
  </si>
  <si>
    <t>KC2EWP22500</t>
  </si>
  <si>
    <t>B0HD68RXC2</t>
  </si>
  <si>
    <t>2996EWP225TUS</t>
  </si>
  <si>
    <t>KC2EWP25100</t>
  </si>
  <si>
    <t>B0HD5TJBPN</t>
  </si>
  <si>
    <t>9894EWP251AUS</t>
  </si>
  <si>
    <t>KC2EWP26600</t>
  </si>
  <si>
    <t>B0HD654WB8</t>
  </si>
  <si>
    <t>1402EWP266FUS</t>
  </si>
  <si>
    <t>KC2EWP22900</t>
  </si>
  <si>
    <t>B0HD5YXYGP</t>
  </si>
  <si>
    <t>4895EWP2295US</t>
  </si>
  <si>
    <t>KC2EWP17400</t>
  </si>
  <si>
    <t>B0HD654JBJ</t>
  </si>
  <si>
    <t>2849EWP174HUS</t>
  </si>
  <si>
    <t>KC2EWP13300</t>
  </si>
  <si>
    <t>B0H7YRXS5B</t>
  </si>
  <si>
    <t>6596EWP133VUS</t>
  </si>
  <si>
    <t>KC2EWP27000</t>
  </si>
  <si>
    <t>B0HD5JWTF3</t>
  </si>
  <si>
    <t>2583EWP270HUS</t>
  </si>
  <si>
    <t>KC2EWP24400</t>
  </si>
  <si>
    <t>B0HD5ZFHQ6</t>
  </si>
  <si>
    <t>5173EWP244EUS</t>
  </si>
  <si>
    <t>商编</t>
  </si>
  <si>
    <t>sku</t>
  </si>
  <si>
    <t>商品等级</t>
  </si>
  <si>
    <t>新老品</t>
  </si>
  <si>
    <t>Q2 BCG</t>
  </si>
  <si>
    <t>Q3 BCG</t>
  </si>
  <si>
    <t>是否主推</t>
  </si>
  <si>
    <t>可用库存</t>
  </si>
  <si>
    <t>可售库存</t>
  </si>
  <si>
    <t>7月销量</t>
  </si>
  <si>
    <t>8月销量</t>
  </si>
  <si>
    <t>9月销量</t>
  </si>
  <si>
    <t>10月销量-10.16</t>
  </si>
  <si>
    <t>加权月销</t>
  </si>
  <si>
    <t>离岸库销比</t>
  </si>
  <si>
    <t>建议补货数量</t>
  </si>
  <si>
    <t>补货数量10.21</t>
  </si>
  <si>
    <t>老品</t>
  </si>
  <si>
    <t>潜力</t>
  </si>
  <si>
    <t>是</t>
  </si>
  <si>
    <t>新品</t>
  </si>
  <si>
    <t>明星</t>
  </si>
  <si>
    <t>瘦狗</t>
  </si>
  <si>
    <t>金牛</t>
  </si>
  <si>
    <t>B0H6X437R5</t>
  </si>
  <si>
    <t>KC2EWP23200</t>
  </si>
  <si>
    <t>4098EWP2328US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</si>
</sst>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6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sz val="9"/>
      <color theme="1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9" fontId="3" fillId="0" borderId="0" xfId="3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7" fontId="1" fillId="4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0" fontId="2" fillId="0" borderId="1" xfId="3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700;&#27893;&#21464;&#20307;&#25968;&#25454;&#27719;&#2463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BA销量"/>
      <sheetName val="FBA补货"/>
      <sheetName val="Sheet1"/>
      <sheetName val="新品链接"/>
      <sheetName val="PT变体 SC"/>
      <sheetName val="PT变体 VC"/>
      <sheetName val="KAX变体 VC"/>
      <sheetName val="产品属性数据"/>
      <sheetName val="FBA库存明细10.19"/>
      <sheetName val="进销存10.20"/>
      <sheetName val="库龄9.2"/>
      <sheetName val="30天数据9.23"/>
      <sheetName val="商编维度销量"/>
      <sheetName val="大促活动报名"/>
      <sheetName val="发备货合计"/>
      <sheetName val="周数据"/>
      <sheetName val="Sheet2"/>
      <sheetName val="Sheet4"/>
      <sheetName val="备注"/>
      <sheetName val="全域流广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L1" t="str">
            <v>ASIN</v>
          </cell>
          <cell r="M1" t="str">
            <v>SKU</v>
          </cell>
          <cell r="N1" t="str">
            <v>产品编码</v>
          </cell>
          <cell r="O1" t="str">
            <v>尾程类型</v>
          </cell>
          <cell r="P1" t="str">
            <v>可用库存</v>
          </cell>
          <cell r="Q1" t="str">
            <v>可售库存</v>
          </cell>
          <cell r="R1" t="str">
            <v>不可售库存</v>
          </cell>
          <cell r="S1" t="str">
            <v>待上架库存</v>
          </cell>
          <cell r="T1" t="str">
            <v>头程在途</v>
          </cell>
        </row>
        <row r="2">
          <cell r="L2" t="str">
            <v>B0GWZLHQS3</v>
          </cell>
          <cell r="M2" t="str">
            <v>OO2EWP11500</v>
          </cell>
          <cell r="N2" t="str">
            <v>2EWP1150</v>
          </cell>
          <cell r="O2" t="str">
            <v>FBA</v>
          </cell>
          <cell r="P2">
            <v>2</v>
          </cell>
          <cell r="Q2">
            <v>2</v>
          </cell>
          <cell r="R2">
            <v>0</v>
          </cell>
          <cell r="S2">
            <v>0</v>
          </cell>
          <cell r="T2">
            <v>0</v>
          </cell>
        </row>
        <row r="3">
          <cell r="L3" t="str">
            <v>B0GWQMTQY9</v>
          </cell>
          <cell r="M3" t="str">
            <v>OO2EWP12200</v>
          </cell>
          <cell r="N3" t="str">
            <v>2EWP1220</v>
          </cell>
          <cell r="O3" t="str">
            <v>FBA</v>
          </cell>
          <cell r="P3">
            <v>3</v>
          </cell>
          <cell r="Q3">
            <v>1</v>
          </cell>
          <cell r="R3">
            <v>0</v>
          </cell>
          <cell r="S3">
            <v>0</v>
          </cell>
          <cell r="T3">
            <v>2</v>
          </cell>
        </row>
        <row r="4">
          <cell r="L4" t="str">
            <v>B0G3LG85VS</v>
          </cell>
          <cell r="M4" t="str">
            <v>OO2EWP06200</v>
          </cell>
          <cell r="N4" t="str">
            <v>2EWP0620</v>
          </cell>
          <cell r="O4" t="str">
            <v>FBA</v>
          </cell>
          <cell r="P4">
            <v>19</v>
          </cell>
          <cell r="Q4">
            <v>18</v>
          </cell>
          <cell r="R4">
            <v>0</v>
          </cell>
          <cell r="S4">
            <v>0</v>
          </cell>
          <cell r="T4">
            <v>0</v>
          </cell>
        </row>
        <row r="5">
          <cell r="L5" t="str">
            <v>B0DSW8XVPB</v>
          </cell>
          <cell r="M5" t="str">
            <v>OO2EWP07900</v>
          </cell>
          <cell r="N5" t="str">
            <v>2EWP0790</v>
          </cell>
          <cell r="O5" t="str">
            <v>FBA</v>
          </cell>
          <cell r="P5">
            <v>31</v>
          </cell>
          <cell r="Q5">
            <v>29</v>
          </cell>
          <cell r="R5">
            <v>0</v>
          </cell>
          <cell r="S5">
            <v>0</v>
          </cell>
          <cell r="T5">
            <v>0</v>
          </cell>
        </row>
        <row r="6">
          <cell r="L6" t="str">
            <v>B0HJ4NTDXG</v>
          </cell>
          <cell r="M6" t="str">
            <v>OO2EWP01800</v>
          </cell>
          <cell r="N6" t="str">
            <v>2EWP0180</v>
          </cell>
          <cell r="O6" t="str">
            <v>FBA</v>
          </cell>
          <cell r="P6">
            <v>3</v>
          </cell>
          <cell r="Q6">
            <v>3</v>
          </cell>
          <cell r="R6">
            <v>0</v>
          </cell>
          <cell r="S6">
            <v>0</v>
          </cell>
          <cell r="T6">
            <v>0</v>
          </cell>
        </row>
        <row r="7">
          <cell r="L7" t="str">
            <v>B0CKX9959W</v>
          </cell>
          <cell r="M7" t="str">
            <v>OO2EWP01600</v>
          </cell>
          <cell r="N7" t="str">
            <v>2EWP0160</v>
          </cell>
          <cell r="O7" t="str">
            <v>FBA</v>
          </cell>
          <cell r="P7">
            <v>43</v>
          </cell>
          <cell r="Q7">
            <v>28</v>
          </cell>
          <cell r="R7">
            <v>0</v>
          </cell>
          <cell r="S7">
            <v>0</v>
          </cell>
          <cell r="T7">
            <v>20</v>
          </cell>
        </row>
        <row r="8">
          <cell r="L8" t="str">
            <v>B0G3LJ3RK6</v>
          </cell>
          <cell r="M8" t="str">
            <v>OO2EWP01300</v>
          </cell>
          <cell r="N8" t="str">
            <v>2EWP0130</v>
          </cell>
          <cell r="O8" t="str">
            <v>FBA</v>
          </cell>
          <cell r="P8">
            <v>2</v>
          </cell>
          <cell r="Q8">
            <v>2</v>
          </cell>
          <cell r="R8">
            <v>0</v>
          </cell>
          <cell r="S8">
            <v>0</v>
          </cell>
          <cell r="T8">
            <v>0</v>
          </cell>
        </row>
        <row r="9">
          <cell r="L9" t="str">
            <v>B0GWZNXH6Z</v>
          </cell>
          <cell r="M9" t="str">
            <v>OO2EWP01000</v>
          </cell>
          <cell r="N9" t="str">
            <v>2EWP0100</v>
          </cell>
          <cell r="O9" t="str">
            <v>FBA</v>
          </cell>
          <cell r="P9">
            <v>3</v>
          </cell>
          <cell r="Q9">
            <v>0</v>
          </cell>
          <cell r="R9">
            <v>0</v>
          </cell>
          <cell r="S9">
            <v>9</v>
          </cell>
          <cell r="T9">
            <v>9</v>
          </cell>
        </row>
        <row r="10">
          <cell r="L10" t="str">
            <v>B0HD5ZCWZ3</v>
          </cell>
          <cell r="M10" t="str">
            <v>KC2EWP28100</v>
          </cell>
          <cell r="N10" t="str">
            <v>2EWP2810</v>
          </cell>
          <cell r="O10" t="str">
            <v>FBA</v>
          </cell>
          <cell r="P10">
            <v>0</v>
          </cell>
          <cell r="Q10">
            <v>0</v>
          </cell>
          <cell r="R10">
            <v>0</v>
          </cell>
          <cell r="S10">
            <v>1</v>
          </cell>
          <cell r="T10">
            <v>4</v>
          </cell>
        </row>
        <row r="11">
          <cell r="L11" t="str">
            <v>B0HD654JBJ</v>
          </cell>
          <cell r="M11" t="str">
            <v>KC2EWP17400</v>
          </cell>
          <cell r="N11" t="str">
            <v>2EWP1740</v>
          </cell>
          <cell r="O11" t="str">
            <v>FBA</v>
          </cell>
          <cell r="P11">
            <v>0</v>
          </cell>
          <cell r="Q11">
            <v>0</v>
          </cell>
          <cell r="R11">
            <v>0</v>
          </cell>
          <cell r="S11">
            <v>2</v>
          </cell>
          <cell r="T11">
            <v>2</v>
          </cell>
        </row>
        <row r="12">
          <cell r="L12" t="str">
            <v>B0GX5FC5K7</v>
          </cell>
          <cell r="M12" t="str">
            <v>OO2EWP07200</v>
          </cell>
          <cell r="N12" t="str">
            <v>2EWP0720</v>
          </cell>
          <cell r="O12" t="str">
            <v>FBA</v>
          </cell>
          <cell r="P12">
            <v>17</v>
          </cell>
          <cell r="Q12">
            <v>14</v>
          </cell>
          <cell r="R12">
            <v>0</v>
          </cell>
          <cell r="S12">
            <v>2</v>
          </cell>
          <cell r="T12">
            <v>0</v>
          </cell>
        </row>
        <row r="13">
          <cell r="L13" t="str">
            <v>B0G3LJ3LGP</v>
          </cell>
          <cell r="M13" t="str">
            <v>OO2EWP08000</v>
          </cell>
          <cell r="N13" t="str">
            <v>2EWP0800</v>
          </cell>
          <cell r="O13" t="str">
            <v>FBA</v>
          </cell>
          <cell r="P13">
            <v>28</v>
          </cell>
          <cell r="Q13">
            <v>27</v>
          </cell>
          <cell r="R13">
            <v>0</v>
          </cell>
          <cell r="S13">
            <v>0</v>
          </cell>
          <cell r="T13">
            <v>0</v>
          </cell>
        </row>
        <row r="14">
          <cell r="L14" t="str">
            <v>B0HD5JZCW5</v>
          </cell>
          <cell r="M14" t="str">
            <v>KC2EWP15700</v>
          </cell>
          <cell r="N14" t="str">
            <v>2EWP1570</v>
          </cell>
          <cell r="O14" t="str">
            <v>FBA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1</v>
          </cell>
        </row>
        <row r="15">
          <cell r="L15" t="str">
            <v>B0GWQK6RXF</v>
          </cell>
          <cell r="M15" t="str">
            <v>OO2EWP06400</v>
          </cell>
          <cell r="N15" t="str">
            <v>2EWP0640</v>
          </cell>
          <cell r="O15" t="str">
            <v>FBA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20</v>
          </cell>
        </row>
        <row r="16">
          <cell r="L16" t="str">
            <v>B0G3LLBW7Y</v>
          </cell>
          <cell r="M16" t="str">
            <v>OO2EWP00300</v>
          </cell>
          <cell r="N16" t="str">
            <v>2EWP0030</v>
          </cell>
          <cell r="O16" t="str">
            <v>FBA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L17" t="str">
            <v>B0CKX85NSB</v>
          </cell>
          <cell r="M17" t="str">
            <v>OO2EWP01300</v>
          </cell>
          <cell r="N17" t="str">
            <v>2EWP0130</v>
          </cell>
          <cell r="O17" t="str">
            <v>FBA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35</v>
          </cell>
        </row>
        <row r="18">
          <cell r="L18" t="str">
            <v>B0GWZNCP7S</v>
          </cell>
          <cell r="M18" t="str">
            <v>OO2EWP03100</v>
          </cell>
          <cell r="N18" t="str">
            <v>2EWP0310</v>
          </cell>
          <cell r="O18" t="str">
            <v>FBA</v>
          </cell>
          <cell r="P18">
            <v>9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L19" t="str">
            <v>B0GWQFSGVJ</v>
          </cell>
          <cell r="M19" t="str">
            <v>OO2EWP06000</v>
          </cell>
          <cell r="N19" t="str">
            <v>2EWP0600</v>
          </cell>
          <cell r="O19" t="str">
            <v>FBA</v>
          </cell>
          <cell r="P19">
            <v>23</v>
          </cell>
          <cell r="Q19">
            <v>10</v>
          </cell>
          <cell r="R19">
            <v>0</v>
          </cell>
          <cell r="S19">
            <v>20</v>
          </cell>
          <cell r="T19">
            <v>20</v>
          </cell>
        </row>
        <row r="20">
          <cell r="L20" t="str">
            <v>B0GWR42KD9</v>
          </cell>
          <cell r="M20" t="str">
            <v>OO2EWP12100</v>
          </cell>
          <cell r="N20" t="str">
            <v>2EWP1210</v>
          </cell>
          <cell r="O20" t="str">
            <v>FBA</v>
          </cell>
          <cell r="P20">
            <v>4</v>
          </cell>
          <cell r="Q20">
            <v>4</v>
          </cell>
          <cell r="R20">
            <v>0</v>
          </cell>
          <cell r="S20">
            <v>0</v>
          </cell>
          <cell r="T20">
            <v>0</v>
          </cell>
        </row>
        <row r="21">
          <cell r="L21" t="str">
            <v>B0GWZPSHM2</v>
          </cell>
          <cell r="M21" t="str">
            <v>OO2EWP03000</v>
          </cell>
          <cell r="N21" t="str">
            <v>2EWP0300</v>
          </cell>
          <cell r="O21" t="str">
            <v>FBA</v>
          </cell>
          <cell r="P21">
            <v>17</v>
          </cell>
          <cell r="Q21">
            <v>17</v>
          </cell>
          <cell r="R21">
            <v>0</v>
          </cell>
          <cell r="S21">
            <v>0</v>
          </cell>
          <cell r="T21">
            <v>0</v>
          </cell>
        </row>
        <row r="22">
          <cell r="L22" t="str">
            <v>B0GX5DMQLL</v>
          </cell>
          <cell r="M22" t="str">
            <v>OO2EWP10800</v>
          </cell>
          <cell r="N22" t="str">
            <v>2EWP1080</v>
          </cell>
          <cell r="O22" t="str">
            <v>FBA</v>
          </cell>
          <cell r="P22">
            <v>15</v>
          </cell>
          <cell r="Q22">
            <v>15</v>
          </cell>
          <cell r="R22">
            <v>0</v>
          </cell>
          <cell r="S22">
            <v>0</v>
          </cell>
          <cell r="T22">
            <v>0</v>
          </cell>
        </row>
        <row r="23">
          <cell r="L23" t="str">
            <v>B0G3LKS8KV</v>
          </cell>
          <cell r="M23" t="str">
            <v>OO2EWP11200</v>
          </cell>
          <cell r="N23" t="str">
            <v>2EWP1120</v>
          </cell>
          <cell r="O23" t="str">
            <v>FBA</v>
          </cell>
          <cell r="P23">
            <v>1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L24" t="str">
            <v>B0HD684QKG</v>
          </cell>
          <cell r="M24" t="str">
            <v>KC2EWP26400</v>
          </cell>
          <cell r="N24" t="str">
            <v>2EWP2640</v>
          </cell>
          <cell r="O24" t="str">
            <v>FBA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15</v>
          </cell>
        </row>
        <row r="25">
          <cell r="L25" t="str">
            <v>B0H6X152QX</v>
          </cell>
          <cell r="M25" t="str">
            <v>KC2EWP15400</v>
          </cell>
          <cell r="N25" t="str">
            <v>2EWP1540</v>
          </cell>
          <cell r="O25" t="str">
            <v>FBA</v>
          </cell>
          <cell r="P25">
            <v>20</v>
          </cell>
          <cell r="Q25">
            <v>20</v>
          </cell>
          <cell r="R25">
            <v>0</v>
          </cell>
          <cell r="S25">
            <v>0</v>
          </cell>
          <cell r="T25">
            <v>0</v>
          </cell>
        </row>
        <row r="26">
          <cell r="L26" t="str">
            <v>B0G3LGZ91H</v>
          </cell>
          <cell r="M26" t="str">
            <v>OO2EWP02600</v>
          </cell>
          <cell r="N26" t="str">
            <v>2EWP0260</v>
          </cell>
          <cell r="O26" t="str">
            <v>FBA</v>
          </cell>
          <cell r="P26">
            <v>1</v>
          </cell>
          <cell r="Q26">
            <v>1</v>
          </cell>
          <cell r="R26">
            <v>0</v>
          </cell>
          <cell r="S26">
            <v>0</v>
          </cell>
          <cell r="T26">
            <v>0</v>
          </cell>
        </row>
        <row r="27">
          <cell r="L27" t="str">
            <v>B0FZGQ8YH9</v>
          </cell>
          <cell r="M27" t="str">
            <v>OO2EWP06300</v>
          </cell>
          <cell r="N27" t="str">
            <v>2EWP0630</v>
          </cell>
          <cell r="O27" t="str">
            <v>FBA</v>
          </cell>
          <cell r="P27">
            <v>1</v>
          </cell>
          <cell r="Q27">
            <v>0</v>
          </cell>
          <cell r="R27">
            <v>0</v>
          </cell>
          <cell r="S27">
            <v>8</v>
          </cell>
          <cell r="T27">
            <v>21</v>
          </cell>
        </row>
        <row r="28">
          <cell r="L28" t="str">
            <v>B0GWQVWRRZ</v>
          </cell>
          <cell r="M28" t="str">
            <v>OO2EWP11800</v>
          </cell>
          <cell r="N28" t="str">
            <v>2EWP1180</v>
          </cell>
          <cell r="O28" t="str">
            <v>FBA</v>
          </cell>
          <cell r="P28">
            <v>4</v>
          </cell>
          <cell r="Q28">
            <v>3</v>
          </cell>
          <cell r="R28">
            <v>0</v>
          </cell>
          <cell r="S28">
            <v>0</v>
          </cell>
          <cell r="T28">
            <v>0</v>
          </cell>
        </row>
        <row r="29">
          <cell r="L29" t="str">
            <v>B0DG2D424T</v>
          </cell>
          <cell r="M29" t="str">
            <v>ZC2CLK02000</v>
          </cell>
          <cell r="N29" t="str">
            <v>2CLK0200</v>
          </cell>
          <cell r="O29" t="str">
            <v>FBA</v>
          </cell>
          <cell r="P29">
            <v>0</v>
          </cell>
          <cell r="Q29">
            <v>0</v>
          </cell>
          <cell r="R29">
            <v>0</v>
          </cell>
          <cell r="S29">
            <v>1</v>
          </cell>
          <cell r="T29">
            <v>1</v>
          </cell>
        </row>
        <row r="30">
          <cell r="L30" t="str">
            <v>B0HD6DL9B4</v>
          </cell>
          <cell r="M30" t="str">
            <v>KC2EWP16000</v>
          </cell>
          <cell r="N30" t="str">
            <v>2EWP1600</v>
          </cell>
          <cell r="O30" t="str">
            <v>FBA</v>
          </cell>
          <cell r="P30">
            <v>0</v>
          </cell>
          <cell r="Q30">
            <v>0</v>
          </cell>
          <cell r="R30">
            <v>0</v>
          </cell>
          <cell r="S30">
            <v>6</v>
          </cell>
          <cell r="T30">
            <v>6</v>
          </cell>
        </row>
        <row r="31">
          <cell r="L31" t="str">
            <v>B0HD5FB81R</v>
          </cell>
          <cell r="M31" t="str">
            <v>ZC2CLK05000</v>
          </cell>
          <cell r="N31" t="str">
            <v>2CLK0500</v>
          </cell>
          <cell r="O31" t="str">
            <v>FBA</v>
          </cell>
          <cell r="P31">
            <v>12</v>
          </cell>
          <cell r="Q31">
            <v>3</v>
          </cell>
          <cell r="R31">
            <v>0</v>
          </cell>
          <cell r="S31">
            <v>3</v>
          </cell>
          <cell r="T31">
            <v>6</v>
          </cell>
        </row>
        <row r="32">
          <cell r="L32" t="str">
            <v>B0GYRF41VB</v>
          </cell>
          <cell r="M32" t="str">
            <v>OO2EWP01900</v>
          </cell>
          <cell r="N32" t="str">
            <v>2EWP0190</v>
          </cell>
          <cell r="O32" t="str">
            <v>FBA</v>
          </cell>
          <cell r="P32">
            <v>10</v>
          </cell>
          <cell r="Q32">
            <v>6</v>
          </cell>
          <cell r="R32">
            <v>0</v>
          </cell>
          <cell r="S32">
            <v>0</v>
          </cell>
          <cell r="T32">
            <v>0</v>
          </cell>
        </row>
        <row r="33">
          <cell r="L33" t="str">
            <v>B0GWZHYY3T</v>
          </cell>
          <cell r="M33" t="str">
            <v>OO2EWP05600</v>
          </cell>
          <cell r="N33" t="str">
            <v>2EWP0560</v>
          </cell>
          <cell r="O33" t="str">
            <v>FBA</v>
          </cell>
          <cell r="P33">
            <v>28</v>
          </cell>
          <cell r="Q33">
            <v>27</v>
          </cell>
          <cell r="R33">
            <v>0</v>
          </cell>
          <cell r="S33">
            <v>0</v>
          </cell>
          <cell r="T33">
            <v>0</v>
          </cell>
        </row>
        <row r="34">
          <cell r="L34" t="str">
            <v>B0GWQY9RW4</v>
          </cell>
          <cell r="M34" t="str">
            <v>OO2EWP02100</v>
          </cell>
          <cell r="N34" t="str">
            <v>2EWP0210</v>
          </cell>
          <cell r="O34" t="str">
            <v>FBA</v>
          </cell>
          <cell r="P34">
            <v>4</v>
          </cell>
          <cell r="Q34">
            <v>2</v>
          </cell>
          <cell r="R34">
            <v>0</v>
          </cell>
          <cell r="S34">
            <v>0</v>
          </cell>
          <cell r="T34">
            <v>0</v>
          </cell>
        </row>
        <row r="35">
          <cell r="L35" t="str">
            <v>B0HD5Q89RG</v>
          </cell>
          <cell r="M35" t="str">
            <v>OO2EWP02900</v>
          </cell>
          <cell r="N35" t="str">
            <v>2EWP0290</v>
          </cell>
          <cell r="O35" t="str">
            <v>FBA</v>
          </cell>
          <cell r="P35">
            <v>0</v>
          </cell>
          <cell r="Q35">
            <v>0</v>
          </cell>
          <cell r="R35">
            <v>0</v>
          </cell>
          <cell r="S35">
            <v>20</v>
          </cell>
          <cell r="T35">
            <v>0</v>
          </cell>
        </row>
        <row r="36">
          <cell r="L36" t="str">
            <v>B0HD68W4G6</v>
          </cell>
          <cell r="M36" t="str">
            <v>ZC2CLK02900</v>
          </cell>
          <cell r="N36" t="str">
            <v>2CLK0290</v>
          </cell>
          <cell r="O36" t="str">
            <v>FBA</v>
          </cell>
          <cell r="P36">
            <v>11</v>
          </cell>
          <cell r="Q36">
            <v>7</v>
          </cell>
          <cell r="R36">
            <v>0</v>
          </cell>
          <cell r="S36">
            <v>0</v>
          </cell>
          <cell r="T36">
            <v>21</v>
          </cell>
        </row>
        <row r="37">
          <cell r="L37" t="str">
            <v>B0GYS61TK1</v>
          </cell>
          <cell r="M37" t="str">
            <v>OO2EWP07700</v>
          </cell>
          <cell r="N37" t="str">
            <v>2EWP0770</v>
          </cell>
          <cell r="O37" t="str">
            <v>FBA</v>
          </cell>
          <cell r="P37">
            <v>12</v>
          </cell>
          <cell r="Q37">
            <v>12</v>
          </cell>
          <cell r="R37">
            <v>0</v>
          </cell>
          <cell r="S37">
            <v>0</v>
          </cell>
          <cell r="T37">
            <v>0</v>
          </cell>
        </row>
        <row r="38">
          <cell r="L38" t="str">
            <v>B0GYRV9MW3</v>
          </cell>
          <cell r="M38" t="str">
            <v>OO2EWP00500</v>
          </cell>
          <cell r="N38" t="str">
            <v>2EWP0050</v>
          </cell>
          <cell r="O38" t="str">
            <v>FBA</v>
          </cell>
          <cell r="P38">
            <v>13</v>
          </cell>
          <cell r="Q38">
            <v>13</v>
          </cell>
          <cell r="R38">
            <v>0</v>
          </cell>
          <cell r="S38">
            <v>0</v>
          </cell>
          <cell r="T38">
            <v>0</v>
          </cell>
        </row>
        <row r="39">
          <cell r="L39" t="str">
            <v>B0GWR2QQCZ</v>
          </cell>
          <cell r="M39" t="str">
            <v>OO2EWP06800</v>
          </cell>
          <cell r="N39" t="str">
            <v>2EWP0680</v>
          </cell>
          <cell r="O39" t="str">
            <v>FBA</v>
          </cell>
          <cell r="P39">
            <v>16</v>
          </cell>
          <cell r="Q39">
            <v>15</v>
          </cell>
          <cell r="R39">
            <v>0</v>
          </cell>
          <cell r="S39">
            <v>0</v>
          </cell>
          <cell r="T39">
            <v>0</v>
          </cell>
        </row>
        <row r="40">
          <cell r="L40" t="str">
            <v>B0CKX8PSXX</v>
          </cell>
          <cell r="M40" t="str">
            <v>OO2EWP02000</v>
          </cell>
          <cell r="N40" t="str">
            <v>2EWP0200</v>
          </cell>
          <cell r="O40" t="str">
            <v>FBA</v>
          </cell>
          <cell r="P40">
            <v>24</v>
          </cell>
          <cell r="Q40">
            <v>19</v>
          </cell>
          <cell r="R40">
            <v>0</v>
          </cell>
          <cell r="S40">
            <v>20</v>
          </cell>
          <cell r="T40">
            <v>20</v>
          </cell>
        </row>
        <row r="41">
          <cell r="L41" t="str">
            <v>B0G3LHFPHD</v>
          </cell>
          <cell r="M41" t="str">
            <v>OO2EWP07000</v>
          </cell>
          <cell r="N41" t="str">
            <v>2EWP0700</v>
          </cell>
          <cell r="O41" t="str">
            <v>FBA</v>
          </cell>
          <cell r="P41">
            <v>29</v>
          </cell>
          <cell r="Q41">
            <v>11</v>
          </cell>
          <cell r="R41">
            <v>0</v>
          </cell>
          <cell r="S41">
            <v>0</v>
          </cell>
          <cell r="T41">
            <v>0</v>
          </cell>
        </row>
        <row r="42">
          <cell r="L42" t="str">
            <v>B0FLJW7Y8P</v>
          </cell>
          <cell r="M42" t="str">
            <v>OO2EWP05400</v>
          </cell>
          <cell r="N42" t="str">
            <v>2EWP0540</v>
          </cell>
          <cell r="O42" t="str">
            <v>FBA</v>
          </cell>
          <cell r="P42">
            <v>14</v>
          </cell>
          <cell r="Q42">
            <v>14</v>
          </cell>
          <cell r="R42">
            <v>0</v>
          </cell>
          <cell r="S42">
            <v>0</v>
          </cell>
          <cell r="T42">
            <v>0</v>
          </cell>
        </row>
        <row r="43">
          <cell r="L43" t="str">
            <v>B0GWQRKH9G</v>
          </cell>
          <cell r="M43" t="str">
            <v>OO2EWP03900</v>
          </cell>
          <cell r="N43" t="str">
            <v>2EWP0390</v>
          </cell>
          <cell r="O43" t="str">
            <v>FBA</v>
          </cell>
          <cell r="P43">
            <v>7</v>
          </cell>
          <cell r="Q43">
            <v>7</v>
          </cell>
          <cell r="R43">
            <v>0</v>
          </cell>
          <cell r="S43">
            <v>0</v>
          </cell>
          <cell r="T43">
            <v>0</v>
          </cell>
        </row>
        <row r="44">
          <cell r="L44" t="str">
            <v>B0GWQX2NTR</v>
          </cell>
          <cell r="M44" t="str">
            <v>OO2EWP08500</v>
          </cell>
          <cell r="N44" t="str">
            <v>2EWP0850</v>
          </cell>
          <cell r="O44" t="str">
            <v>FBA</v>
          </cell>
          <cell r="P44">
            <v>8</v>
          </cell>
          <cell r="Q44">
            <v>8</v>
          </cell>
          <cell r="R44">
            <v>0</v>
          </cell>
          <cell r="S44">
            <v>13</v>
          </cell>
          <cell r="T44">
            <v>1</v>
          </cell>
        </row>
        <row r="45">
          <cell r="L45" t="str">
            <v>B0GWR1GG26</v>
          </cell>
          <cell r="M45" t="str">
            <v>OO2EWP07100</v>
          </cell>
          <cell r="N45" t="str">
            <v>2EWP0710</v>
          </cell>
          <cell r="O45" t="str">
            <v>FBA</v>
          </cell>
          <cell r="P45">
            <v>17</v>
          </cell>
          <cell r="Q45">
            <v>1</v>
          </cell>
          <cell r="R45">
            <v>0</v>
          </cell>
          <cell r="S45">
            <v>4</v>
          </cell>
          <cell r="T45">
            <v>0</v>
          </cell>
        </row>
        <row r="46">
          <cell r="L46" t="str">
            <v>B0GWZL1L53</v>
          </cell>
          <cell r="M46" t="str">
            <v>OO2EWP11000</v>
          </cell>
          <cell r="N46" t="str">
            <v>2EWP1100</v>
          </cell>
          <cell r="O46" t="str">
            <v>FBA</v>
          </cell>
          <cell r="P46">
            <v>15</v>
          </cell>
          <cell r="Q46">
            <v>15</v>
          </cell>
          <cell r="R46">
            <v>0</v>
          </cell>
          <cell r="S46">
            <v>0</v>
          </cell>
          <cell r="T46">
            <v>0</v>
          </cell>
        </row>
        <row r="47">
          <cell r="L47" t="str">
            <v>B0GWZHV9LG</v>
          </cell>
          <cell r="M47" t="str">
            <v>OO2EWP07600</v>
          </cell>
          <cell r="N47" t="str">
            <v>2EWP0760</v>
          </cell>
          <cell r="O47" t="str">
            <v>FBA</v>
          </cell>
          <cell r="P47">
            <v>26</v>
          </cell>
          <cell r="Q47">
            <v>25</v>
          </cell>
          <cell r="R47">
            <v>0</v>
          </cell>
          <cell r="S47">
            <v>0</v>
          </cell>
          <cell r="T47">
            <v>0</v>
          </cell>
        </row>
        <row r="48">
          <cell r="L48" t="str">
            <v>B0GWQWCMPT</v>
          </cell>
          <cell r="M48" t="str">
            <v>OO2EWP06700</v>
          </cell>
          <cell r="N48" t="str">
            <v>2EWP0670</v>
          </cell>
          <cell r="O48" t="str">
            <v>FBA</v>
          </cell>
          <cell r="P48">
            <v>4</v>
          </cell>
          <cell r="Q48">
            <v>3</v>
          </cell>
          <cell r="R48">
            <v>0</v>
          </cell>
          <cell r="S48">
            <v>23</v>
          </cell>
          <cell r="T48">
            <v>23</v>
          </cell>
        </row>
        <row r="49">
          <cell r="L49" t="str">
            <v>B0GWQLN3LT</v>
          </cell>
          <cell r="M49" t="str">
            <v>OO2EWP05900</v>
          </cell>
          <cell r="N49" t="str">
            <v>2EWP0590</v>
          </cell>
          <cell r="O49" t="str">
            <v>FBA</v>
          </cell>
          <cell r="P49">
            <v>0</v>
          </cell>
          <cell r="Q49">
            <v>0</v>
          </cell>
          <cell r="R49">
            <v>0</v>
          </cell>
          <cell r="S49">
            <v>24</v>
          </cell>
          <cell r="T49">
            <v>40</v>
          </cell>
        </row>
        <row r="50">
          <cell r="L50" t="str">
            <v>B0HD5XFZPQ</v>
          </cell>
          <cell r="M50" t="str">
            <v>OO2EWP12800</v>
          </cell>
          <cell r="N50" t="str">
            <v>2EWP1280</v>
          </cell>
          <cell r="O50" t="str">
            <v>FBA</v>
          </cell>
          <cell r="P50">
            <v>0</v>
          </cell>
          <cell r="Q50">
            <v>0</v>
          </cell>
          <cell r="R50">
            <v>0</v>
          </cell>
          <cell r="S50">
            <v>7</v>
          </cell>
          <cell r="T50">
            <v>15</v>
          </cell>
        </row>
        <row r="51">
          <cell r="L51" t="str">
            <v>B0DG22S4LY</v>
          </cell>
          <cell r="M51" t="str">
            <v>OO2EWP01400</v>
          </cell>
          <cell r="N51" t="str">
            <v>2EWP0140</v>
          </cell>
          <cell r="O51" t="str">
            <v>FBA</v>
          </cell>
          <cell r="P51">
            <v>19</v>
          </cell>
          <cell r="Q51">
            <v>9</v>
          </cell>
          <cell r="R51">
            <v>0</v>
          </cell>
          <cell r="S51">
            <v>0</v>
          </cell>
          <cell r="T51">
            <v>21</v>
          </cell>
        </row>
        <row r="52">
          <cell r="L52" t="str">
            <v>B0GWZBPSDW</v>
          </cell>
          <cell r="M52" t="str">
            <v>OO2EWP04400</v>
          </cell>
          <cell r="N52" t="str">
            <v>2EWP0440</v>
          </cell>
          <cell r="O52" t="str">
            <v>FBA</v>
          </cell>
          <cell r="P52">
            <v>19</v>
          </cell>
          <cell r="Q52">
            <v>18</v>
          </cell>
          <cell r="R52">
            <v>0</v>
          </cell>
          <cell r="S52">
            <v>0</v>
          </cell>
          <cell r="T52">
            <v>0</v>
          </cell>
        </row>
        <row r="53">
          <cell r="L53" t="str">
            <v>B0DSW8VBT5</v>
          </cell>
          <cell r="M53" t="str">
            <v>OO2EWP08100</v>
          </cell>
          <cell r="N53" t="str">
            <v>2EWP0810</v>
          </cell>
          <cell r="O53" t="str">
            <v>FBA</v>
          </cell>
          <cell r="P53">
            <v>10</v>
          </cell>
          <cell r="Q53">
            <v>6</v>
          </cell>
          <cell r="R53">
            <v>0</v>
          </cell>
          <cell r="S53">
            <v>2</v>
          </cell>
          <cell r="T53">
            <v>7</v>
          </cell>
        </row>
        <row r="54">
          <cell r="L54" t="str">
            <v>B0G3LGXDNJ</v>
          </cell>
          <cell r="M54" t="str">
            <v>OO2EWP02800</v>
          </cell>
          <cell r="N54" t="str">
            <v>2EWP0280</v>
          </cell>
          <cell r="O54" t="str">
            <v>FBA</v>
          </cell>
          <cell r="P54">
            <v>1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L55" t="str">
            <v>B0GWR5G1FG</v>
          </cell>
          <cell r="M55" t="str">
            <v>ZC2CLK05300</v>
          </cell>
          <cell r="N55" t="str">
            <v>2CLK0530</v>
          </cell>
          <cell r="O55" t="str">
            <v>FBA</v>
          </cell>
          <cell r="P55">
            <v>21</v>
          </cell>
          <cell r="Q55">
            <v>21</v>
          </cell>
          <cell r="R55">
            <v>0</v>
          </cell>
          <cell r="S55">
            <v>12</v>
          </cell>
          <cell r="T55">
            <v>18</v>
          </cell>
        </row>
        <row r="56">
          <cell r="L56" t="str">
            <v>B0DTSQSBS7</v>
          </cell>
          <cell r="M56" t="str">
            <v>OO2EWP02800</v>
          </cell>
          <cell r="N56" t="str">
            <v>2EWP0280</v>
          </cell>
          <cell r="O56" t="str">
            <v>FBA</v>
          </cell>
          <cell r="P56">
            <v>18</v>
          </cell>
          <cell r="Q56">
            <v>16</v>
          </cell>
          <cell r="R56">
            <v>0</v>
          </cell>
          <cell r="S56">
            <v>8</v>
          </cell>
          <cell r="T56">
            <v>8</v>
          </cell>
        </row>
        <row r="57">
          <cell r="L57" t="str">
            <v>B0FZGM1YGD</v>
          </cell>
          <cell r="M57" t="str">
            <v>OO2EWP07300</v>
          </cell>
          <cell r="N57" t="str">
            <v>2EWP0730</v>
          </cell>
          <cell r="O57" t="str">
            <v>FBA</v>
          </cell>
          <cell r="P57">
            <v>6</v>
          </cell>
          <cell r="Q57">
            <v>4</v>
          </cell>
          <cell r="R57">
            <v>0</v>
          </cell>
          <cell r="S57">
            <v>0</v>
          </cell>
          <cell r="T57">
            <v>0</v>
          </cell>
        </row>
        <row r="58">
          <cell r="L58" t="str">
            <v>B0G3LJNL1N</v>
          </cell>
          <cell r="M58" t="str">
            <v>OO2EWP09000</v>
          </cell>
          <cell r="N58" t="str">
            <v>2EWP0900</v>
          </cell>
          <cell r="O58" t="str">
            <v>FBA</v>
          </cell>
          <cell r="P58">
            <v>7</v>
          </cell>
          <cell r="Q58">
            <v>5</v>
          </cell>
          <cell r="R58">
            <v>0</v>
          </cell>
          <cell r="S58">
            <v>1</v>
          </cell>
          <cell r="T58">
            <v>3</v>
          </cell>
        </row>
        <row r="59">
          <cell r="L59" t="str">
            <v>B0FLK4C864</v>
          </cell>
          <cell r="M59" t="str">
            <v>OO2EWP09700</v>
          </cell>
          <cell r="N59" t="str">
            <v>2EWP0970</v>
          </cell>
          <cell r="O59" t="str">
            <v>FBA</v>
          </cell>
          <cell r="P59">
            <v>0</v>
          </cell>
          <cell r="Q59">
            <v>0</v>
          </cell>
          <cell r="R59">
            <v>0</v>
          </cell>
          <cell r="S59">
            <v>15</v>
          </cell>
          <cell r="T59">
            <v>15</v>
          </cell>
        </row>
        <row r="60">
          <cell r="L60" t="str">
            <v>B0GWZRG6FQ</v>
          </cell>
          <cell r="M60" t="str">
            <v>OO2EWP08400</v>
          </cell>
          <cell r="N60" t="str">
            <v>2EWP0840</v>
          </cell>
          <cell r="O60" t="str">
            <v>FBA</v>
          </cell>
          <cell r="P60">
            <v>15</v>
          </cell>
          <cell r="Q60">
            <v>13</v>
          </cell>
          <cell r="R60">
            <v>0</v>
          </cell>
          <cell r="S60">
            <v>20</v>
          </cell>
          <cell r="T60">
            <v>20</v>
          </cell>
        </row>
        <row r="61">
          <cell r="L61" t="str">
            <v>B0HBQD13WL</v>
          </cell>
          <cell r="M61" t="str">
            <v>KC2EWP17000</v>
          </cell>
          <cell r="N61" t="str">
            <v>2EWP1700</v>
          </cell>
          <cell r="O61" t="str">
            <v>FBA</v>
          </cell>
          <cell r="P61">
            <v>0</v>
          </cell>
          <cell r="Q61">
            <v>0</v>
          </cell>
          <cell r="R61">
            <v>0</v>
          </cell>
          <cell r="S61">
            <v>1</v>
          </cell>
          <cell r="T61">
            <v>8</v>
          </cell>
        </row>
        <row r="62">
          <cell r="L62" t="str">
            <v>B0GWZDQ8Q1</v>
          </cell>
          <cell r="M62" t="str">
            <v>OO2EWP09300</v>
          </cell>
          <cell r="N62" t="str">
            <v>2EWP0930</v>
          </cell>
          <cell r="O62" t="str">
            <v>FBA</v>
          </cell>
          <cell r="P62">
            <v>9</v>
          </cell>
          <cell r="Q62">
            <v>9</v>
          </cell>
          <cell r="R62">
            <v>0</v>
          </cell>
          <cell r="S62">
            <v>0</v>
          </cell>
          <cell r="T62">
            <v>0</v>
          </cell>
        </row>
        <row r="63">
          <cell r="L63" t="str">
            <v>B0GWQRW5DS</v>
          </cell>
          <cell r="M63" t="str">
            <v>OO2EWP08200</v>
          </cell>
          <cell r="N63" t="str">
            <v>2EWP0820</v>
          </cell>
          <cell r="O63" t="str">
            <v>FBA</v>
          </cell>
          <cell r="P63">
            <v>0</v>
          </cell>
          <cell r="Q63">
            <v>0</v>
          </cell>
          <cell r="R63">
            <v>0</v>
          </cell>
          <cell r="S63">
            <v>20</v>
          </cell>
          <cell r="T63">
            <v>20</v>
          </cell>
        </row>
        <row r="64">
          <cell r="L64" t="str">
            <v>B0GWZGC7Q9</v>
          </cell>
          <cell r="M64" t="str">
            <v>OO2EWP05700</v>
          </cell>
          <cell r="N64" t="str">
            <v>2EWP0570</v>
          </cell>
          <cell r="O64" t="str">
            <v>FBA</v>
          </cell>
          <cell r="P64">
            <v>23</v>
          </cell>
          <cell r="Q64">
            <v>3</v>
          </cell>
          <cell r="R64">
            <v>0</v>
          </cell>
          <cell r="S64">
            <v>0</v>
          </cell>
          <cell r="T64">
            <v>0</v>
          </cell>
        </row>
        <row r="65">
          <cell r="L65" t="str">
            <v>B0GWQXP1D2</v>
          </cell>
          <cell r="M65" t="str">
            <v>OO2EWP12700</v>
          </cell>
          <cell r="N65" t="str">
            <v>2EWP1270</v>
          </cell>
          <cell r="O65" t="str">
            <v>FBA</v>
          </cell>
          <cell r="P65">
            <v>1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L66" t="str">
            <v>B0G3LGWLRK</v>
          </cell>
          <cell r="M66" t="str">
            <v>OO2EWP09800</v>
          </cell>
          <cell r="N66" t="str">
            <v>2EWP0980</v>
          </cell>
          <cell r="O66" t="str">
            <v>FBA</v>
          </cell>
          <cell r="P66">
            <v>1</v>
          </cell>
          <cell r="Q66">
            <v>1</v>
          </cell>
          <cell r="R66">
            <v>0</v>
          </cell>
          <cell r="S66">
            <v>0</v>
          </cell>
          <cell r="T66">
            <v>0</v>
          </cell>
        </row>
        <row r="67">
          <cell r="L67" t="str">
            <v>B0G3LHYVT1</v>
          </cell>
          <cell r="M67" t="str">
            <v>OO2EWP05600</v>
          </cell>
          <cell r="N67" t="str">
            <v>2EWP0560</v>
          </cell>
          <cell r="O67" t="str">
            <v>FBA</v>
          </cell>
          <cell r="P67">
            <v>3</v>
          </cell>
          <cell r="Q67">
            <v>3</v>
          </cell>
          <cell r="R67">
            <v>0</v>
          </cell>
          <cell r="S67">
            <v>0</v>
          </cell>
          <cell r="T67">
            <v>0</v>
          </cell>
        </row>
        <row r="68">
          <cell r="L68" t="str">
            <v>B0GWR7MW7T</v>
          </cell>
          <cell r="M68" t="str">
            <v>OO2EWP04000</v>
          </cell>
          <cell r="N68" t="str">
            <v>2EWP0400</v>
          </cell>
          <cell r="O68" t="str">
            <v>FBA</v>
          </cell>
          <cell r="P68">
            <v>19</v>
          </cell>
          <cell r="Q68">
            <v>16</v>
          </cell>
          <cell r="R68">
            <v>0</v>
          </cell>
          <cell r="S68">
            <v>0</v>
          </cell>
          <cell r="T68">
            <v>0</v>
          </cell>
        </row>
        <row r="69">
          <cell r="L69" t="str">
            <v>B0GWQY1VKB</v>
          </cell>
          <cell r="M69" t="str">
            <v>OO2EWP06600</v>
          </cell>
          <cell r="N69" t="str">
            <v>2EWP0660</v>
          </cell>
          <cell r="O69" t="str">
            <v>FBA</v>
          </cell>
          <cell r="P69">
            <v>9</v>
          </cell>
          <cell r="Q69">
            <v>9</v>
          </cell>
          <cell r="R69">
            <v>0</v>
          </cell>
          <cell r="S69">
            <v>0</v>
          </cell>
          <cell r="T69">
            <v>0</v>
          </cell>
        </row>
        <row r="70">
          <cell r="L70" t="str">
            <v>B0HD6KCVB5</v>
          </cell>
          <cell r="M70" t="str">
            <v>KC2EWP25000</v>
          </cell>
          <cell r="N70" t="str">
            <v>2EWP2500</v>
          </cell>
          <cell r="O70" t="str">
            <v>FBA</v>
          </cell>
          <cell r="P70">
            <v>0</v>
          </cell>
          <cell r="Q70">
            <v>0</v>
          </cell>
          <cell r="R70">
            <v>0</v>
          </cell>
          <cell r="S70">
            <v>6</v>
          </cell>
          <cell r="T70">
            <v>6</v>
          </cell>
        </row>
        <row r="71">
          <cell r="L71" t="str">
            <v>B0HD5TJBPN</v>
          </cell>
          <cell r="M71" t="str">
            <v>KC2EWP25100</v>
          </cell>
          <cell r="N71" t="str">
            <v>2EWP2510</v>
          </cell>
          <cell r="O71" t="str">
            <v>FBA</v>
          </cell>
          <cell r="P71">
            <v>0</v>
          </cell>
          <cell r="Q71">
            <v>0</v>
          </cell>
          <cell r="R71">
            <v>0</v>
          </cell>
          <cell r="S71">
            <v>2</v>
          </cell>
          <cell r="T71">
            <v>2</v>
          </cell>
        </row>
        <row r="72">
          <cell r="L72" t="str">
            <v>B0H6X2794Z</v>
          </cell>
          <cell r="M72" t="str">
            <v>KC2EWP22000</v>
          </cell>
          <cell r="N72" t="str">
            <v>2EWP2200</v>
          </cell>
          <cell r="O72" t="str">
            <v>FBA</v>
          </cell>
          <cell r="P72">
            <v>3</v>
          </cell>
          <cell r="Q72">
            <v>3</v>
          </cell>
          <cell r="R72">
            <v>0</v>
          </cell>
          <cell r="S72">
            <v>3</v>
          </cell>
          <cell r="T72">
            <v>3</v>
          </cell>
        </row>
        <row r="73">
          <cell r="L73" t="str">
            <v>B0GWQKHTNJ</v>
          </cell>
          <cell r="M73" t="str">
            <v>OO2EWP10400</v>
          </cell>
          <cell r="N73" t="str">
            <v>2EWP1040</v>
          </cell>
          <cell r="O73" t="str">
            <v>FBA</v>
          </cell>
          <cell r="P73">
            <v>9</v>
          </cell>
          <cell r="Q73">
            <v>9</v>
          </cell>
          <cell r="R73">
            <v>0</v>
          </cell>
          <cell r="S73">
            <v>0</v>
          </cell>
          <cell r="T73">
            <v>0</v>
          </cell>
        </row>
        <row r="74">
          <cell r="L74" t="str">
            <v>B0G3LF8BPT</v>
          </cell>
          <cell r="M74" t="str">
            <v>OO2EWP00200</v>
          </cell>
          <cell r="N74" t="str">
            <v>2EWP0020</v>
          </cell>
          <cell r="O74" t="str">
            <v>FBA</v>
          </cell>
          <cell r="P74">
            <v>5</v>
          </cell>
          <cell r="Q74">
            <v>5</v>
          </cell>
          <cell r="R74">
            <v>0</v>
          </cell>
          <cell r="S74">
            <v>0</v>
          </cell>
          <cell r="T74">
            <v>0</v>
          </cell>
        </row>
        <row r="75">
          <cell r="L75" t="str">
            <v>B0H6X437R5</v>
          </cell>
          <cell r="M75" t="str">
            <v>KC2EWP23200</v>
          </cell>
          <cell r="N75" t="str">
            <v>2EWP2320</v>
          </cell>
          <cell r="O75" t="str">
            <v>FBA</v>
          </cell>
          <cell r="P75">
            <v>1</v>
          </cell>
          <cell r="Q75">
            <v>1</v>
          </cell>
          <cell r="R75">
            <v>0</v>
          </cell>
          <cell r="S75">
            <v>16</v>
          </cell>
          <cell r="T75">
            <v>0</v>
          </cell>
        </row>
        <row r="76">
          <cell r="L76" t="str">
            <v>B0HD68B8BL</v>
          </cell>
          <cell r="M76" t="str">
            <v>OO2EWP02500</v>
          </cell>
          <cell r="N76" t="str">
            <v>2EWP0250</v>
          </cell>
          <cell r="O76" t="str">
            <v>FBA</v>
          </cell>
          <cell r="P76">
            <v>6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L77" t="str">
            <v>B0FZGPWVJ6</v>
          </cell>
          <cell r="M77" t="str">
            <v>OO2EWP09400</v>
          </cell>
          <cell r="N77" t="str">
            <v>2EWP0940</v>
          </cell>
          <cell r="O77" t="str">
            <v>FBA</v>
          </cell>
          <cell r="P77">
            <v>19</v>
          </cell>
          <cell r="Q77">
            <v>19</v>
          </cell>
          <cell r="R77">
            <v>0</v>
          </cell>
          <cell r="S77">
            <v>0</v>
          </cell>
          <cell r="T77">
            <v>0</v>
          </cell>
        </row>
        <row r="78">
          <cell r="L78" t="str">
            <v>B0HD5ZTHD1</v>
          </cell>
          <cell r="M78" t="str">
            <v>KC2EWP16700</v>
          </cell>
          <cell r="N78" t="str">
            <v>2EWP1670</v>
          </cell>
          <cell r="O78" t="str">
            <v>FBA</v>
          </cell>
          <cell r="P78">
            <v>0</v>
          </cell>
          <cell r="Q78">
            <v>0</v>
          </cell>
          <cell r="R78">
            <v>0</v>
          </cell>
          <cell r="S78">
            <v>16</v>
          </cell>
          <cell r="T78">
            <v>16</v>
          </cell>
        </row>
        <row r="79">
          <cell r="L79" t="str">
            <v>B0GWZR1KQ6</v>
          </cell>
          <cell r="M79" t="str">
            <v>OO2EWP04800</v>
          </cell>
          <cell r="N79" t="str">
            <v>2EWP0480</v>
          </cell>
          <cell r="O79" t="str">
            <v>FBA</v>
          </cell>
          <cell r="P79">
            <v>2</v>
          </cell>
          <cell r="Q79">
            <v>1</v>
          </cell>
          <cell r="R79">
            <v>0</v>
          </cell>
          <cell r="S79">
            <v>0</v>
          </cell>
          <cell r="T79">
            <v>0</v>
          </cell>
        </row>
        <row r="80">
          <cell r="L80" t="str">
            <v>B0HD5F1T8D</v>
          </cell>
          <cell r="M80" t="str">
            <v>KC2EWP22800</v>
          </cell>
          <cell r="N80" t="str">
            <v>2EWP2280</v>
          </cell>
          <cell r="O80" t="str">
            <v>FBA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16</v>
          </cell>
        </row>
        <row r="81">
          <cell r="L81" t="str">
            <v>B0G3LJC955</v>
          </cell>
          <cell r="M81" t="str">
            <v>OO2EWP01500</v>
          </cell>
          <cell r="N81" t="str">
            <v>2EWP0150</v>
          </cell>
          <cell r="O81" t="str">
            <v>FBA</v>
          </cell>
          <cell r="P81">
            <v>1</v>
          </cell>
          <cell r="Q81">
            <v>1</v>
          </cell>
          <cell r="R81">
            <v>0</v>
          </cell>
          <cell r="S81">
            <v>0</v>
          </cell>
          <cell r="T81">
            <v>0</v>
          </cell>
        </row>
        <row r="82">
          <cell r="L82" t="str">
            <v>B0HD6H4NN7</v>
          </cell>
          <cell r="M82" t="str">
            <v>KC2EWP18700</v>
          </cell>
          <cell r="N82" t="str">
            <v>2EWP1870</v>
          </cell>
          <cell r="O82" t="str">
            <v>FBA</v>
          </cell>
          <cell r="P82">
            <v>0</v>
          </cell>
          <cell r="Q82">
            <v>0</v>
          </cell>
          <cell r="R82">
            <v>0</v>
          </cell>
          <cell r="S82">
            <v>2</v>
          </cell>
          <cell r="T82">
            <v>10</v>
          </cell>
        </row>
        <row r="83">
          <cell r="L83" t="str">
            <v>B0HD6KHH3Z</v>
          </cell>
          <cell r="M83" t="str">
            <v>KC2EWP24900</v>
          </cell>
          <cell r="N83" t="str">
            <v>2EWP2490</v>
          </cell>
          <cell r="O83" t="str">
            <v>FBA</v>
          </cell>
          <cell r="P83">
            <v>0</v>
          </cell>
          <cell r="Q83">
            <v>0</v>
          </cell>
          <cell r="R83">
            <v>0</v>
          </cell>
          <cell r="S83">
            <v>5</v>
          </cell>
          <cell r="T83">
            <v>15</v>
          </cell>
        </row>
        <row r="84">
          <cell r="L84" t="str">
            <v>B0GWQSPYL6</v>
          </cell>
          <cell r="M84" t="str">
            <v>OO2EWP12000</v>
          </cell>
          <cell r="N84" t="str">
            <v>2EWP1200</v>
          </cell>
          <cell r="O84" t="str">
            <v>FBA</v>
          </cell>
          <cell r="P84">
            <v>21</v>
          </cell>
          <cell r="Q84">
            <v>14</v>
          </cell>
          <cell r="R84">
            <v>0</v>
          </cell>
          <cell r="S84">
            <v>10</v>
          </cell>
          <cell r="T84">
            <v>17</v>
          </cell>
        </row>
        <row r="85">
          <cell r="L85" t="str">
            <v>B0GWZG6T4W</v>
          </cell>
          <cell r="M85" t="str">
            <v>OO2EWP06100</v>
          </cell>
          <cell r="N85" t="str">
            <v>2EWP0610</v>
          </cell>
          <cell r="O85" t="str">
            <v>FBA</v>
          </cell>
          <cell r="P85">
            <v>2</v>
          </cell>
          <cell r="Q85">
            <v>2</v>
          </cell>
          <cell r="R85">
            <v>0</v>
          </cell>
          <cell r="S85">
            <v>2</v>
          </cell>
          <cell r="T85">
            <v>2</v>
          </cell>
        </row>
        <row r="86">
          <cell r="L86" t="str">
            <v>B0G3LFCLSW</v>
          </cell>
          <cell r="M86" t="str">
            <v>OO2EWP11400</v>
          </cell>
          <cell r="N86" t="str">
            <v>2EWP1140</v>
          </cell>
          <cell r="O86" t="str">
            <v>FBA</v>
          </cell>
          <cell r="P86">
            <v>23</v>
          </cell>
          <cell r="Q86">
            <v>23</v>
          </cell>
          <cell r="R86">
            <v>0</v>
          </cell>
          <cell r="S86">
            <v>0</v>
          </cell>
          <cell r="T86">
            <v>0</v>
          </cell>
        </row>
        <row r="87">
          <cell r="L87" t="str">
            <v>B0GWR2PWNH</v>
          </cell>
          <cell r="M87" t="str">
            <v>OO2EWP12400</v>
          </cell>
          <cell r="N87" t="str">
            <v>2EWP1240</v>
          </cell>
          <cell r="O87" t="str">
            <v>FBA</v>
          </cell>
          <cell r="P87">
            <v>27</v>
          </cell>
          <cell r="Q87">
            <v>21</v>
          </cell>
          <cell r="R87">
            <v>0</v>
          </cell>
          <cell r="S87">
            <v>0</v>
          </cell>
          <cell r="T87">
            <v>0</v>
          </cell>
        </row>
        <row r="88">
          <cell r="L88" t="str">
            <v>B0G3LJYFZX</v>
          </cell>
          <cell r="M88" t="str">
            <v>OO2EWP05800</v>
          </cell>
          <cell r="N88" t="str">
            <v>2EWP0580</v>
          </cell>
          <cell r="O88" t="str">
            <v>FBA</v>
          </cell>
          <cell r="P88">
            <v>50</v>
          </cell>
          <cell r="Q88">
            <v>45</v>
          </cell>
          <cell r="R88">
            <v>0</v>
          </cell>
          <cell r="S88">
            <v>0</v>
          </cell>
          <cell r="T88">
            <v>0</v>
          </cell>
        </row>
        <row r="89">
          <cell r="L89" t="str">
            <v>B0HD68RXC2</v>
          </cell>
          <cell r="M89" t="str">
            <v>KC2EWP22500</v>
          </cell>
          <cell r="N89" t="str">
            <v>2EWP2250</v>
          </cell>
          <cell r="O89" t="str">
            <v>FBA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9</v>
          </cell>
        </row>
        <row r="90">
          <cell r="L90" t="str">
            <v>B0HD5MTV7C</v>
          </cell>
          <cell r="M90" t="str">
            <v>KC2EWP19400</v>
          </cell>
          <cell r="N90" t="str">
            <v>2EWP1940</v>
          </cell>
          <cell r="O90" t="str">
            <v>FBA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</v>
          </cell>
        </row>
        <row r="91">
          <cell r="L91" t="str">
            <v>B0GWR6Q3XR</v>
          </cell>
          <cell r="M91" t="str">
            <v>OO2EWP09600</v>
          </cell>
          <cell r="N91" t="str">
            <v>2EWP0960</v>
          </cell>
          <cell r="O91" t="str">
            <v>FBA</v>
          </cell>
          <cell r="P91">
            <v>2</v>
          </cell>
          <cell r="Q91">
            <v>2</v>
          </cell>
          <cell r="R91">
            <v>0</v>
          </cell>
          <cell r="S91">
            <v>1</v>
          </cell>
          <cell r="T91">
            <v>2</v>
          </cell>
        </row>
        <row r="92">
          <cell r="L92" t="str">
            <v>B0HD63SR81</v>
          </cell>
          <cell r="M92" t="str">
            <v>KC2EWP27200</v>
          </cell>
          <cell r="N92" t="str">
            <v>2EWP2720</v>
          </cell>
          <cell r="O92" t="str">
            <v>FBA</v>
          </cell>
          <cell r="P92">
            <v>0</v>
          </cell>
          <cell r="Q92">
            <v>0</v>
          </cell>
          <cell r="R92">
            <v>0</v>
          </cell>
          <cell r="S92">
            <v>5</v>
          </cell>
          <cell r="T92">
            <v>18</v>
          </cell>
        </row>
        <row r="93">
          <cell r="L93" t="str">
            <v>B0GWZR3D55</v>
          </cell>
          <cell r="M93" t="str">
            <v>OO2EWP05100</v>
          </cell>
          <cell r="N93" t="str">
            <v>2EWP0510</v>
          </cell>
          <cell r="O93" t="str">
            <v>FBA</v>
          </cell>
          <cell r="P93">
            <v>5</v>
          </cell>
          <cell r="Q93">
            <v>5</v>
          </cell>
          <cell r="R93">
            <v>0</v>
          </cell>
          <cell r="S93">
            <v>0</v>
          </cell>
          <cell r="T93">
            <v>0</v>
          </cell>
        </row>
        <row r="94">
          <cell r="L94" t="str">
            <v>B0GWQQCTFC</v>
          </cell>
          <cell r="M94" t="str">
            <v>OO2EWP10900</v>
          </cell>
          <cell r="N94" t="str">
            <v>2EWP1090</v>
          </cell>
          <cell r="O94" t="str">
            <v>FBA</v>
          </cell>
          <cell r="P94">
            <v>16</v>
          </cell>
          <cell r="Q94">
            <v>16</v>
          </cell>
          <cell r="R94">
            <v>0</v>
          </cell>
          <cell r="S94">
            <v>0</v>
          </cell>
          <cell r="T94">
            <v>0</v>
          </cell>
        </row>
        <row r="95">
          <cell r="L95" t="str">
            <v>B0GWQT6CY9</v>
          </cell>
          <cell r="M95" t="str">
            <v>OO2EWP03400</v>
          </cell>
          <cell r="N95" t="str">
            <v>2EWP0340</v>
          </cell>
          <cell r="O95" t="str">
            <v>FBA</v>
          </cell>
          <cell r="P95">
            <v>9</v>
          </cell>
          <cell r="Q95">
            <v>9</v>
          </cell>
          <cell r="R95">
            <v>0</v>
          </cell>
          <cell r="S95">
            <v>0</v>
          </cell>
          <cell r="T95">
            <v>1</v>
          </cell>
        </row>
        <row r="96">
          <cell r="L96" t="str">
            <v>B0G3LGYZX4</v>
          </cell>
          <cell r="M96" t="str">
            <v>OO2EWP08300</v>
          </cell>
          <cell r="N96" t="str">
            <v>2EWP0830</v>
          </cell>
          <cell r="O96" t="str">
            <v>FBA</v>
          </cell>
          <cell r="P96">
            <v>6</v>
          </cell>
          <cell r="Q96">
            <v>1</v>
          </cell>
          <cell r="R96">
            <v>0</v>
          </cell>
          <cell r="S96">
            <v>0</v>
          </cell>
          <cell r="T96">
            <v>7</v>
          </cell>
        </row>
        <row r="97">
          <cell r="L97" t="str">
            <v>B0GWQTZDGZ</v>
          </cell>
          <cell r="M97" t="str">
            <v>OO2EWP08600</v>
          </cell>
          <cell r="N97" t="str">
            <v>2EWP0860</v>
          </cell>
          <cell r="O97" t="str">
            <v>FBA</v>
          </cell>
          <cell r="P97">
            <v>17</v>
          </cell>
          <cell r="Q97">
            <v>7</v>
          </cell>
          <cell r="R97">
            <v>0</v>
          </cell>
          <cell r="S97">
            <v>2</v>
          </cell>
          <cell r="T97">
            <v>2</v>
          </cell>
        </row>
        <row r="98">
          <cell r="L98" t="str">
            <v>B0GWQNXB9R</v>
          </cell>
          <cell r="M98" t="str">
            <v>OO2EWP02700</v>
          </cell>
          <cell r="N98" t="str">
            <v>2EWP0270</v>
          </cell>
          <cell r="O98" t="str">
            <v>FBA</v>
          </cell>
          <cell r="P98">
            <v>16</v>
          </cell>
          <cell r="Q98">
            <v>15</v>
          </cell>
          <cell r="R98">
            <v>0</v>
          </cell>
          <cell r="S98">
            <v>0</v>
          </cell>
          <cell r="T98">
            <v>0</v>
          </cell>
        </row>
        <row r="99">
          <cell r="L99" t="str">
            <v>B0GWZHZJXQ</v>
          </cell>
          <cell r="M99" t="str">
            <v>OO2EWP10700</v>
          </cell>
          <cell r="N99" t="str">
            <v>2EWP1070</v>
          </cell>
          <cell r="O99" t="str">
            <v>FBA</v>
          </cell>
          <cell r="P99">
            <v>8</v>
          </cell>
          <cell r="Q99">
            <v>8</v>
          </cell>
          <cell r="R99">
            <v>0</v>
          </cell>
          <cell r="S99">
            <v>0</v>
          </cell>
          <cell r="T99">
            <v>0</v>
          </cell>
        </row>
        <row r="100">
          <cell r="L100" t="str">
            <v>B0G3LDSMZZ</v>
          </cell>
          <cell r="M100" t="str">
            <v>OO2EWP03300</v>
          </cell>
          <cell r="N100" t="str">
            <v>2EWP0330</v>
          </cell>
          <cell r="O100" t="str">
            <v>FBA</v>
          </cell>
          <cell r="P100">
            <v>1</v>
          </cell>
          <cell r="Q100">
            <v>1</v>
          </cell>
          <cell r="R100">
            <v>0</v>
          </cell>
          <cell r="S100">
            <v>0</v>
          </cell>
          <cell r="T100">
            <v>0</v>
          </cell>
        </row>
        <row r="101">
          <cell r="L101" t="str">
            <v>B0HD5YXYGP</v>
          </cell>
          <cell r="M101" t="str">
            <v>KC2EWP22900</v>
          </cell>
          <cell r="N101" t="str">
            <v>2EWP2290</v>
          </cell>
          <cell r="O101" t="str">
            <v>FBA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5</v>
          </cell>
        </row>
        <row r="102">
          <cell r="L102" t="str">
            <v>B0GWZLNVH8</v>
          </cell>
          <cell r="M102" t="str">
            <v>OO2EWP08700</v>
          </cell>
          <cell r="N102" t="str">
            <v>2EWP0870</v>
          </cell>
          <cell r="O102" t="str">
            <v>FBA</v>
          </cell>
          <cell r="P102">
            <v>9</v>
          </cell>
          <cell r="Q102">
            <v>9</v>
          </cell>
          <cell r="R102">
            <v>0</v>
          </cell>
          <cell r="S102">
            <v>0</v>
          </cell>
          <cell r="T102">
            <v>0</v>
          </cell>
        </row>
        <row r="103">
          <cell r="L103" t="str">
            <v>B0HD6KLS53</v>
          </cell>
          <cell r="M103" t="str">
            <v>KC2EWP25900</v>
          </cell>
          <cell r="N103" t="str">
            <v>2EWP2590</v>
          </cell>
          <cell r="O103" t="str">
            <v>FBA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24</v>
          </cell>
        </row>
        <row r="104">
          <cell r="L104" t="str">
            <v>B0GWQS55JD</v>
          </cell>
          <cell r="M104" t="str">
            <v>ZC2CLK04700</v>
          </cell>
          <cell r="N104" t="str">
            <v>2CLK0470</v>
          </cell>
          <cell r="O104" t="str">
            <v>FBA</v>
          </cell>
          <cell r="P104">
            <v>2</v>
          </cell>
          <cell r="Q104">
            <v>2</v>
          </cell>
          <cell r="R104">
            <v>0</v>
          </cell>
          <cell r="S104">
            <v>0</v>
          </cell>
          <cell r="T104">
            <v>0</v>
          </cell>
        </row>
        <row r="105">
          <cell r="L105" t="str">
            <v>B0GWZ8Q8L2</v>
          </cell>
          <cell r="M105" t="str">
            <v>OO2EWP02600</v>
          </cell>
          <cell r="N105" t="str">
            <v>2EWP0260</v>
          </cell>
          <cell r="O105" t="str">
            <v>FBA</v>
          </cell>
          <cell r="P105">
            <v>27</v>
          </cell>
          <cell r="Q105">
            <v>26</v>
          </cell>
          <cell r="R105">
            <v>0</v>
          </cell>
          <cell r="S105">
            <v>0</v>
          </cell>
          <cell r="T105">
            <v>0</v>
          </cell>
        </row>
        <row r="106">
          <cell r="L106" t="str">
            <v>B0GYS648HC</v>
          </cell>
          <cell r="M106" t="str">
            <v>OO2EWP02400</v>
          </cell>
          <cell r="N106" t="str">
            <v>2EWP0240</v>
          </cell>
          <cell r="O106" t="str">
            <v>FBA</v>
          </cell>
          <cell r="P106">
            <v>25</v>
          </cell>
          <cell r="Q106">
            <v>19</v>
          </cell>
          <cell r="R106">
            <v>0</v>
          </cell>
          <cell r="S106">
            <v>0</v>
          </cell>
          <cell r="T106">
            <v>0</v>
          </cell>
        </row>
        <row r="107">
          <cell r="L107" t="str">
            <v>B0H7YS3L6W</v>
          </cell>
          <cell r="M107" t="str">
            <v>KC2EWP18900</v>
          </cell>
          <cell r="N107" t="str">
            <v>2EWP1890</v>
          </cell>
          <cell r="O107" t="str">
            <v>FBA</v>
          </cell>
          <cell r="P107">
            <v>4</v>
          </cell>
          <cell r="Q107">
            <v>4</v>
          </cell>
          <cell r="R107">
            <v>0</v>
          </cell>
          <cell r="S107">
            <v>0</v>
          </cell>
          <cell r="T107">
            <v>0</v>
          </cell>
        </row>
        <row r="108">
          <cell r="L108" t="str">
            <v>B0FZGMW6VL</v>
          </cell>
          <cell r="M108" t="str">
            <v>OO2EWP05500</v>
          </cell>
          <cell r="N108" t="str">
            <v>2EWP0550</v>
          </cell>
          <cell r="O108" t="str">
            <v>FBA</v>
          </cell>
          <cell r="P108">
            <v>6</v>
          </cell>
          <cell r="Q108">
            <v>0</v>
          </cell>
          <cell r="R108">
            <v>0</v>
          </cell>
          <cell r="S108">
            <v>8</v>
          </cell>
          <cell r="T108">
            <v>8</v>
          </cell>
        </row>
        <row r="109">
          <cell r="L109" t="str">
            <v>B0GYRP5X4D</v>
          </cell>
          <cell r="M109" t="str">
            <v>OO2EWP04500</v>
          </cell>
          <cell r="N109" t="str">
            <v>2EWP0450</v>
          </cell>
          <cell r="O109" t="str">
            <v>FBA</v>
          </cell>
          <cell r="P109">
            <v>12</v>
          </cell>
          <cell r="Q109">
            <v>12</v>
          </cell>
          <cell r="R109">
            <v>0</v>
          </cell>
          <cell r="S109">
            <v>0</v>
          </cell>
          <cell r="T109">
            <v>0</v>
          </cell>
        </row>
        <row r="110">
          <cell r="L110" t="str">
            <v>B0G3LJ7K3X</v>
          </cell>
          <cell r="M110" t="str">
            <v>OO2EWP09900</v>
          </cell>
          <cell r="N110" t="str">
            <v>2EWP0990</v>
          </cell>
          <cell r="O110" t="str">
            <v>FBA</v>
          </cell>
          <cell r="P110">
            <v>2</v>
          </cell>
          <cell r="Q110">
            <v>0</v>
          </cell>
          <cell r="R110">
            <v>0</v>
          </cell>
          <cell r="S110">
            <v>1</v>
          </cell>
          <cell r="T110">
            <v>1</v>
          </cell>
        </row>
        <row r="111">
          <cell r="L111" t="str">
            <v>B0G3LJ159C</v>
          </cell>
          <cell r="M111" t="str">
            <v>OO2EWP11000</v>
          </cell>
          <cell r="N111" t="str">
            <v>2EWP1100</v>
          </cell>
          <cell r="O111" t="str">
            <v>FBA</v>
          </cell>
          <cell r="P111">
            <v>6</v>
          </cell>
          <cell r="Q111">
            <v>6</v>
          </cell>
          <cell r="R111">
            <v>0</v>
          </cell>
          <cell r="S111">
            <v>0</v>
          </cell>
          <cell r="T111">
            <v>0</v>
          </cell>
        </row>
        <row r="112">
          <cell r="L112" t="str">
            <v>B0GWQXQT6R</v>
          </cell>
          <cell r="M112" t="str">
            <v>OO2EWP11300</v>
          </cell>
          <cell r="N112" t="str">
            <v>2EWP1130</v>
          </cell>
          <cell r="O112" t="str">
            <v>FBA</v>
          </cell>
          <cell r="P112">
            <v>2</v>
          </cell>
          <cell r="Q112">
            <v>2</v>
          </cell>
          <cell r="R112">
            <v>0</v>
          </cell>
          <cell r="S112">
            <v>0</v>
          </cell>
          <cell r="T112">
            <v>11</v>
          </cell>
        </row>
        <row r="113">
          <cell r="L113" t="str">
            <v>B0GWR6FG91</v>
          </cell>
          <cell r="M113" t="str">
            <v>OO2EWP12300</v>
          </cell>
          <cell r="N113" t="str">
            <v>2EWP1230</v>
          </cell>
          <cell r="O113" t="str">
            <v>FBA</v>
          </cell>
          <cell r="P113">
            <v>9</v>
          </cell>
          <cell r="Q113">
            <v>9</v>
          </cell>
          <cell r="R113">
            <v>0</v>
          </cell>
          <cell r="S113">
            <v>0</v>
          </cell>
          <cell r="T113">
            <v>0</v>
          </cell>
        </row>
        <row r="114">
          <cell r="L114" t="str">
            <v>B0GWQPPJ13</v>
          </cell>
          <cell r="M114" t="str">
            <v>OO2EWP09800</v>
          </cell>
          <cell r="N114" t="str">
            <v>2EWP0980</v>
          </cell>
          <cell r="O114" t="str">
            <v>FBA</v>
          </cell>
          <cell r="P114">
            <v>27</v>
          </cell>
          <cell r="Q114">
            <v>26</v>
          </cell>
          <cell r="R114">
            <v>0</v>
          </cell>
          <cell r="S114">
            <v>0</v>
          </cell>
          <cell r="T114">
            <v>0</v>
          </cell>
        </row>
        <row r="115">
          <cell r="L115" t="str">
            <v>B0GWQXWG5D</v>
          </cell>
          <cell r="M115" t="str">
            <v>ZC2CLK04100</v>
          </cell>
          <cell r="N115" t="str">
            <v>2CLK0410</v>
          </cell>
          <cell r="O115" t="str">
            <v>FBA</v>
          </cell>
          <cell r="P115">
            <v>14</v>
          </cell>
          <cell r="Q115">
            <v>14</v>
          </cell>
          <cell r="R115">
            <v>0</v>
          </cell>
          <cell r="S115">
            <v>0</v>
          </cell>
          <cell r="T115">
            <v>3</v>
          </cell>
        </row>
        <row r="116">
          <cell r="L116" t="str">
            <v>B0GWQVBRBB</v>
          </cell>
          <cell r="M116" t="str">
            <v>ZC2CLK04900</v>
          </cell>
          <cell r="N116" t="str">
            <v>2CLK0490</v>
          </cell>
          <cell r="O116" t="str">
            <v>FBA</v>
          </cell>
          <cell r="P116">
            <v>15</v>
          </cell>
          <cell r="Q116">
            <v>14</v>
          </cell>
          <cell r="R116">
            <v>0</v>
          </cell>
          <cell r="S116">
            <v>0</v>
          </cell>
          <cell r="T116">
            <v>0</v>
          </cell>
        </row>
        <row r="117">
          <cell r="L117" t="str">
            <v>B0GX52JVGN</v>
          </cell>
          <cell r="M117" t="str">
            <v>OO2EWP10300</v>
          </cell>
          <cell r="N117" t="str">
            <v>2EWP1030</v>
          </cell>
          <cell r="O117" t="str">
            <v>FBA</v>
          </cell>
          <cell r="P117">
            <v>10</v>
          </cell>
          <cell r="Q117">
            <v>10</v>
          </cell>
          <cell r="R117">
            <v>0</v>
          </cell>
          <cell r="S117">
            <v>0</v>
          </cell>
          <cell r="T117">
            <v>3</v>
          </cell>
        </row>
        <row r="118">
          <cell r="L118" t="str">
            <v>B0GWQJRJ41</v>
          </cell>
          <cell r="M118" t="str">
            <v>OO2EWP05300</v>
          </cell>
          <cell r="N118" t="str">
            <v>2EWP0530</v>
          </cell>
          <cell r="O118" t="str">
            <v>FBA</v>
          </cell>
          <cell r="P118">
            <v>4</v>
          </cell>
          <cell r="Q118">
            <v>3</v>
          </cell>
          <cell r="R118">
            <v>0</v>
          </cell>
          <cell r="S118">
            <v>0</v>
          </cell>
          <cell r="T118">
            <v>0</v>
          </cell>
        </row>
        <row r="119">
          <cell r="L119" t="str">
            <v>B0GWZKWRT4</v>
          </cell>
          <cell r="M119" t="str">
            <v>OO2EWP05000</v>
          </cell>
          <cell r="N119" t="str">
            <v>2EWP0500</v>
          </cell>
          <cell r="O119" t="str">
            <v>FBA</v>
          </cell>
          <cell r="P119">
            <v>4</v>
          </cell>
          <cell r="Q119">
            <v>3</v>
          </cell>
          <cell r="R119">
            <v>0</v>
          </cell>
          <cell r="S119">
            <v>0</v>
          </cell>
          <cell r="T119">
            <v>0</v>
          </cell>
        </row>
        <row r="120">
          <cell r="L120" t="str">
            <v>B0GWZBW3C4</v>
          </cell>
          <cell r="M120" t="str">
            <v>OO2EWP09100</v>
          </cell>
          <cell r="N120" t="str">
            <v>2EWP0910</v>
          </cell>
          <cell r="O120" t="str">
            <v>FBA</v>
          </cell>
          <cell r="P120">
            <v>19</v>
          </cell>
          <cell r="Q120">
            <v>16</v>
          </cell>
          <cell r="R120">
            <v>0</v>
          </cell>
          <cell r="S120">
            <v>5</v>
          </cell>
          <cell r="T120">
            <v>5</v>
          </cell>
        </row>
        <row r="121">
          <cell r="L121" t="str">
            <v>B0CKX9SK3Y</v>
          </cell>
          <cell r="M121" t="str">
            <v>OO2EWP00400</v>
          </cell>
          <cell r="N121" t="str">
            <v>2EWP0040</v>
          </cell>
          <cell r="O121" t="str">
            <v>FBA</v>
          </cell>
          <cell r="P121">
            <v>44</v>
          </cell>
          <cell r="Q121">
            <v>44</v>
          </cell>
          <cell r="R121">
            <v>0</v>
          </cell>
          <cell r="S121">
            <v>40</v>
          </cell>
          <cell r="T121">
            <v>60</v>
          </cell>
        </row>
        <row r="122">
          <cell r="L122" t="str">
            <v>B0GWZH2JVV</v>
          </cell>
          <cell r="M122" t="str">
            <v>OO2EWP11900</v>
          </cell>
          <cell r="N122" t="str">
            <v>2EWP1190</v>
          </cell>
          <cell r="O122" t="str">
            <v>FBA</v>
          </cell>
          <cell r="P122">
            <v>7</v>
          </cell>
          <cell r="Q122">
            <v>6</v>
          </cell>
          <cell r="R122">
            <v>0</v>
          </cell>
          <cell r="S122">
            <v>0</v>
          </cell>
          <cell r="T122">
            <v>0</v>
          </cell>
        </row>
        <row r="123">
          <cell r="L123" t="str">
            <v>B0G3LLJK2D</v>
          </cell>
          <cell r="M123" t="str">
            <v>OO2EWP10600</v>
          </cell>
          <cell r="N123" t="str">
            <v>2EWP1060</v>
          </cell>
          <cell r="O123" t="str">
            <v>FBA</v>
          </cell>
          <cell r="P123">
            <v>0</v>
          </cell>
          <cell r="Q123">
            <v>0</v>
          </cell>
          <cell r="R123">
            <v>0</v>
          </cell>
          <cell r="S123">
            <v>24</v>
          </cell>
          <cell r="T123">
            <v>24</v>
          </cell>
        </row>
        <row r="124">
          <cell r="L124" t="str">
            <v>B0GWQXJ3LD</v>
          </cell>
          <cell r="M124" t="str">
            <v>OO2EWP11200</v>
          </cell>
          <cell r="N124" t="str">
            <v>2EWP1120</v>
          </cell>
          <cell r="O124" t="str">
            <v>FBA</v>
          </cell>
          <cell r="P124">
            <v>8</v>
          </cell>
          <cell r="Q124">
            <v>8</v>
          </cell>
          <cell r="R124">
            <v>0</v>
          </cell>
          <cell r="S124">
            <v>0</v>
          </cell>
          <cell r="T124">
            <v>2</v>
          </cell>
        </row>
        <row r="125">
          <cell r="L125" t="str">
            <v>B0GYRNV2Q2</v>
          </cell>
          <cell r="M125" t="str">
            <v>OO2EWP07800</v>
          </cell>
          <cell r="N125" t="str">
            <v>2EWP0780</v>
          </cell>
          <cell r="O125" t="str">
            <v>FBA</v>
          </cell>
          <cell r="P125">
            <v>5</v>
          </cell>
          <cell r="Q125">
            <v>5</v>
          </cell>
          <cell r="R125">
            <v>0</v>
          </cell>
          <cell r="S125">
            <v>0</v>
          </cell>
          <cell r="T125">
            <v>0</v>
          </cell>
        </row>
        <row r="126">
          <cell r="L126" t="str">
            <v>B0H6XD3H17</v>
          </cell>
          <cell r="M126" t="str">
            <v>KC2EWP24500</v>
          </cell>
          <cell r="N126" t="str">
            <v>2EWP2450</v>
          </cell>
          <cell r="O126" t="str">
            <v>FBA</v>
          </cell>
          <cell r="P126">
            <v>8</v>
          </cell>
          <cell r="Q126">
            <v>6</v>
          </cell>
          <cell r="R126">
            <v>0</v>
          </cell>
          <cell r="S126">
            <v>0</v>
          </cell>
          <cell r="T126">
            <v>0</v>
          </cell>
        </row>
        <row r="127">
          <cell r="L127" t="str">
            <v>B0DSW7XBDY</v>
          </cell>
          <cell r="M127" t="str">
            <v>OO2EWP07500</v>
          </cell>
          <cell r="N127" t="str">
            <v>2EWP0750</v>
          </cell>
          <cell r="O127" t="str">
            <v>FBA</v>
          </cell>
          <cell r="P127">
            <v>24</v>
          </cell>
          <cell r="Q127">
            <v>24</v>
          </cell>
          <cell r="R127">
            <v>0</v>
          </cell>
          <cell r="S127">
            <v>0</v>
          </cell>
          <cell r="T127">
            <v>0</v>
          </cell>
        </row>
        <row r="128">
          <cell r="L128" t="str">
            <v>B0GWQNW9QC</v>
          </cell>
          <cell r="M128" t="str">
            <v>OO2EWP08900</v>
          </cell>
          <cell r="N128" t="str">
            <v>2EWP0890</v>
          </cell>
          <cell r="O128" t="str">
            <v>FBA</v>
          </cell>
          <cell r="P128">
            <v>11</v>
          </cell>
          <cell r="Q128">
            <v>11</v>
          </cell>
          <cell r="R128">
            <v>0</v>
          </cell>
          <cell r="S128">
            <v>0</v>
          </cell>
          <cell r="T128">
            <v>2</v>
          </cell>
        </row>
        <row r="129">
          <cell r="L129" t="str">
            <v>B0GWQLK91B</v>
          </cell>
          <cell r="M129" t="str">
            <v>OO2EWP10100</v>
          </cell>
          <cell r="N129" t="str">
            <v>2EWP1010</v>
          </cell>
          <cell r="O129" t="str">
            <v>FBA</v>
          </cell>
          <cell r="P129">
            <v>4</v>
          </cell>
          <cell r="Q129">
            <v>4</v>
          </cell>
          <cell r="R129">
            <v>0</v>
          </cell>
          <cell r="S129">
            <v>0</v>
          </cell>
          <cell r="T129">
            <v>0</v>
          </cell>
        </row>
        <row r="130">
          <cell r="L130" t="str">
            <v>B0GWZBTZQ1</v>
          </cell>
          <cell r="M130" t="str">
            <v>OO2EWP11100</v>
          </cell>
          <cell r="N130" t="str">
            <v>2EWP1110</v>
          </cell>
          <cell r="O130" t="str">
            <v>FBA</v>
          </cell>
          <cell r="P130">
            <v>18</v>
          </cell>
          <cell r="Q130">
            <v>18</v>
          </cell>
          <cell r="R130">
            <v>0</v>
          </cell>
          <cell r="S130">
            <v>0</v>
          </cell>
          <cell r="T130">
            <v>0</v>
          </cell>
        </row>
      </sheetData>
      <sheetData sheetId="9">
        <row r="1">
          <cell r="A1" t="str">
            <v>商品编码</v>
          </cell>
          <cell r="B1" t="str">
            <v>品线</v>
          </cell>
          <cell r="C1" t="str">
            <v>业务分类</v>
          </cell>
          <cell r="D1" t="str">
            <v>系列</v>
          </cell>
          <cell r="E1" t="str">
            <v>型号</v>
          </cell>
          <cell r="F1" t="str">
            <v>商品等级</v>
          </cell>
          <cell r="G1" t="str">
            <v>开发人员</v>
          </cell>
          <cell r="H1" t="str">
            <v>FBA可用库存</v>
          </cell>
          <cell r="I1" t="str">
            <v>FBA在途库存</v>
          </cell>
          <cell r="J1" t="str">
            <v>海外仓可用库存</v>
          </cell>
          <cell r="K1" t="str">
            <v>海外仓在途库存</v>
          </cell>
          <cell r="L1" t="str">
            <v>本地仓可用库存</v>
          </cell>
        </row>
        <row r="2">
          <cell r="A2" t="str">
            <v>合计</v>
          </cell>
        </row>
        <row r="2">
          <cell r="H2">
            <v>1618</v>
          </cell>
          <cell r="I2">
            <v>678</v>
          </cell>
          <cell r="J2">
            <v>3016</v>
          </cell>
          <cell r="K2">
            <v>2789</v>
          </cell>
          <cell r="L2">
            <v>5533</v>
          </cell>
        </row>
        <row r="3">
          <cell r="A3" t="str">
            <v>OO2EWP02000</v>
          </cell>
          <cell r="B3" t="str">
            <v>配件</v>
          </cell>
          <cell r="C3" t="str">
            <v>水泵</v>
          </cell>
          <cell r="D3">
            <v>1</v>
          </cell>
        </row>
        <row r="3">
          <cell r="F3" t="str">
            <v>A</v>
          </cell>
          <cell r="G3" t="str">
            <v>李莉玲</v>
          </cell>
          <cell r="H3">
            <v>43</v>
          </cell>
          <cell r="I3">
            <v>20</v>
          </cell>
          <cell r="J3">
            <v>103</v>
          </cell>
          <cell r="K3">
            <v>39</v>
          </cell>
          <cell r="L3">
            <v>82</v>
          </cell>
        </row>
        <row r="4">
          <cell r="A4" t="str">
            <v>OO2EWP08300</v>
          </cell>
          <cell r="B4" t="str">
            <v>配件</v>
          </cell>
          <cell r="C4" t="str">
            <v>水泵</v>
          </cell>
          <cell r="D4">
            <v>1</v>
          </cell>
        </row>
        <row r="4">
          <cell r="F4" t="str">
            <v>B</v>
          </cell>
          <cell r="G4" t="str">
            <v>李莉玲</v>
          </cell>
          <cell r="H4">
            <v>6</v>
          </cell>
          <cell r="I4">
            <v>7</v>
          </cell>
          <cell r="J4">
            <v>14</v>
          </cell>
          <cell r="K4">
            <v>73</v>
          </cell>
          <cell r="L4">
            <v>135</v>
          </cell>
        </row>
        <row r="5">
          <cell r="A5" t="str">
            <v>OO2EWP11400</v>
          </cell>
          <cell r="B5" t="str">
            <v>配件</v>
          </cell>
          <cell r="C5" t="str">
            <v>水泵</v>
          </cell>
          <cell r="D5">
            <v>1</v>
          </cell>
        </row>
        <row r="5">
          <cell r="F5" t="str">
            <v>S</v>
          </cell>
          <cell r="G5" t="str">
            <v>李莉玲</v>
          </cell>
          <cell r="H5">
            <v>23</v>
          </cell>
          <cell r="I5">
            <v>0</v>
          </cell>
          <cell r="J5">
            <v>22</v>
          </cell>
          <cell r="K5">
            <v>48</v>
          </cell>
          <cell r="L5">
            <v>139</v>
          </cell>
        </row>
        <row r="6">
          <cell r="A6" t="str">
            <v>OO2EWP05800</v>
          </cell>
          <cell r="B6" t="str">
            <v>配件</v>
          </cell>
          <cell r="C6" t="str">
            <v>水泵</v>
          </cell>
          <cell r="D6">
            <v>1</v>
          </cell>
        </row>
        <row r="6">
          <cell r="F6" t="str">
            <v>A</v>
          </cell>
          <cell r="G6" t="str">
            <v>李莉玲</v>
          </cell>
          <cell r="H6">
            <v>49</v>
          </cell>
          <cell r="I6">
            <v>0</v>
          </cell>
          <cell r="J6">
            <v>49</v>
          </cell>
          <cell r="K6">
            <v>24</v>
          </cell>
          <cell r="L6">
            <v>98</v>
          </cell>
        </row>
        <row r="7">
          <cell r="A7" t="str">
            <v>OO2EWP00400</v>
          </cell>
          <cell r="B7" t="str">
            <v>配件</v>
          </cell>
          <cell r="C7" t="str">
            <v>水泵</v>
          </cell>
          <cell r="D7">
            <v>1</v>
          </cell>
        </row>
        <row r="7">
          <cell r="F7" t="str">
            <v>A</v>
          </cell>
          <cell r="G7" t="str">
            <v>李莉玲</v>
          </cell>
          <cell r="H7">
            <v>84</v>
          </cell>
          <cell r="I7">
            <v>60</v>
          </cell>
          <cell r="J7">
            <v>7</v>
          </cell>
          <cell r="K7">
            <v>27</v>
          </cell>
          <cell r="L7">
            <v>24</v>
          </cell>
        </row>
        <row r="8">
          <cell r="A8" t="str">
            <v>OO2EWP04900</v>
          </cell>
          <cell r="B8" t="str">
            <v>配件</v>
          </cell>
          <cell r="C8" t="str">
            <v>水泵</v>
          </cell>
          <cell r="D8">
            <v>1</v>
          </cell>
        </row>
        <row r="8">
          <cell r="F8" t="str">
            <v>C</v>
          </cell>
          <cell r="G8" t="str">
            <v>李莉玲</v>
          </cell>
          <cell r="H8">
            <v>0</v>
          </cell>
          <cell r="I8">
            <v>0</v>
          </cell>
          <cell r="J8">
            <v>54</v>
          </cell>
          <cell r="K8">
            <v>18</v>
          </cell>
          <cell r="L8">
            <v>113</v>
          </cell>
        </row>
        <row r="9">
          <cell r="A9" t="str">
            <v>OO2EWP02400</v>
          </cell>
          <cell r="B9" t="str">
            <v>配件</v>
          </cell>
          <cell r="C9" t="str">
            <v>水泵</v>
          </cell>
          <cell r="D9">
            <v>1</v>
          </cell>
        </row>
        <row r="9">
          <cell r="F9" t="str">
            <v>A</v>
          </cell>
          <cell r="G9" t="str">
            <v>李莉玲</v>
          </cell>
          <cell r="H9">
            <v>24</v>
          </cell>
          <cell r="I9">
            <v>0</v>
          </cell>
          <cell r="J9">
            <v>6</v>
          </cell>
          <cell r="K9">
            <v>60</v>
          </cell>
          <cell r="L9">
            <v>91</v>
          </cell>
        </row>
        <row r="10">
          <cell r="A10" t="str">
            <v>OO2EWP06700</v>
          </cell>
          <cell r="B10" t="str">
            <v>配件</v>
          </cell>
          <cell r="C10" t="str">
            <v>水泵</v>
          </cell>
          <cell r="D10">
            <v>1</v>
          </cell>
        </row>
        <row r="10">
          <cell r="F10" t="str">
            <v>A</v>
          </cell>
          <cell r="G10" t="str">
            <v>李莉玲</v>
          </cell>
          <cell r="H10">
            <v>26</v>
          </cell>
          <cell r="I10">
            <v>23</v>
          </cell>
          <cell r="J10">
            <v>35</v>
          </cell>
          <cell r="K10">
            <v>14</v>
          </cell>
          <cell r="L10">
            <v>76</v>
          </cell>
        </row>
        <row r="11">
          <cell r="A11" t="str">
            <v>OO2EWP01600</v>
          </cell>
          <cell r="B11" t="str">
            <v>配件</v>
          </cell>
          <cell r="C11" t="str">
            <v>水泵</v>
          </cell>
          <cell r="D11">
            <v>1</v>
          </cell>
        </row>
        <row r="11">
          <cell r="F11" t="str">
            <v>A</v>
          </cell>
          <cell r="G11" t="str">
            <v>李莉玲</v>
          </cell>
          <cell r="H11">
            <v>41</v>
          </cell>
          <cell r="I11">
            <v>20</v>
          </cell>
          <cell r="J11">
            <v>55</v>
          </cell>
          <cell r="K11">
            <v>23</v>
          </cell>
          <cell r="L11">
            <v>29</v>
          </cell>
        </row>
        <row r="12">
          <cell r="A12" t="str">
            <v>KC2EWP15400</v>
          </cell>
          <cell r="B12" t="str">
            <v>配件</v>
          </cell>
          <cell r="C12" t="str">
            <v>水泵</v>
          </cell>
          <cell r="D12">
            <v>1</v>
          </cell>
        </row>
        <row r="12">
          <cell r="F12" t="str">
            <v>推新</v>
          </cell>
          <cell r="G12" t="str">
            <v>李莉玲</v>
          </cell>
          <cell r="H12">
            <v>20</v>
          </cell>
          <cell r="I12">
            <v>0</v>
          </cell>
          <cell r="J12">
            <v>13</v>
          </cell>
          <cell r="K12">
            <v>4</v>
          </cell>
          <cell r="L12">
            <v>122</v>
          </cell>
        </row>
        <row r="13">
          <cell r="A13" t="str">
            <v>OO2EWP00700</v>
          </cell>
          <cell r="B13" t="str">
            <v>配件</v>
          </cell>
          <cell r="C13" t="str">
            <v>水泵</v>
          </cell>
          <cell r="D13">
            <v>1</v>
          </cell>
        </row>
        <row r="13">
          <cell r="F13" t="str">
            <v>B</v>
          </cell>
          <cell r="G13" t="str">
            <v>李莉玲</v>
          </cell>
          <cell r="H13">
            <v>0</v>
          </cell>
          <cell r="I13">
            <v>0</v>
          </cell>
          <cell r="J13">
            <v>48</v>
          </cell>
          <cell r="K13">
            <v>1</v>
          </cell>
          <cell r="L13">
            <v>108</v>
          </cell>
        </row>
        <row r="14">
          <cell r="A14" t="str">
            <v>ZC2CLK05300</v>
          </cell>
          <cell r="B14" t="str">
            <v>配件</v>
          </cell>
          <cell r="C14" t="str">
            <v>水泵</v>
          </cell>
          <cell r="D14">
            <v>1</v>
          </cell>
        </row>
        <row r="14">
          <cell r="F14" t="str">
            <v>A</v>
          </cell>
          <cell r="G14" t="str">
            <v>李莉玲</v>
          </cell>
          <cell r="H14">
            <v>33</v>
          </cell>
          <cell r="I14">
            <v>18</v>
          </cell>
          <cell r="J14">
            <v>34</v>
          </cell>
          <cell r="K14">
            <v>7</v>
          </cell>
          <cell r="L14">
            <v>60</v>
          </cell>
        </row>
        <row r="15">
          <cell r="A15" t="str">
            <v>OO2EWP07700</v>
          </cell>
          <cell r="B15" t="str">
            <v>配件</v>
          </cell>
          <cell r="C15" t="str">
            <v>水泵</v>
          </cell>
          <cell r="D15">
            <v>1</v>
          </cell>
        </row>
        <row r="15">
          <cell r="F15" t="str">
            <v>B</v>
          </cell>
          <cell r="G15" t="str">
            <v>李莉玲</v>
          </cell>
          <cell r="H15">
            <v>12</v>
          </cell>
          <cell r="I15">
            <v>0</v>
          </cell>
          <cell r="J15">
            <v>10</v>
          </cell>
          <cell r="K15">
            <v>50</v>
          </cell>
          <cell r="L15">
            <v>80</v>
          </cell>
        </row>
        <row r="16">
          <cell r="A16" t="str">
            <v>OO2EWP08100</v>
          </cell>
          <cell r="B16" t="str">
            <v>配件</v>
          </cell>
          <cell r="C16" t="str">
            <v>水泵</v>
          </cell>
          <cell r="D16">
            <v>1</v>
          </cell>
        </row>
        <row r="16">
          <cell r="F16" t="str">
            <v>A</v>
          </cell>
          <cell r="G16" t="str">
            <v>李莉玲</v>
          </cell>
          <cell r="H16">
            <v>9</v>
          </cell>
          <cell r="I16">
            <v>7</v>
          </cell>
          <cell r="J16">
            <v>52</v>
          </cell>
          <cell r="K16">
            <v>28</v>
          </cell>
          <cell r="L16">
            <v>55</v>
          </cell>
        </row>
        <row r="17">
          <cell r="A17" t="str">
            <v>OO2EWP00100</v>
          </cell>
          <cell r="B17" t="str">
            <v>配件</v>
          </cell>
          <cell r="C17" t="str">
            <v>水泵</v>
          </cell>
          <cell r="D17">
            <v>1</v>
          </cell>
        </row>
        <row r="17">
          <cell r="F17" t="str">
            <v>C</v>
          </cell>
          <cell r="G17" t="str">
            <v>李莉玲</v>
          </cell>
          <cell r="H17">
            <v>0</v>
          </cell>
          <cell r="I17">
            <v>0</v>
          </cell>
          <cell r="J17">
            <v>67</v>
          </cell>
          <cell r="K17">
            <v>48</v>
          </cell>
          <cell r="L17">
            <v>33</v>
          </cell>
        </row>
        <row r="18">
          <cell r="A18" t="str">
            <v>OO2EWP05700</v>
          </cell>
          <cell r="B18" t="str">
            <v>配件</v>
          </cell>
          <cell r="C18" t="str">
            <v>水泵</v>
          </cell>
          <cell r="D18">
            <v>1</v>
          </cell>
        </row>
        <row r="18">
          <cell r="F18" t="str">
            <v>B</v>
          </cell>
          <cell r="G18" t="str">
            <v>李莉玲</v>
          </cell>
          <cell r="H18">
            <v>23</v>
          </cell>
          <cell r="I18">
            <v>0</v>
          </cell>
          <cell r="J18">
            <v>3</v>
          </cell>
          <cell r="K18">
            <v>21</v>
          </cell>
          <cell r="L18">
            <v>99</v>
          </cell>
        </row>
        <row r="19">
          <cell r="A19" t="str">
            <v>OO2EWP06200</v>
          </cell>
          <cell r="B19" t="str">
            <v>配件</v>
          </cell>
          <cell r="C19" t="str">
            <v>水泵</v>
          </cell>
          <cell r="D19">
            <v>1</v>
          </cell>
        </row>
        <row r="19">
          <cell r="F19" t="str">
            <v>A</v>
          </cell>
          <cell r="G19" t="str">
            <v>李莉玲</v>
          </cell>
          <cell r="H19">
            <v>19</v>
          </cell>
          <cell r="I19">
            <v>0</v>
          </cell>
          <cell r="J19">
            <v>39</v>
          </cell>
          <cell r="K19">
            <v>30</v>
          </cell>
          <cell r="L19">
            <v>52</v>
          </cell>
        </row>
        <row r="20">
          <cell r="A20" t="str">
            <v>OO2EWP08200</v>
          </cell>
          <cell r="B20" t="str">
            <v>配件</v>
          </cell>
          <cell r="C20" t="str">
            <v>水泵</v>
          </cell>
          <cell r="D20">
            <v>1</v>
          </cell>
        </row>
        <row r="20">
          <cell r="F20" t="str">
            <v>A</v>
          </cell>
          <cell r="G20" t="str">
            <v>李莉玲</v>
          </cell>
          <cell r="H20">
            <v>20</v>
          </cell>
          <cell r="I20">
            <v>20</v>
          </cell>
          <cell r="J20">
            <v>16</v>
          </cell>
          <cell r="K20">
            <v>83</v>
          </cell>
          <cell r="L20">
            <v>1</v>
          </cell>
        </row>
        <row r="21">
          <cell r="A21" t="str">
            <v>KC2EWP24500</v>
          </cell>
          <cell r="B21" t="str">
            <v>配件</v>
          </cell>
          <cell r="C21" t="str">
            <v>水泵</v>
          </cell>
          <cell r="D21">
            <v>1</v>
          </cell>
        </row>
        <row r="21">
          <cell r="F21" t="str">
            <v>推新</v>
          </cell>
          <cell r="G21" t="str">
            <v>李莉玲</v>
          </cell>
          <cell r="H21">
            <v>7</v>
          </cell>
          <cell r="I21">
            <v>0</v>
          </cell>
          <cell r="J21">
            <v>2</v>
          </cell>
          <cell r="K21">
            <v>4</v>
          </cell>
          <cell r="L21">
            <v>124</v>
          </cell>
        </row>
        <row r="22">
          <cell r="A22" t="str">
            <v>OO2EWP05900</v>
          </cell>
          <cell r="B22" t="str">
            <v>配件</v>
          </cell>
          <cell r="C22" t="str">
            <v>水泵</v>
          </cell>
          <cell r="D22">
            <v>1</v>
          </cell>
        </row>
        <row r="22">
          <cell r="F22" t="str">
            <v>A</v>
          </cell>
          <cell r="G22" t="str">
            <v>李莉玲</v>
          </cell>
          <cell r="H22">
            <v>24</v>
          </cell>
          <cell r="I22">
            <v>40</v>
          </cell>
          <cell r="J22">
            <v>0</v>
          </cell>
          <cell r="K22">
            <v>36</v>
          </cell>
          <cell r="L22">
            <v>34</v>
          </cell>
        </row>
        <row r="23">
          <cell r="A23" t="str">
            <v>OO2EWP03000</v>
          </cell>
          <cell r="B23" t="str">
            <v>配件</v>
          </cell>
          <cell r="C23" t="str">
            <v>水泵</v>
          </cell>
          <cell r="D23">
            <v>1</v>
          </cell>
        </row>
        <row r="23">
          <cell r="F23" t="str">
            <v>B</v>
          </cell>
          <cell r="G23" t="str">
            <v>李莉玲</v>
          </cell>
          <cell r="H23">
            <v>17</v>
          </cell>
          <cell r="I23">
            <v>0</v>
          </cell>
          <cell r="J23">
            <v>32</v>
          </cell>
          <cell r="K23">
            <v>12</v>
          </cell>
          <cell r="L23">
            <v>72</v>
          </cell>
        </row>
        <row r="24">
          <cell r="A24" t="str">
            <v>OO2EWP01400</v>
          </cell>
          <cell r="B24" t="str">
            <v>配件</v>
          </cell>
          <cell r="C24" t="str">
            <v>水泵</v>
          </cell>
          <cell r="D24">
            <v>1</v>
          </cell>
        </row>
        <row r="24">
          <cell r="F24" t="str">
            <v>S</v>
          </cell>
          <cell r="G24" t="str">
            <v>李莉玲</v>
          </cell>
          <cell r="H24">
            <v>19</v>
          </cell>
          <cell r="I24">
            <v>21</v>
          </cell>
          <cell r="J24">
            <v>46</v>
          </cell>
          <cell r="K24">
            <v>36</v>
          </cell>
          <cell r="L24">
            <v>10</v>
          </cell>
        </row>
        <row r="25">
          <cell r="A25" t="str">
            <v>OO2EWP07500</v>
          </cell>
          <cell r="B25" t="str">
            <v>配件</v>
          </cell>
          <cell r="C25" t="str">
            <v>水泵</v>
          </cell>
          <cell r="D25">
            <v>1</v>
          </cell>
        </row>
        <row r="25">
          <cell r="F25" t="str">
            <v>B</v>
          </cell>
          <cell r="G25" t="str">
            <v>李莉玲</v>
          </cell>
          <cell r="H25">
            <v>23</v>
          </cell>
          <cell r="I25">
            <v>0</v>
          </cell>
          <cell r="J25">
            <v>40</v>
          </cell>
          <cell r="K25">
            <v>8</v>
          </cell>
          <cell r="L25">
            <v>61</v>
          </cell>
        </row>
        <row r="26">
          <cell r="A26" t="str">
            <v>OO2EWP08000</v>
          </cell>
          <cell r="B26" t="str">
            <v>配件</v>
          </cell>
          <cell r="C26" t="str">
            <v>水泵</v>
          </cell>
          <cell r="D26">
            <v>1</v>
          </cell>
        </row>
        <row r="26">
          <cell r="F26" t="str">
            <v>A</v>
          </cell>
          <cell r="G26" t="str">
            <v>李莉玲</v>
          </cell>
          <cell r="H26">
            <v>27</v>
          </cell>
          <cell r="I26">
            <v>0</v>
          </cell>
          <cell r="J26">
            <v>2</v>
          </cell>
          <cell r="K26">
            <v>82</v>
          </cell>
          <cell r="L26">
            <v>20</v>
          </cell>
        </row>
        <row r="27">
          <cell r="A27" t="str">
            <v>OO2EWP12400</v>
          </cell>
          <cell r="B27" t="str">
            <v>配件</v>
          </cell>
          <cell r="C27" t="str">
            <v>水泵</v>
          </cell>
          <cell r="D27">
            <v>1</v>
          </cell>
        </row>
        <row r="27">
          <cell r="F27" t="str">
            <v>A</v>
          </cell>
          <cell r="G27" t="str">
            <v>李莉玲</v>
          </cell>
          <cell r="H27">
            <v>26</v>
          </cell>
          <cell r="I27">
            <v>0</v>
          </cell>
          <cell r="J27">
            <v>13</v>
          </cell>
          <cell r="K27">
            <v>24</v>
          </cell>
          <cell r="L27">
            <v>66</v>
          </cell>
        </row>
        <row r="28">
          <cell r="A28" t="str">
            <v>OO2EWP01300</v>
          </cell>
          <cell r="B28" t="str">
            <v>配件</v>
          </cell>
          <cell r="C28" t="str">
            <v>水泵</v>
          </cell>
          <cell r="D28">
            <v>1</v>
          </cell>
        </row>
        <row r="28">
          <cell r="F28" t="str">
            <v>A</v>
          </cell>
          <cell r="G28" t="str">
            <v>李莉玲</v>
          </cell>
          <cell r="H28">
            <v>2</v>
          </cell>
          <cell r="I28">
            <v>35</v>
          </cell>
          <cell r="J28">
            <v>14</v>
          </cell>
          <cell r="K28">
            <v>64</v>
          </cell>
          <cell r="L28">
            <v>12</v>
          </cell>
        </row>
        <row r="29">
          <cell r="A29" t="str">
            <v>OO2EWP05500</v>
          </cell>
          <cell r="B29" t="str">
            <v>配件</v>
          </cell>
          <cell r="C29" t="str">
            <v>水泵</v>
          </cell>
          <cell r="D29">
            <v>1</v>
          </cell>
        </row>
        <row r="29">
          <cell r="F29" t="str">
            <v>A</v>
          </cell>
          <cell r="G29" t="str">
            <v>李莉玲</v>
          </cell>
          <cell r="H29">
            <v>14</v>
          </cell>
          <cell r="I29">
            <v>8</v>
          </cell>
          <cell r="J29">
            <v>11</v>
          </cell>
          <cell r="K29">
            <v>3</v>
          </cell>
          <cell r="L29">
            <v>91</v>
          </cell>
        </row>
        <row r="30">
          <cell r="A30" t="str">
            <v>OO2EWP10600</v>
          </cell>
          <cell r="B30" t="str">
            <v>配件</v>
          </cell>
          <cell r="C30" t="str">
            <v>水泵</v>
          </cell>
          <cell r="D30">
            <v>1</v>
          </cell>
        </row>
        <row r="30">
          <cell r="F30" t="str">
            <v>S</v>
          </cell>
          <cell r="G30" t="str">
            <v>李莉玲</v>
          </cell>
          <cell r="H30">
            <v>24</v>
          </cell>
          <cell r="I30">
            <v>24</v>
          </cell>
          <cell r="J30">
            <v>12</v>
          </cell>
          <cell r="K30">
            <v>42</v>
          </cell>
          <cell r="L30">
            <v>24</v>
          </cell>
        </row>
        <row r="31">
          <cell r="A31" t="str">
            <v>KC2EWP25500</v>
          </cell>
          <cell r="B31" t="str">
            <v>配件</v>
          </cell>
          <cell r="C31" t="str">
            <v>水泵</v>
          </cell>
          <cell r="D31">
            <v>1</v>
          </cell>
        </row>
        <row r="31">
          <cell r="F31" t="str">
            <v>C</v>
          </cell>
          <cell r="G31" t="str">
            <v>李莉玲</v>
          </cell>
          <cell r="H31">
            <v>0</v>
          </cell>
          <cell r="I31">
            <v>0</v>
          </cell>
          <cell r="J31">
            <v>41</v>
          </cell>
          <cell r="K31">
            <v>30</v>
          </cell>
          <cell r="L31">
            <v>55</v>
          </cell>
        </row>
        <row r="32">
          <cell r="A32" t="str">
            <v>OO2EWP09100</v>
          </cell>
          <cell r="B32" t="str">
            <v>配件</v>
          </cell>
          <cell r="C32" t="str">
            <v>水泵</v>
          </cell>
          <cell r="D32">
            <v>1</v>
          </cell>
        </row>
        <row r="32">
          <cell r="F32" t="str">
            <v>B</v>
          </cell>
          <cell r="G32" t="str">
            <v>李莉玲</v>
          </cell>
          <cell r="H32">
            <v>24</v>
          </cell>
          <cell r="I32">
            <v>5</v>
          </cell>
          <cell r="J32">
            <v>10</v>
          </cell>
          <cell r="K32">
            <v>11</v>
          </cell>
          <cell r="L32">
            <v>73</v>
          </cell>
        </row>
        <row r="33">
          <cell r="A33" t="str">
            <v>OO2EWP07100</v>
          </cell>
          <cell r="B33" t="str">
            <v>配件</v>
          </cell>
          <cell r="C33" t="str">
            <v>水泵</v>
          </cell>
          <cell r="D33">
            <v>1</v>
          </cell>
        </row>
        <row r="33">
          <cell r="F33" t="str">
            <v>A</v>
          </cell>
          <cell r="G33" t="str">
            <v>李莉玲</v>
          </cell>
          <cell r="H33">
            <v>19</v>
          </cell>
          <cell r="I33">
            <v>0</v>
          </cell>
          <cell r="J33">
            <v>8</v>
          </cell>
          <cell r="K33">
            <v>40</v>
          </cell>
          <cell r="L33">
            <v>50</v>
          </cell>
        </row>
        <row r="34">
          <cell r="A34" t="str">
            <v>OO2EWP08400</v>
          </cell>
          <cell r="B34" t="str">
            <v>配件</v>
          </cell>
          <cell r="C34" t="str">
            <v>水泵</v>
          </cell>
          <cell r="D34">
            <v>1</v>
          </cell>
        </row>
        <row r="34">
          <cell r="F34" t="str">
            <v>A</v>
          </cell>
          <cell r="G34" t="str">
            <v>李莉玲</v>
          </cell>
          <cell r="H34">
            <v>35</v>
          </cell>
          <cell r="I34">
            <v>20</v>
          </cell>
          <cell r="J34">
            <v>12</v>
          </cell>
          <cell r="K34">
            <v>27</v>
          </cell>
          <cell r="L34">
            <v>23</v>
          </cell>
        </row>
        <row r="35">
          <cell r="A35" t="str">
            <v>ZC2CLK04900</v>
          </cell>
          <cell r="B35" t="str">
            <v>配件</v>
          </cell>
          <cell r="C35" t="str">
            <v>水泵</v>
          </cell>
          <cell r="D35">
            <v>1</v>
          </cell>
        </row>
        <row r="35">
          <cell r="F35" t="str">
            <v>A</v>
          </cell>
          <cell r="G35" t="str">
            <v>李莉玲</v>
          </cell>
          <cell r="H35">
            <v>14</v>
          </cell>
          <cell r="I35">
            <v>0</v>
          </cell>
          <cell r="J35">
            <v>21</v>
          </cell>
          <cell r="K35">
            <v>12</v>
          </cell>
          <cell r="L35">
            <v>67</v>
          </cell>
        </row>
        <row r="36">
          <cell r="A36" t="str">
            <v>OO2EWP12000</v>
          </cell>
          <cell r="B36" t="str">
            <v>配件</v>
          </cell>
          <cell r="C36" t="str">
            <v>水泵</v>
          </cell>
          <cell r="D36">
            <v>1</v>
          </cell>
        </row>
        <row r="36">
          <cell r="F36" t="str">
            <v>B</v>
          </cell>
          <cell r="G36" t="str">
            <v>李莉玲</v>
          </cell>
          <cell r="H36">
            <v>32</v>
          </cell>
          <cell r="I36">
            <v>17</v>
          </cell>
          <cell r="J36">
            <v>15</v>
          </cell>
          <cell r="K36">
            <v>13</v>
          </cell>
          <cell r="L36">
            <v>35</v>
          </cell>
        </row>
        <row r="37">
          <cell r="A37" t="str">
            <v>OO2EWP04000</v>
          </cell>
          <cell r="B37" t="str">
            <v>配件</v>
          </cell>
          <cell r="C37" t="str">
            <v>水泵</v>
          </cell>
          <cell r="D37">
            <v>1</v>
          </cell>
        </row>
        <row r="37">
          <cell r="F37" t="str">
            <v>C</v>
          </cell>
          <cell r="G37" t="str">
            <v>李莉玲</v>
          </cell>
          <cell r="H37">
            <v>18</v>
          </cell>
          <cell r="I37">
            <v>0</v>
          </cell>
          <cell r="J37">
            <v>18</v>
          </cell>
          <cell r="K37">
            <v>2</v>
          </cell>
          <cell r="L37">
            <v>67</v>
          </cell>
        </row>
        <row r="38">
          <cell r="A38" t="str">
            <v>OO2EWP00200</v>
          </cell>
          <cell r="B38" t="str">
            <v>配件</v>
          </cell>
          <cell r="C38" t="str">
            <v>水泵</v>
          </cell>
          <cell r="D38">
            <v>1</v>
          </cell>
        </row>
        <row r="38">
          <cell r="F38" t="str">
            <v>C</v>
          </cell>
          <cell r="G38" t="str">
            <v>李莉玲</v>
          </cell>
          <cell r="H38">
            <v>5</v>
          </cell>
          <cell r="I38">
            <v>0</v>
          </cell>
          <cell r="J38">
            <v>0</v>
          </cell>
          <cell r="K38">
            <v>72</v>
          </cell>
          <cell r="L38">
            <v>27</v>
          </cell>
        </row>
        <row r="39">
          <cell r="A39" t="str">
            <v>OO2EWP09000</v>
          </cell>
          <cell r="B39" t="str">
            <v>配件</v>
          </cell>
          <cell r="C39" t="str">
            <v>水泵</v>
          </cell>
          <cell r="D39">
            <v>1</v>
          </cell>
        </row>
        <row r="39">
          <cell r="F39" t="str">
            <v>B</v>
          </cell>
          <cell r="G39" t="str">
            <v>李莉玲</v>
          </cell>
          <cell r="H39">
            <v>8</v>
          </cell>
          <cell r="I39">
            <v>3</v>
          </cell>
          <cell r="J39">
            <v>19</v>
          </cell>
          <cell r="K39">
            <v>13</v>
          </cell>
          <cell r="L39">
            <v>60</v>
          </cell>
        </row>
        <row r="40">
          <cell r="A40" t="str">
            <v>OO2EWP04600</v>
          </cell>
          <cell r="B40" t="str">
            <v>配件</v>
          </cell>
          <cell r="C40" t="str">
            <v>水泵</v>
          </cell>
          <cell r="D40">
            <v>1</v>
          </cell>
        </row>
        <row r="40">
          <cell r="F40" t="str">
            <v>B</v>
          </cell>
          <cell r="G40" t="str">
            <v>李莉玲</v>
          </cell>
          <cell r="H40">
            <v>0</v>
          </cell>
          <cell r="I40">
            <v>0</v>
          </cell>
          <cell r="J40">
            <v>27</v>
          </cell>
          <cell r="K40">
            <v>1</v>
          </cell>
          <cell r="L40">
            <v>74</v>
          </cell>
        </row>
        <row r="41">
          <cell r="A41" t="str">
            <v>OO2EWP03900</v>
          </cell>
          <cell r="B41" t="str">
            <v>配件</v>
          </cell>
          <cell r="C41" t="str">
            <v>水泵</v>
          </cell>
          <cell r="D41">
            <v>1</v>
          </cell>
        </row>
        <row r="41">
          <cell r="F41" t="str">
            <v>C</v>
          </cell>
          <cell r="G41" t="str">
            <v>李莉玲</v>
          </cell>
          <cell r="H41">
            <v>7</v>
          </cell>
          <cell r="I41">
            <v>0</v>
          </cell>
          <cell r="J41">
            <v>28</v>
          </cell>
          <cell r="K41">
            <v>27</v>
          </cell>
          <cell r="L41">
            <v>37</v>
          </cell>
        </row>
        <row r="42">
          <cell r="A42" t="str">
            <v>OO2EWP07800</v>
          </cell>
          <cell r="B42" t="str">
            <v>配件</v>
          </cell>
          <cell r="C42" t="str">
            <v>水泵</v>
          </cell>
          <cell r="D42">
            <v>1</v>
          </cell>
        </row>
        <row r="42">
          <cell r="F42" t="str">
            <v>B</v>
          </cell>
          <cell r="G42" t="str">
            <v>李莉玲</v>
          </cell>
          <cell r="H42">
            <v>5</v>
          </cell>
          <cell r="I42">
            <v>0</v>
          </cell>
          <cell r="J42">
            <v>0</v>
          </cell>
          <cell r="K42">
            <v>50</v>
          </cell>
          <cell r="L42">
            <v>44</v>
          </cell>
        </row>
        <row r="43">
          <cell r="A43" t="str">
            <v>OO2EWP07600</v>
          </cell>
          <cell r="B43" t="str">
            <v>配件</v>
          </cell>
          <cell r="C43" t="str">
            <v>水泵</v>
          </cell>
          <cell r="D43">
            <v>1</v>
          </cell>
        </row>
        <row r="43">
          <cell r="F43" t="str">
            <v>B</v>
          </cell>
          <cell r="G43" t="str">
            <v>李莉玲</v>
          </cell>
          <cell r="H43">
            <v>26</v>
          </cell>
          <cell r="I43">
            <v>0</v>
          </cell>
          <cell r="J43">
            <v>10</v>
          </cell>
          <cell r="K43">
            <v>0</v>
          </cell>
          <cell r="L43">
            <v>60</v>
          </cell>
        </row>
        <row r="44">
          <cell r="A44" t="str">
            <v>OO2EWP07900</v>
          </cell>
          <cell r="B44" t="str">
            <v>配件</v>
          </cell>
          <cell r="C44" t="str">
            <v>水泵</v>
          </cell>
          <cell r="D44">
            <v>1</v>
          </cell>
        </row>
        <row r="44">
          <cell r="F44" t="str">
            <v>B</v>
          </cell>
          <cell r="G44" t="str">
            <v>李莉玲</v>
          </cell>
          <cell r="H44">
            <v>30</v>
          </cell>
          <cell r="I44">
            <v>0</v>
          </cell>
          <cell r="J44">
            <v>42</v>
          </cell>
          <cell r="K44">
            <v>2</v>
          </cell>
          <cell r="L44">
            <v>22</v>
          </cell>
        </row>
        <row r="45">
          <cell r="A45" t="str">
            <v>OO2EWP06300</v>
          </cell>
          <cell r="B45" t="str">
            <v>配件</v>
          </cell>
          <cell r="C45" t="str">
            <v>水泵</v>
          </cell>
          <cell r="D45">
            <v>1</v>
          </cell>
        </row>
        <row r="45">
          <cell r="F45" t="str">
            <v>B</v>
          </cell>
          <cell r="G45" t="str">
            <v>李莉玲</v>
          </cell>
          <cell r="H45">
            <v>9</v>
          </cell>
          <cell r="I45">
            <v>21</v>
          </cell>
          <cell r="J45">
            <v>5</v>
          </cell>
          <cell r="K45">
            <v>23</v>
          </cell>
          <cell r="L45">
            <v>36</v>
          </cell>
        </row>
        <row r="46">
          <cell r="A46" t="str">
            <v>OO2EWP02900</v>
          </cell>
          <cell r="B46" t="str">
            <v>配件</v>
          </cell>
          <cell r="C46" t="str">
            <v>水泵</v>
          </cell>
          <cell r="D46">
            <v>1</v>
          </cell>
        </row>
        <row r="46">
          <cell r="F46" t="str">
            <v>B</v>
          </cell>
          <cell r="G46" t="str">
            <v>李莉玲</v>
          </cell>
          <cell r="H46">
            <v>20</v>
          </cell>
          <cell r="I46">
            <v>0</v>
          </cell>
          <cell r="J46">
            <v>14</v>
          </cell>
          <cell r="K46">
            <v>37</v>
          </cell>
          <cell r="L46">
            <v>23</v>
          </cell>
        </row>
        <row r="47">
          <cell r="A47" t="str">
            <v>ZC2CLK05000</v>
          </cell>
          <cell r="B47" t="str">
            <v>配件</v>
          </cell>
          <cell r="C47" t="str">
            <v>水泵</v>
          </cell>
          <cell r="D47">
            <v>1</v>
          </cell>
        </row>
        <row r="47">
          <cell r="F47" t="str">
            <v>B</v>
          </cell>
          <cell r="G47" t="str">
            <v>李莉玲</v>
          </cell>
          <cell r="H47">
            <v>15</v>
          </cell>
          <cell r="I47">
            <v>6</v>
          </cell>
          <cell r="J47">
            <v>29</v>
          </cell>
          <cell r="K47">
            <v>25</v>
          </cell>
          <cell r="L47">
            <v>17</v>
          </cell>
        </row>
        <row r="48">
          <cell r="A48" t="str">
            <v>OO2EWP04500</v>
          </cell>
          <cell r="B48" t="str">
            <v>配件</v>
          </cell>
          <cell r="C48" t="str">
            <v>水泵</v>
          </cell>
          <cell r="D48">
            <v>1</v>
          </cell>
        </row>
        <row r="48">
          <cell r="F48" t="str">
            <v>B</v>
          </cell>
          <cell r="G48" t="str">
            <v>李莉玲</v>
          </cell>
          <cell r="H48">
            <v>12</v>
          </cell>
          <cell r="I48">
            <v>0</v>
          </cell>
          <cell r="J48">
            <v>46</v>
          </cell>
          <cell r="K48">
            <v>0</v>
          </cell>
          <cell r="L48">
            <v>33</v>
          </cell>
        </row>
        <row r="49">
          <cell r="A49" t="str">
            <v>OO2EWP06000</v>
          </cell>
          <cell r="B49" t="str">
            <v>配件</v>
          </cell>
          <cell r="C49" t="str">
            <v>水泵</v>
          </cell>
          <cell r="D49">
            <v>1</v>
          </cell>
        </row>
        <row r="49">
          <cell r="F49" t="str">
            <v>A</v>
          </cell>
          <cell r="G49" t="str">
            <v>李莉玲</v>
          </cell>
          <cell r="H49">
            <v>43</v>
          </cell>
          <cell r="I49">
            <v>20</v>
          </cell>
          <cell r="J49">
            <v>23</v>
          </cell>
          <cell r="K49">
            <v>5</v>
          </cell>
          <cell r="L49">
            <v>0</v>
          </cell>
        </row>
        <row r="50">
          <cell r="A50" t="str">
            <v>OO2EWP03700</v>
          </cell>
          <cell r="B50" t="str">
            <v>配件</v>
          </cell>
          <cell r="C50" t="str">
            <v>水泵</v>
          </cell>
          <cell r="D50">
            <v>1</v>
          </cell>
        </row>
        <row r="50">
          <cell r="F50" t="str">
            <v>C</v>
          </cell>
          <cell r="G50" t="str">
            <v>李莉玲</v>
          </cell>
          <cell r="H50">
            <v>0</v>
          </cell>
          <cell r="I50">
            <v>0</v>
          </cell>
          <cell r="J50">
            <v>43</v>
          </cell>
          <cell r="K50">
            <v>3</v>
          </cell>
          <cell r="L50">
            <v>43</v>
          </cell>
        </row>
        <row r="51">
          <cell r="A51" t="str">
            <v>OO2EWP10400</v>
          </cell>
          <cell r="B51" t="str">
            <v>配件</v>
          </cell>
          <cell r="C51" t="str">
            <v>水泵</v>
          </cell>
          <cell r="D51">
            <v>1</v>
          </cell>
        </row>
        <row r="51">
          <cell r="F51" t="str">
            <v>A</v>
          </cell>
          <cell r="G51" t="str">
            <v>李莉玲</v>
          </cell>
          <cell r="H51">
            <v>9</v>
          </cell>
          <cell r="I51">
            <v>0</v>
          </cell>
          <cell r="J51">
            <v>0</v>
          </cell>
          <cell r="K51">
            <v>59</v>
          </cell>
          <cell r="L51">
            <v>21</v>
          </cell>
        </row>
        <row r="52">
          <cell r="A52" t="str">
            <v>OO2EWP09900</v>
          </cell>
          <cell r="B52" t="str">
            <v>配件</v>
          </cell>
          <cell r="C52" t="str">
            <v>水泵</v>
          </cell>
          <cell r="D52">
            <v>1</v>
          </cell>
        </row>
        <row r="52">
          <cell r="F52" t="str">
            <v>A</v>
          </cell>
          <cell r="G52" t="str">
            <v>李莉玲</v>
          </cell>
          <cell r="H52">
            <v>3</v>
          </cell>
          <cell r="I52">
            <v>1</v>
          </cell>
          <cell r="J52">
            <v>52</v>
          </cell>
          <cell r="K52">
            <v>5</v>
          </cell>
          <cell r="L52">
            <v>27</v>
          </cell>
        </row>
        <row r="53">
          <cell r="A53" t="str">
            <v>OO2EWP06600</v>
          </cell>
          <cell r="B53" t="str">
            <v>配件</v>
          </cell>
          <cell r="C53" t="str">
            <v>水泵</v>
          </cell>
          <cell r="D53">
            <v>1</v>
          </cell>
        </row>
        <row r="53">
          <cell r="F53" t="str">
            <v>B</v>
          </cell>
          <cell r="G53" t="str">
            <v>李莉玲</v>
          </cell>
          <cell r="H53">
            <v>8</v>
          </cell>
          <cell r="I53">
            <v>0</v>
          </cell>
          <cell r="J53">
            <v>29</v>
          </cell>
          <cell r="K53">
            <v>3</v>
          </cell>
          <cell r="L53">
            <v>45</v>
          </cell>
        </row>
        <row r="54">
          <cell r="A54" t="str">
            <v>OO2EWP10800</v>
          </cell>
          <cell r="B54" t="str">
            <v>配件</v>
          </cell>
          <cell r="C54" t="str">
            <v>水泵</v>
          </cell>
          <cell r="D54">
            <v>1</v>
          </cell>
        </row>
        <row r="54">
          <cell r="F54" t="str">
            <v>B</v>
          </cell>
          <cell r="G54" t="str">
            <v>李莉玲</v>
          </cell>
          <cell r="H54">
            <v>15</v>
          </cell>
          <cell r="I54">
            <v>0</v>
          </cell>
          <cell r="J54">
            <v>18</v>
          </cell>
          <cell r="K54">
            <v>19</v>
          </cell>
          <cell r="L54">
            <v>33</v>
          </cell>
        </row>
        <row r="55">
          <cell r="A55" t="str">
            <v>KC2EWP17700</v>
          </cell>
          <cell r="B55" t="str">
            <v>配件</v>
          </cell>
          <cell r="C55" t="str">
            <v>水泵</v>
          </cell>
          <cell r="D55">
            <v>1</v>
          </cell>
        </row>
        <row r="55">
          <cell r="F55" t="str">
            <v>推新</v>
          </cell>
          <cell r="G55" t="str">
            <v>李莉玲</v>
          </cell>
          <cell r="H55">
            <v>0</v>
          </cell>
          <cell r="I55">
            <v>0</v>
          </cell>
          <cell r="J55">
            <v>0</v>
          </cell>
          <cell r="K55">
            <v>36</v>
          </cell>
          <cell r="L55">
            <v>49</v>
          </cell>
        </row>
        <row r="56">
          <cell r="A56" t="str">
            <v>OO2EWP08900</v>
          </cell>
          <cell r="B56" t="str">
            <v>配件</v>
          </cell>
          <cell r="C56" t="str">
            <v>水泵</v>
          </cell>
          <cell r="D56">
            <v>1</v>
          </cell>
        </row>
        <row r="56">
          <cell r="F56" t="str">
            <v>B</v>
          </cell>
          <cell r="G56" t="str">
            <v>李莉玲</v>
          </cell>
          <cell r="H56">
            <v>11</v>
          </cell>
          <cell r="I56">
            <v>2</v>
          </cell>
          <cell r="J56">
            <v>22</v>
          </cell>
          <cell r="K56">
            <v>1</v>
          </cell>
          <cell r="L56">
            <v>49</v>
          </cell>
        </row>
        <row r="57">
          <cell r="A57" t="str">
            <v>OO2EWP04700</v>
          </cell>
          <cell r="B57" t="str">
            <v>配件</v>
          </cell>
          <cell r="C57" t="str">
            <v>水泵</v>
          </cell>
          <cell r="D57">
            <v>1</v>
          </cell>
        </row>
        <row r="57">
          <cell r="F57" t="str">
            <v>B</v>
          </cell>
          <cell r="G57" t="str">
            <v>李莉玲</v>
          </cell>
          <cell r="H57">
            <v>0</v>
          </cell>
          <cell r="I57">
            <v>0</v>
          </cell>
          <cell r="J57">
            <v>4</v>
          </cell>
          <cell r="K57">
            <v>24</v>
          </cell>
          <cell r="L57">
            <v>56</v>
          </cell>
        </row>
        <row r="58">
          <cell r="A58" t="str">
            <v>OO2EWP06400</v>
          </cell>
          <cell r="B58" t="str">
            <v>配件</v>
          </cell>
          <cell r="C58" t="str">
            <v>水泵</v>
          </cell>
          <cell r="D58">
            <v>1</v>
          </cell>
        </row>
        <row r="58">
          <cell r="F58" t="str">
            <v>B</v>
          </cell>
          <cell r="G58" t="str">
            <v>李莉玲</v>
          </cell>
          <cell r="H58">
            <v>0</v>
          </cell>
          <cell r="I58">
            <v>20</v>
          </cell>
          <cell r="J58">
            <v>20</v>
          </cell>
          <cell r="K58">
            <v>13</v>
          </cell>
          <cell r="L58">
            <v>29</v>
          </cell>
        </row>
        <row r="59">
          <cell r="A59" t="str">
            <v>KC2EWP25900</v>
          </cell>
          <cell r="B59" t="str">
            <v>配件</v>
          </cell>
          <cell r="C59" t="str">
            <v>水泵</v>
          </cell>
          <cell r="D59">
            <v>1</v>
          </cell>
        </row>
        <row r="59">
          <cell r="F59" t="str">
            <v>推新</v>
          </cell>
          <cell r="G59" t="str">
            <v>李莉玲</v>
          </cell>
          <cell r="H59">
            <v>0</v>
          </cell>
          <cell r="I59">
            <v>24</v>
          </cell>
          <cell r="J59">
            <v>12</v>
          </cell>
          <cell r="K59">
            <v>4</v>
          </cell>
          <cell r="L59">
            <v>41</v>
          </cell>
        </row>
        <row r="60">
          <cell r="A60" t="str">
            <v>OO2EWP01000</v>
          </cell>
          <cell r="B60" t="str">
            <v>配件</v>
          </cell>
          <cell r="C60" t="str">
            <v>水泵</v>
          </cell>
          <cell r="D60">
            <v>1</v>
          </cell>
        </row>
        <row r="60">
          <cell r="F60" t="str">
            <v>C</v>
          </cell>
          <cell r="G60" t="str">
            <v>李莉玲</v>
          </cell>
          <cell r="H60">
            <v>12</v>
          </cell>
          <cell r="I60">
            <v>9</v>
          </cell>
          <cell r="J60">
            <v>16</v>
          </cell>
          <cell r="K60">
            <v>12</v>
          </cell>
          <cell r="L60">
            <v>31</v>
          </cell>
        </row>
        <row r="61">
          <cell r="A61" t="str">
            <v>OO2EWP06100</v>
          </cell>
          <cell r="B61" t="str">
            <v>配件</v>
          </cell>
          <cell r="C61" t="str">
            <v>水泵</v>
          </cell>
          <cell r="D61">
            <v>1</v>
          </cell>
        </row>
        <row r="61">
          <cell r="F61" t="str">
            <v>C</v>
          </cell>
          <cell r="G61" t="str">
            <v>李莉玲</v>
          </cell>
          <cell r="H61">
            <v>4</v>
          </cell>
          <cell r="I61">
            <v>2</v>
          </cell>
          <cell r="J61">
            <v>7</v>
          </cell>
          <cell r="K61">
            <v>15</v>
          </cell>
          <cell r="L61">
            <v>52</v>
          </cell>
        </row>
        <row r="62">
          <cell r="A62" t="str">
            <v>OO2EWP00500</v>
          </cell>
          <cell r="B62" t="str">
            <v>配件</v>
          </cell>
          <cell r="C62" t="str">
            <v>水泵</v>
          </cell>
          <cell r="D62">
            <v>1</v>
          </cell>
        </row>
        <row r="62">
          <cell r="F62" t="str">
            <v>B</v>
          </cell>
          <cell r="G62" t="str">
            <v>李莉玲</v>
          </cell>
          <cell r="H62">
            <v>13</v>
          </cell>
          <cell r="I62">
            <v>0</v>
          </cell>
          <cell r="J62">
            <v>0</v>
          </cell>
          <cell r="K62">
            <v>11</v>
          </cell>
          <cell r="L62">
            <v>55</v>
          </cell>
        </row>
        <row r="63">
          <cell r="A63" t="str">
            <v>OO2EWP10700</v>
          </cell>
          <cell r="B63" t="str">
            <v>配件</v>
          </cell>
          <cell r="C63" t="str">
            <v>水泵</v>
          </cell>
          <cell r="D63">
            <v>1</v>
          </cell>
        </row>
        <row r="63">
          <cell r="F63" t="str">
            <v>B</v>
          </cell>
          <cell r="G63" t="str">
            <v>李莉玲</v>
          </cell>
          <cell r="H63">
            <v>8</v>
          </cell>
          <cell r="I63">
            <v>0</v>
          </cell>
          <cell r="J63">
            <v>5</v>
          </cell>
          <cell r="K63">
            <v>16</v>
          </cell>
          <cell r="L63">
            <v>48</v>
          </cell>
        </row>
        <row r="64">
          <cell r="A64" t="str">
            <v>OO2EWP00600</v>
          </cell>
          <cell r="B64" t="str">
            <v>配件</v>
          </cell>
          <cell r="C64" t="str">
            <v>水泵</v>
          </cell>
          <cell r="D64">
            <v>1</v>
          </cell>
        </row>
        <row r="64">
          <cell r="F64" t="str">
            <v>C</v>
          </cell>
          <cell r="G64" t="str">
            <v>李莉玲</v>
          </cell>
          <cell r="H64">
            <v>0</v>
          </cell>
          <cell r="I64">
            <v>0</v>
          </cell>
          <cell r="J64">
            <v>5</v>
          </cell>
          <cell r="K64">
            <v>8</v>
          </cell>
          <cell r="L64">
            <v>63</v>
          </cell>
        </row>
        <row r="65">
          <cell r="A65" t="str">
            <v>OO2EWP02800</v>
          </cell>
          <cell r="B65" t="str">
            <v>配件</v>
          </cell>
          <cell r="C65" t="str">
            <v>水泵</v>
          </cell>
          <cell r="D65">
            <v>1</v>
          </cell>
        </row>
        <row r="65">
          <cell r="F65" t="str">
            <v>A</v>
          </cell>
          <cell r="G65" t="str">
            <v>李莉玲</v>
          </cell>
          <cell r="H65">
            <v>28</v>
          </cell>
          <cell r="I65">
            <v>8</v>
          </cell>
          <cell r="J65">
            <v>31</v>
          </cell>
          <cell r="K65">
            <v>7</v>
          </cell>
          <cell r="L65">
            <v>2</v>
          </cell>
        </row>
        <row r="66">
          <cell r="A66" t="str">
            <v>OO2EWP07200</v>
          </cell>
          <cell r="B66" t="str">
            <v>配件</v>
          </cell>
          <cell r="C66" t="str">
            <v>水泵</v>
          </cell>
          <cell r="D66">
            <v>1</v>
          </cell>
        </row>
        <row r="66">
          <cell r="F66" t="str">
            <v>B</v>
          </cell>
          <cell r="G66" t="str">
            <v>李莉玲</v>
          </cell>
          <cell r="H66">
            <v>19</v>
          </cell>
          <cell r="I66">
            <v>0</v>
          </cell>
          <cell r="J66">
            <v>9</v>
          </cell>
          <cell r="K66">
            <v>9</v>
          </cell>
          <cell r="L66">
            <v>38</v>
          </cell>
        </row>
        <row r="67">
          <cell r="A67" t="str">
            <v>OO2EWP10900</v>
          </cell>
          <cell r="B67" t="str">
            <v>配件</v>
          </cell>
          <cell r="C67" t="str">
            <v>水泵</v>
          </cell>
          <cell r="D67">
            <v>1</v>
          </cell>
        </row>
        <row r="67">
          <cell r="F67" t="str">
            <v>C</v>
          </cell>
          <cell r="G67" t="str">
            <v>李莉玲</v>
          </cell>
          <cell r="H67">
            <v>16</v>
          </cell>
          <cell r="I67">
            <v>0</v>
          </cell>
          <cell r="J67">
            <v>26</v>
          </cell>
          <cell r="K67">
            <v>5</v>
          </cell>
          <cell r="L67">
            <v>28</v>
          </cell>
        </row>
        <row r="68">
          <cell r="A68" t="str">
            <v>OO2EWP00900</v>
          </cell>
          <cell r="B68" t="str">
            <v>配件</v>
          </cell>
          <cell r="C68" t="str">
            <v>水泵</v>
          </cell>
          <cell r="D68">
            <v>1</v>
          </cell>
        </row>
        <row r="68">
          <cell r="F68" t="str">
            <v>C</v>
          </cell>
          <cell r="G68" t="str">
            <v>李莉玲</v>
          </cell>
          <cell r="H68">
            <v>0</v>
          </cell>
          <cell r="I68">
            <v>0</v>
          </cell>
          <cell r="J68">
            <v>21</v>
          </cell>
          <cell r="K68">
            <v>6</v>
          </cell>
          <cell r="L68">
            <v>47</v>
          </cell>
        </row>
        <row r="69">
          <cell r="A69" t="str">
            <v>OO2EWP04800</v>
          </cell>
          <cell r="B69" t="str">
            <v>配件</v>
          </cell>
          <cell r="C69" t="str">
            <v>水泵</v>
          </cell>
          <cell r="D69">
            <v>1</v>
          </cell>
        </row>
        <row r="69">
          <cell r="F69" t="str">
            <v>B</v>
          </cell>
          <cell r="G69" t="str">
            <v>李莉玲</v>
          </cell>
          <cell r="H69">
            <v>2</v>
          </cell>
          <cell r="I69">
            <v>0</v>
          </cell>
          <cell r="J69">
            <v>6</v>
          </cell>
          <cell r="K69">
            <v>28</v>
          </cell>
          <cell r="L69">
            <v>38</v>
          </cell>
        </row>
        <row r="70">
          <cell r="A70" t="str">
            <v>OO2EWP03600</v>
          </cell>
          <cell r="B70" t="str">
            <v>配件</v>
          </cell>
          <cell r="C70" t="str">
            <v>水泵</v>
          </cell>
          <cell r="D70">
            <v>1</v>
          </cell>
        </row>
        <row r="70">
          <cell r="F70" t="str">
            <v>B</v>
          </cell>
          <cell r="G70" t="str">
            <v>李莉玲</v>
          </cell>
          <cell r="H70">
            <v>0</v>
          </cell>
          <cell r="I70">
            <v>0</v>
          </cell>
          <cell r="J70">
            <v>23</v>
          </cell>
          <cell r="K70">
            <v>38</v>
          </cell>
          <cell r="L70">
            <v>12</v>
          </cell>
        </row>
        <row r="71">
          <cell r="A71" t="str">
            <v>OO2EWP08600</v>
          </cell>
          <cell r="B71" t="str">
            <v>配件</v>
          </cell>
          <cell r="C71" t="str">
            <v>水泵</v>
          </cell>
          <cell r="D71">
            <v>1</v>
          </cell>
        </row>
        <row r="71">
          <cell r="F71" t="str">
            <v>A</v>
          </cell>
          <cell r="G71" t="str">
            <v>李莉玲</v>
          </cell>
          <cell r="H71">
            <v>19</v>
          </cell>
          <cell r="I71">
            <v>2</v>
          </cell>
          <cell r="J71">
            <v>20</v>
          </cell>
          <cell r="K71">
            <v>10</v>
          </cell>
          <cell r="L71">
            <v>22</v>
          </cell>
        </row>
        <row r="72">
          <cell r="A72" t="str">
            <v>OO2EWP07000</v>
          </cell>
          <cell r="B72" t="str">
            <v>配件</v>
          </cell>
          <cell r="C72" t="str">
            <v>水泵</v>
          </cell>
          <cell r="D72">
            <v>1</v>
          </cell>
        </row>
        <row r="72">
          <cell r="F72" t="str">
            <v>B</v>
          </cell>
          <cell r="G72" t="str">
            <v>李莉玲</v>
          </cell>
          <cell r="H72">
            <v>28</v>
          </cell>
          <cell r="I72">
            <v>0</v>
          </cell>
          <cell r="J72">
            <v>5</v>
          </cell>
          <cell r="K72">
            <v>13</v>
          </cell>
          <cell r="L72">
            <v>27</v>
          </cell>
        </row>
        <row r="73">
          <cell r="A73" t="str">
            <v>OO2EWP08500</v>
          </cell>
          <cell r="B73" t="str">
            <v>配件</v>
          </cell>
          <cell r="C73" t="str">
            <v>水泵</v>
          </cell>
          <cell r="D73">
            <v>1</v>
          </cell>
        </row>
        <row r="73">
          <cell r="F73" t="str">
            <v>B</v>
          </cell>
          <cell r="G73" t="str">
            <v>李莉玲</v>
          </cell>
          <cell r="H73">
            <v>20</v>
          </cell>
          <cell r="I73">
            <v>1</v>
          </cell>
          <cell r="J73">
            <v>18</v>
          </cell>
          <cell r="K73">
            <v>0</v>
          </cell>
          <cell r="L73">
            <v>33</v>
          </cell>
        </row>
        <row r="74">
          <cell r="A74" t="str">
            <v>ZC2CLK03000</v>
          </cell>
          <cell r="B74" t="str">
            <v>配件</v>
          </cell>
          <cell r="C74" t="str">
            <v>水泵</v>
          </cell>
          <cell r="D74">
            <v>1</v>
          </cell>
        </row>
        <row r="74">
          <cell r="F74" t="str">
            <v>B</v>
          </cell>
          <cell r="G74" t="str">
            <v>李莉玲</v>
          </cell>
          <cell r="H74">
            <v>0</v>
          </cell>
          <cell r="I74">
            <v>0</v>
          </cell>
          <cell r="J74">
            <v>17</v>
          </cell>
          <cell r="K74">
            <v>20</v>
          </cell>
          <cell r="L74">
            <v>34</v>
          </cell>
        </row>
        <row r="75">
          <cell r="A75" t="str">
            <v>OO2EWP02600</v>
          </cell>
          <cell r="B75" t="str">
            <v>配件</v>
          </cell>
          <cell r="C75" t="str">
            <v>水泵</v>
          </cell>
          <cell r="D75">
            <v>1</v>
          </cell>
        </row>
        <row r="75">
          <cell r="F75" t="str">
            <v>B</v>
          </cell>
          <cell r="G75" t="str">
            <v>李莉玲</v>
          </cell>
          <cell r="H75">
            <v>28</v>
          </cell>
          <cell r="I75">
            <v>0</v>
          </cell>
          <cell r="J75">
            <v>1</v>
          </cell>
          <cell r="K75">
            <v>28</v>
          </cell>
          <cell r="L75">
            <v>14</v>
          </cell>
        </row>
        <row r="76">
          <cell r="A76" t="str">
            <v>OO2EWP03200</v>
          </cell>
          <cell r="B76" t="str">
            <v>配件</v>
          </cell>
          <cell r="C76" t="str">
            <v>水泵</v>
          </cell>
          <cell r="D76">
            <v>1</v>
          </cell>
        </row>
        <row r="76">
          <cell r="F76" t="str">
            <v>C</v>
          </cell>
          <cell r="G76" t="str">
            <v>李莉玲</v>
          </cell>
          <cell r="H76">
            <v>0</v>
          </cell>
          <cell r="I76">
            <v>0</v>
          </cell>
          <cell r="J76">
            <v>11</v>
          </cell>
          <cell r="K76">
            <v>5</v>
          </cell>
          <cell r="L76">
            <v>55</v>
          </cell>
        </row>
        <row r="77">
          <cell r="A77" t="str">
            <v>KC2EWP23200</v>
          </cell>
          <cell r="B77" t="str">
            <v>配件</v>
          </cell>
          <cell r="C77" t="str">
            <v>水泵</v>
          </cell>
          <cell r="D77">
            <v>1</v>
          </cell>
        </row>
        <row r="77">
          <cell r="F77" t="str">
            <v>推新</v>
          </cell>
          <cell r="G77" t="str">
            <v>李莉玲</v>
          </cell>
          <cell r="H77">
            <v>17</v>
          </cell>
          <cell r="I77">
            <v>0</v>
          </cell>
          <cell r="J77">
            <v>0</v>
          </cell>
          <cell r="K77">
            <v>0</v>
          </cell>
          <cell r="L77">
            <v>53</v>
          </cell>
        </row>
        <row r="78">
          <cell r="A78" t="str">
            <v>OO2EWP12800</v>
          </cell>
          <cell r="B78" t="str">
            <v>配件</v>
          </cell>
          <cell r="C78" t="str">
            <v>水泵</v>
          </cell>
          <cell r="D78">
            <v>1</v>
          </cell>
        </row>
        <row r="78">
          <cell r="F78" t="str">
            <v>C</v>
          </cell>
          <cell r="G78" t="str">
            <v>李莉玲</v>
          </cell>
          <cell r="H78">
            <v>7</v>
          </cell>
          <cell r="I78">
            <v>15</v>
          </cell>
          <cell r="J78">
            <v>13</v>
          </cell>
          <cell r="K78">
            <v>11</v>
          </cell>
          <cell r="L78">
            <v>24</v>
          </cell>
        </row>
        <row r="79">
          <cell r="A79" t="str">
            <v>ZC2CLK04100</v>
          </cell>
          <cell r="B79" t="str">
            <v>配件</v>
          </cell>
          <cell r="C79" t="str">
            <v>水泵</v>
          </cell>
          <cell r="D79">
            <v>1</v>
          </cell>
        </row>
        <row r="79">
          <cell r="F79" t="str">
            <v>B</v>
          </cell>
          <cell r="G79" t="str">
            <v>李莉玲</v>
          </cell>
          <cell r="H79">
            <v>14</v>
          </cell>
          <cell r="I79">
            <v>3</v>
          </cell>
          <cell r="J79">
            <v>9</v>
          </cell>
          <cell r="K79">
            <v>12</v>
          </cell>
          <cell r="L79">
            <v>32</v>
          </cell>
        </row>
        <row r="80">
          <cell r="A80" t="str">
            <v>OO2EWP09800</v>
          </cell>
          <cell r="B80" t="str">
            <v>配件</v>
          </cell>
          <cell r="C80" t="str">
            <v>水泵</v>
          </cell>
          <cell r="D80">
            <v>1</v>
          </cell>
        </row>
        <row r="80">
          <cell r="F80" t="str">
            <v>B</v>
          </cell>
          <cell r="G80" t="str">
            <v>李莉玲</v>
          </cell>
          <cell r="H80">
            <v>28</v>
          </cell>
          <cell r="I80">
            <v>0</v>
          </cell>
          <cell r="J80">
            <v>21</v>
          </cell>
          <cell r="K80">
            <v>10</v>
          </cell>
          <cell r="L80">
            <v>10</v>
          </cell>
        </row>
        <row r="81">
          <cell r="A81" t="str">
            <v>OO2EWP11100</v>
          </cell>
          <cell r="B81" t="str">
            <v>配件</v>
          </cell>
          <cell r="C81" t="str">
            <v>水泵</v>
          </cell>
          <cell r="D81">
            <v>1</v>
          </cell>
        </row>
        <row r="81">
          <cell r="F81" t="str">
            <v>B</v>
          </cell>
          <cell r="G81" t="str">
            <v>李莉玲</v>
          </cell>
          <cell r="H81">
            <v>18</v>
          </cell>
          <cell r="I81">
            <v>0</v>
          </cell>
          <cell r="J81">
            <v>24</v>
          </cell>
          <cell r="K81">
            <v>10</v>
          </cell>
          <cell r="L81">
            <v>14</v>
          </cell>
        </row>
        <row r="82">
          <cell r="A82" t="str">
            <v>OO2EWP11800</v>
          </cell>
          <cell r="B82" t="str">
            <v>配件</v>
          </cell>
          <cell r="C82" t="str">
            <v>水泵</v>
          </cell>
          <cell r="D82">
            <v>1</v>
          </cell>
        </row>
        <row r="82">
          <cell r="F82" t="str">
            <v>B</v>
          </cell>
          <cell r="G82" t="str">
            <v>李莉玲</v>
          </cell>
          <cell r="H82">
            <v>3</v>
          </cell>
          <cell r="I82">
            <v>0</v>
          </cell>
          <cell r="J82">
            <v>3</v>
          </cell>
          <cell r="K82">
            <v>2</v>
          </cell>
          <cell r="L82">
            <v>58</v>
          </cell>
        </row>
        <row r="83">
          <cell r="A83" t="str">
            <v>KC2EWP22000</v>
          </cell>
          <cell r="B83" t="str">
            <v>配件</v>
          </cell>
          <cell r="C83" t="str">
            <v>水泵</v>
          </cell>
          <cell r="D83">
            <v>1</v>
          </cell>
        </row>
        <row r="83">
          <cell r="F83" t="str">
            <v>推新</v>
          </cell>
          <cell r="G83" t="str">
            <v>李莉玲</v>
          </cell>
          <cell r="H83">
            <v>6</v>
          </cell>
          <cell r="I83">
            <v>3</v>
          </cell>
          <cell r="J83">
            <v>34</v>
          </cell>
          <cell r="K83">
            <v>14</v>
          </cell>
          <cell r="L83">
            <v>9</v>
          </cell>
        </row>
        <row r="84">
          <cell r="A84" t="str">
            <v>KC2EWP13700</v>
          </cell>
          <cell r="B84" t="str">
            <v>配件</v>
          </cell>
          <cell r="C84" t="str">
            <v>水泵</v>
          </cell>
          <cell r="D84">
            <v>1</v>
          </cell>
        </row>
        <row r="84">
          <cell r="F84" t="str">
            <v>推新</v>
          </cell>
          <cell r="G84" t="str">
            <v>李莉玲</v>
          </cell>
          <cell r="H84">
            <v>0</v>
          </cell>
          <cell r="I84">
            <v>0</v>
          </cell>
          <cell r="J84">
            <v>20</v>
          </cell>
          <cell r="K84">
            <v>12</v>
          </cell>
          <cell r="L84">
            <v>33</v>
          </cell>
        </row>
        <row r="85">
          <cell r="A85" t="str">
            <v>OO2EWP09700</v>
          </cell>
          <cell r="B85" t="str">
            <v>配件</v>
          </cell>
          <cell r="C85" t="str">
            <v>水泵</v>
          </cell>
          <cell r="D85">
            <v>1</v>
          </cell>
        </row>
        <row r="85">
          <cell r="F85" t="str">
            <v>C</v>
          </cell>
          <cell r="G85" t="str">
            <v>李莉玲</v>
          </cell>
          <cell r="H85">
            <v>15</v>
          </cell>
          <cell r="I85">
            <v>15</v>
          </cell>
          <cell r="J85">
            <v>34</v>
          </cell>
          <cell r="K85">
            <v>0</v>
          </cell>
          <cell r="L85">
            <v>0</v>
          </cell>
        </row>
        <row r="86">
          <cell r="A86" t="str">
            <v>KC2EWP20400</v>
          </cell>
          <cell r="B86" t="str">
            <v>配件</v>
          </cell>
          <cell r="C86" t="str">
            <v>水泵</v>
          </cell>
          <cell r="D86">
            <v>1</v>
          </cell>
        </row>
        <row r="86">
          <cell r="F86" t="str">
            <v>推新</v>
          </cell>
          <cell r="G86" t="str">
            <v>李莉玲</v>
          </cell>
          <cell r="H86">
            <v>0</v>
          </cell>
          <cell r="I86">
            <v>0</v>
          </cell>
          <cell r="J86">
            <v>18</v>
          </cell>
          <cell r="K86">
            <v>19</v>
          </cell>
          <cell r="L86">
            <v>25</v>
          </cell>
        </row>
        <row r="87">
          <cell r="A87" t="str">
            <v>KC2EWP17900</v>
          </cell>
          <cell r="B87" t="str">
            <v>配件</v>
          </cell>
          <cell r="C87" t="str">
            <v>水泵</v>
          </cell>
          <cell r="D87">
            <v>1</v>
          </cell>
        </row>
        <row r="87">
          <cell r="F87" t="str">
            <v>推新</v>
          </cell>
          <cell r="G87" t="str">
            <v>李莉玲</v>
          </cell>
          <cell r="H87">
            <v>0</v>
          </cell>
          <cell r="I87">
            <v>0</v>
          </cell>
          <cell r="J87">
            <v>21</v>
          </cell>
          <cell r="K87">
            <v>40</v>
          </cell>
          <cell r="L87">
            <v>1</v>
          </cell>
        </row>
        <row r="88">
          <cell r="A88" t="str">
            <v>OO2EWP02100</v>
          </cell>
          <cell r="B88" t="str">
            <v>配件</v>
          </cell>
          <cell r="C88" t="str">
            <v>水泵</v>
          </cell>
          <cell r="D88">
            <v>1</v>
          </cell>
        </row>
        <row r="88">
          <cell r="F88" t="str">
            <v>B</v>
          </cell>
          <cell r="G88" t="str">
            <v>李莉玲</v>
          </cell>
          <cell r="H88">
            <v>3</v>
          </cell>
          <cell r="I88">
            <v>0</v>
          </cell>
          <cell r="J88">
            <v>16</v>
          </cell>
          <cell r="K88">
            <v>8</v>
          </cell>
          <cell r="L88">
            <v>35</v>
          </cell>
        </row>
        <row r="89">
          <cell r="A89" t="str">
            <v>OO2EWP09600</v>
          </cell>
          <cell r="B89" t="str">
            <v>配件</v>
          </cell>
          <cell r="C89" t="str">
            <v>水泵</v>
          </cell>
          <cell r="D89">
            <v>1</v>
          </cell>
        </row>
        <row r="89">
          <cell r="F89" t="str">
            <v>B</v>
          </cell>
          <cell r="G89" t="str">
            <v>李莉玲</v>
          </cell>
          <cell r="H89">
            <v>3</v>
          </cell>
          <cell r="I89">
            <v>2</v>
          </cell>
          <cell r="J89">
            <v>12</v>
          </cell>
          <cell r="K89">
            <v>6</v>
          </cell>
          <cell r="L89">
            <v>39</v>
          </cell>
        </row>
        <row r="90">
          <cell r="A90" t="str">
            <v>OO2EWP09400</v>
          </cell>
          <cell r="B90" t="str">
            <v>配件</v>
          </cell>
          <cell r="C90" t="str">
            <v>水泵</v>
          </cell>
          <cell r="D90">
            <v>1</v>
          </cell>
        </row>
        <row r="90">
          <cell r="F90" t="str">
            <v>C</v>
          </cell>
          <cell r="G90" t="str">
            <v>李莉玲</v>
          </cell>
          <cell r="H90">
            <v>19</v>
          </cell>
          <cell r="I90">
            <v>0</v>
          </cell>
          <cell r="J90">
            <v>17</v>
          </cell>
          <cell r="K90">
            <v>1</v>
          </cell>
          <cell r="L90">
            <v>24</v>
          </cell>
        </row>
        <row r="91">
          <cell r="A91" t="str">
            <v>OO2EWP00300</v>
          </cell>
          <cell r="B91" t="str">
            <v>配件</v>
          </cell>
          <cell r="C91" t="str">
            <v>水泵</v>
          </cell>
          <cell r="D91">
            <v>1</v>
          </cell>
        </row>
        <row r="91">
          <cell r="F91" t="str">
            <v>D</v>
          </cell>
          <cell r="G91" t="str">
            <v>李莉玲</v>
          </cell>
          <cell r="H91">
            <v>1</v>
          </cell>
          <cell r="I91">
            <v>0</v>
          </cell>
          <cell r="J91">
            <v>1</v>
          </cell>
          <cell r="K91">
            <v>4</v>
          </cell>
          <cell r="L91">
            <v>54</v>
          </cell>
        </row>
        <row r="92">
          <cell r="A92" t="str">
            <v>OO2EWP10500</v>
          </cell>
          <cell r="B92" t="str">
            <v>配件</v>
          </cell>
          <cell r="C92" t="str">
            <v>水泵</v>
          </cell>
          <cell r="D92">
            <v>1</v>
          </cell>
        </row>
        <row r="92">
          <cell r="F92" t="str">
            <v>C</v>
          </cell>
          <cell r="G92" t="str">
            <v>李莉玲</v>
          </cell>
          <cell r="H92">
            <v>0</v>
          </cell>
          <cell r="I92">
            <v>0</v>
          </cell>
          <cell r="J92">
            <v>11</v>
          </cell>
          <cell r="K92">
            <v>6</v>
          </cell>
          <cell r="L92">
            <v>42</v>
          </cell>
        </row>
        <row r="93">
          <cell r="A93" t="str">
            <v>KC2EWP14100</v>
          </cell>
          <cell r="B93" t="str">
            <v>配件</v>
          </cell>
          <cell r="C93" t="str">
            <v>水泵</v>
          </cell>
          <cell r="D93">
            <v>1</v>
          </cell>
        </row>
        <row r="93">
          <cell r="F93" t="str">
            <v>推新</v>
          </cell>
          <cell r="G93" t="str">
            <v>李莉玲</v>
          </cell>
          <cell r="H93">
            <v>0</v>
          </cell>
          <cell r="I93">
            <v>0</v>
          </cell>
          <cell r="J93">
            <v>8</v>
          </cell>
          <cell r="K93">
            <v>9</v>
          </cell>
          <cell r="L93">
            <v>42</v>
          </cell>
        </row>
        <row r="94">
          <cell r="A94" t="str">
            <v>OO2EWP02700</v>
          </cell>
          <cell r="B94" t="str">
            <v>配件</v>
          </cell>
          <cell r="C94" t="str">
            <v>水泵</v>
          </cell>
          <cell r="D94">
            <v>1</v>
          </cell>
        </row>
        <row r="94">
          <cell r="F94" t="str">
            <v>B</v>
          </cell>
          <cell r="G94" t="str">
            <v>李莉玲</v>
          </cell>
          <cell r="H94">
            <v>15</v>
          </cell>
          <cell r="I94">
            <v>0</v>
          </cell>
          <cell r="J94">
            <v>26</v>
          </cell>
          <cell r="K94">
            <v>10</v>
          </cell>
          <cell r="L94">
            <v>8</v>
          </cell>
        </row>
        <row r="95">
          <cell r="A95" t="str">
            <v>OO2EWP01200</v>
          </cell>
          <cell r="B95" t="str">
            <v>配件</v>
          </cell>
          <cell r="C95" t="str">
            <v>水泵</v>
          </cell>
          <cell r="D95">
            <v>1</v>
          </cell>
        </row>
        <row r="95">
          <cell r="F95" t="str">
            <v>B</v>
          </cell>
          <cell r="G95" t="str">
            <v>李莉玲</v>
          </cell>
          <cell r="H95">
            <v>0</v>
          </cell>
          <cell r="I95">
            <v>0</v>
          </cell>
          <cell r="J95">
            <v>27</v>
          </cell>
          <cell r="K95">
            <v>30</v>
          </cell>
          <cell r="L95">
            <v>0</v>
          </cell>
        </row>
        <row r="96">
          <cell r="A96" t="str">
            <v>ZC2CLK02000</v>
          </cell>
          <cell r="B96" t="str">
            <v>配件</v>
          </cell>
          <cell r="C96" t="str">
            <v>水泵</v>
          </cell>
          <cell r="D96">
            <v>1</v>
          </cell>
        </row>
        <row r="96">
          <cell r="F96" t="str">
            <v>C</v>
          </cell>
          <cell r="G96" t="str">
            <v>李莉玲</v>
          </cell>
          <cell r="H96">
            <v>1</v>
          </cell>
          <cell r="I96">
            <v>1</v>
          </cell>
          <cell r="J96">
            <v>14</v>
          </cell>
          <cell r="K96">
            <v>10</v>
          </cell>
          <cell r="L96">
            <v>31</v>
          </cell>
        </row>
        <row r="97">
          <cell r="A97" t="str">
            <v>KC2EWP26400</v>
          </cell>
          <cell r="B97" t="str">
            <v>配件</v>
          </cell>
          <cell r="C97" t="str">
            <v>水泵</v>
          </cell>
          <cell r="D97">
            <v>1</v>
          </cell>
        </row>
        <row r="97">
          <cell r="F97" t="str">
            <v>推新</v>
          </cell>
          <cell r="G97" t="str">
            <v>李莉玲</v>
          </cell>
          <cell r="H97">
            <v>0</v>
          </cell>
          <cell r="I97">
            <v>15</v>
          </cell>
          <cell r="J97">
            <v>13</v>
          </cell>
          <cell r="K97">
            <v>14</v>
          </cell>
          <cell r="L97">
            <v>12</v>
          </cell>
        </row>
        <row r="98">
          <cell r="A98" t="str">
            <v>OO2EWP03100</v>
          </cell>
          <cell r="B98" t="str">
            <v>配件</v>
          </cell>
          <cell r="C98" t="str">
            <v>水泵</v>
          </cell>
          <cell r="D98">
            <v>1</v>
          </cell>
        </row>
        <row r="98">
          <cell r="F98" t="str">
            <v>B</v>
          </cell>
          <cell r="G98" t="str">
            <v>李莉玲</v>
          </cell>
          <cell r="H98">
            <v>8</v>
          </cell>
          <cell r="I98">
            <v>0</v>
          </cell>
          <cell r="J98">
            <v>10</v>
          </cell>
          <cell r="K98">
            <v>23</v>
          </cell>
          <cell r="L98">
            <v>12</v>
          </cell>
        </row>
        <row r="99">
          <cell r="A99" t="str">
            <v>KC2EWP24900</v>
          </cell>
          <cell r="B99" t="str">
            <v>配件</v>
          </cell>
          <cell r="C99" t="str">
            <v>水泵</v>
          </cell>
          <cell r="D99">
            <v>1</v>
          </cell>
        </row>
        <row r="99">
          <cell r="F99" t="str">
            <v>推新</v>
          </cell>
          <cell r="G99" t="str">
            <v>李莉玲</v>
          </cell>
          <cell r="H99">
            <v>5</v>
          </cell>
          <cell r="I99">
            <v>15</v>
          </cell>
          <cell r="J99">
            <v>5</v>
          </cell>
          <cell r="K99">
            <v>2</v>
          </cell>
          <cell r="L99">
            <v>26</v>
          </cell>
        </row>
        <row r="100">
          <cell r="A100" t="str">
            <v>OO2EWP05400</v>
          </cell>
          <cell r="B100" t="str">
            <v>配件</v>
          </cell>
          <cell r="C100" t="str">
            <v>水泵</v>
          </cell>
          <cell r="D100">
            <v>1</v>
          </cell>
        </row>
        <row r="100">
          <cell r="F100" t="str">
            <v>C</v>
          </cell>
          <cell r="G100" t="str">
            <v>李莉玲</v>
          </cell>
          <cell r="H100">
            <v>14</v>
          </cell>
          <cell r="I100">
            <v>0</v>
          </cell>
          <cell r="J100">
            <v>8</v>
          </cell>
          <cell r="K100">
            <v>8</v>
          </cell>
          <cell r="L100">
            <v>23</v>
          </cell>
        </row>
        <row r="101">
          <cell r="A101" t="str">
            <v>OO2EWP06800</v>
          </cell>
          <cell r="B101" t="str">
            <v>配件</v>
          </cell>
          <cell r="C101" t="str">
            <v>水泵</v>
          </cell>
          <cell r="D101">
            <v>1</v>
          </cell>
        </row>
        <row r="101">
          <cell r="F101" t="str">
            <v>A</v>
          </cell>
          <cell r="G101" t="str">
            <v>李莉玲</v>
          </cell>
          <cell r="H101">
            <v>15</v>
          </cell>
          <cell r="I101">
            <v>0</v>
          </cell>
          <cell r="J101">
            <v>8</v>
          </cell>
          <cell r="K101">
            <v>12</v>
          </cell>
          <cell r="L101">
            <v>17</v>
          </cell>
        </row>
        <row r="102">
          <cell r="A102" t="str">
            <v>OO2EWP11900</v>
          </cell>
          <cell r="B102" t="str">
            <v>配件</v>
          </cell>
          <cell r="C102" t="str">
            <v>水泵</v>
          </cell>
          <cell r="D102">
            <v>1</v>
          </cell>
        </row>
        <row r="102">
          <cell r="F102" t="str">
            <v>B</v>
          </cell>
          <cell r="G102" t="str">
            <v>李莉玲</v>
          </cell>
          <cell r="H102">
            <v>7</v>
          </cell>
          <cell r="I102">
            <v>0</v>
          </cell>
          <cell r="J102">
            <v>1</v>
          </cell>
          <cell r="K102">
            <v>22</v>
          </cell>
          <cell r="L102">
            <v>21</v>
          </cell>
        </row>
        <row r="103">
          <cell r="A103" t="str">
            <v>KC2EWP22700</v>
          </cell>
          <cell r="B103" t="str">
            <v>配件</v>
          </cell>
          <cell r="C103" t="str">
            <v>水泵</v>
          </cell>
          <cell r="D103">
            <v>1</v>
          </cell>
        </row>
        <row r="103">
          <cell r="F103" t="str">
            <v>推新</v>
          </cell>
          <cell r="G103" t="str">
            <v>李莉玲</v>
          </cell>
          <cell r="H103">
            <v>0</v>
          </cell>
          <cell r="I103">
            <v>0</v>
          </cell>
          <cell r="J103">
            <v>30</v>
          </cell>
          <cell r="K103">
            <v>0</v>
          </cell>
          <cell r="L103">
            <v>21</v>
          </cell>
        </row>
        <row r="104">
          <cell r="A104" t="str">
            <v>OO2EWP04400</v>
          </cell>
          <cell r="B104" t="str">
            <v>配件</v>
          </cell>
          <cell r="C104" t="str">
            <v>水泵</v>
          </cell>
          <cell r="D104">
            <v>1</v>
          </cell>
        </row>
        <row r="104">
          <cell r="F104" t="str">
            <v>B</v>
          </cell>
          <cell r="G104" t="str">
            <v>李莉玲</v>
          </cell>
          <cell r="H104">
            <v>19</v>
          </cell>
          <cell r="I104">
            <v>0</v>
          </cell>
          <cell r="J104">
            <v>8</v>
          </cell>
          <cell r="K104">
            <v>24</v>
          </cell>
          <cell r="L104">
            <v>0</v>
          </cell>
        </row>
        <row r="105">
          <cell r="A105" t="str">
            <v>OO2EWP11000</v>
          </cell>
          <cell r="B105" t="str">
            <v>配件</v>
          </cell>
          <cell r="C105" t="str">
            <v>水泵</v>
          </cell>
          <cell r="D105">
            <v>1</v>
          </cell>
        </row>
        <row r="105">
          <cell r="F105" t="str">
            <v>C</v>
          </cell>
          <cell r="G105" t="str">
            <v>李莉玲</v>
          </cell>
          <cell r="H105">
            <v>21</v>
          </cell>
          <cell r="I105">
            <v>0</v>
          </cell>
          <cell r="J105">
            <v>8</v>
          </cell>
          <cell r="K105">
            <v>0</v>
          </cell>
          <cell r="L105">
            <v>21</v>
          </cell>
        </row>
        <row r="106">
          <cell r="A106" t="str">
            <v>OO2EWP10300</v>
          </cell>
          <cell r="B106" t="str">
            <v>配件</v>
          </cell>
          <cell r="C106" t="str">
            <v>水泵</v>
          </cell>
          <cell r="D106">
            <v>1</v>
          </cell>
        </row>
        <row r="106">
          <cell r="F106" t="str">
            <v>C</v>
          </cell>
          <cell r="G106" t="str">
            <v>李莉玲</v>
          </cell>
          <cell r="H106">
            <v>10</v>
          </cell>
          <cell r="I106">
            <v>3</v>
          </cell>
          <cell r="J106">
            <v>15</v>
          </cell>
          <cell r="K106">
            <v>0</v>
          </cell>
          <cell r="L106">
            <v>22</v>
          </cell>
        </row>
        <row r="107">
          <cell r="A107" t="str">
            <v>OO2EWP03400</v>
          </cell>
          <cell r="B107" t="str">
            <v>配件</v>
          </cell>
          <cell r="C107" t="str">
            <v>水泵</v>
          </cell>
          <cell r="D107">
            <v>1</v>
          </cell>
        </row>
        <row r="107">
          <cell r="F107" t="str">
            <v>B</v>
          </cell>
          <cell r="G107" t="str">
            <v>李莉玲</v>
          </cell>
          <cell r="H107">
            <v>9</v>
          </cell>
          <cell r="I107">
            <v>1</v>
          </cell>
          <cell r="J107">
            <v>20</v>
          </cell>
          <cell r="K107">
            <v>3</v>
          </cell>
          <cell r="L107">
            <v>17</v>
          </cell>
        </row>
        <row r="108">
          <cell r="A108" t="str">
            <v>ZC2CLK02900</v>
          </cell>
          <cell r="B108" t="str">
            <v>配件</v>
          </cell>
          <cell r="C108" t="str">
            <v>水泵</v>
          </cell>
          <cell r="D108">
            <v>1</v>
          </cell>
        </row>
        <row r="108">
          <cell r="F108" t="str">
            <v>A</v>
          </cell>
          <cell r="G108" t="str">
            <v>李莉玲</v>
          </cell>
          <cell r="H108">
            <v>11</v>
          </cell>
          <cell r="I108">
            <v>21</v>
          </cell>
          <cell r="J108">
            <v>11</v>
          </cell>
          <cell r="K108">
            <v>6</v>
          </cell>
          <cell r="L108">
            <v>0</v>
          </cell>
        </row>
        <row r="109">
          <cell r="A109" t="str">
            <v>KC2EWP13300</v>
          </cell>
          <cell r="B109" t="str">
            <v>配件</v>
          </cell>
          <cell r="C109" t="str">
            <v>水泵</v>
          </cell>
          <cell r="D109">
            <v>1</v>
          </cell>
        </row>
        <row r="109">
          <cell r="F109" t="str">
            <v>推新</v>
          </cell>
          <cell r="G109" t="str">
            <v>李莉玲</v>
          </cell>
          <cell r="H109">
            <v>0</v>
          </cell>
          <cell r="I109">
            <v>0</v>
          </cell>
          <cell r="J109">
            <v>12</v>
          </cell>
          <cell r="K109">
            <v>7</v>
          </cell>
          <cell r="L109">
            <v>29</v>
          </cell>
        </row>
        <row r="110">
          <cell r="A110" t="str">
            <v>KC2EWP16700</v>
          </cell>
          <cell r="B110" t="str">
            <v>配件</v>
          </cell>
          <cell r="C110" t="str">
            <v>水泵</v>
          </cell>
          <cell r="D110">
            <v>1</v>
          </cell>
        </row>
        <row r="110">
          <cell r="F110" t="str">
            <v>推新</v>
          </cell>
          <cell r="G110" t="str">
            <v>李莉玲</v>
          </cell>
          <cell r="H110">
            <v>16</v>
          </cell>
          <cell r="I110">
            <v>16</v>
          </cell>
          <cell r="J110">
            <v>7</v>
          </cell>
          <cell r="K110">
            <v>7</v>
          </cell>
          <cell r="L110">
            <v>2</v>
          </cell>
        </row>
        <row r="111">
          <cell r="A111" t="str">
            <v>KC2EWP27200</v>
          </cell>
          <cell r="B111" t="str">
            <v>配件</v>
          </cell>
          <cell r="C111" t="str">
            <v>水泵</v>
          </cell>
          <cell r="D111">
            <v>1</v>
          </cell>
        </row>
        <row r="111">
          <cell r="F111" t="str">
            <v>推新</v>
          </cell>
          <cell r="G111" t="str">
            <v>李莉玲</v>
          </cell>
          <cell r="H111">
            <v>5</v>
          </cell>
          <cell r="I111">
            <v>18</v>
          </cell>
          <cell r="J111">
            <v>16</v>
          </cell>
          <cell r="K111">
            <v>7</v>
          </cell>
          <cell r="L111">
            <v>1</v>
          </cell>
        </row>
        <row r="112">
          <cell r="A112" t="str">
            <v>KC2EWP25400</v>
          </cell>
          <cell r="B112" t="str">
            <v>配件</v>
          </cell>
          <cell r="C112" t="str">
            <v>水泵</v>
          </cell>
          <cell r="D112">
            <v>1</v>
          </cell>
        </row>
        <row r="112">
          <cell r="F112" t="str">
            <v>推新</v>
          </cell>
          <cell r="G112" t="str">
            <v>李莉玲</v>
          </cell>
          <cell r="H112">
            <v>0</v>
          </cell>
          <cell r="I112">
            <v>0</v>
          </cell>
          <cell r="J112">
            <v>22</v>
          </cell>
          <cell r="K112">
            <v>3</v>
          </cell>
          <cell r="L112">
            <v>21</v>
          </cell>
        </row>
        <row r="113">
          <cell r="A113" t="str">
            <v>OO2EWP05100</v>
          </cell>
          <cell r="B113" t="str">
            <v>配件</v>
          </cell>
          <cell r="C113" t="str">
            <v>水泵</v>
          </cell>
          <cell r="D113">
            <v>1</v>
          </cell>
        </row>
        <row r="113">
          <cell r="F113" t="str">
            <v>B</v>
          </cell>
          <cell r="G113" t="str">
            <v>李莉玲</v>
          </cell>
          <cell r="H113">
            <v>5</v>
          </cell>
          <cell r="I113">
            <v>0</v>
          </cell>
          <cell r="J113">
            <v>5</v>
          </cell>
          <cell r="K113">
            <v>0</v>
          </cell>
          <cell r="L113">
            <v>36</v>
          </cell>
        </row>
        <row r="114">
          <cell r="A114" t="str">
            <v>KC2EWP15500</v>
          </cell>
          <cell r="B114" t="str">
            <v>配件</v>
          </cell>
          <cell r="C114" t="str">
            <v>水泵</v>
          </cell>
          <cell r="D114">
            <v>1</v>
          </cell>
        </row>
        <row r="114">
          <cell r="F114" t="str">
            <v>推新</v>
          </cell>
          <cell r="G114" t="str">
            <v>李莉玲</v>
          </cell>
          <cell r="H114">
            <v>0</v>
          </cell>
          <cell r="I114">
            <v>0</v>
          </cell>
          <cell r="J114">
            <v>21</v>
          </cell>
          <cell r="K114">
            <v>0</v>
          </cell>
          <cell r="L114">
            <v>25</v>
          </cell>
        </row>
        <row r="115">
          <cell r="A115" t="str">
            <v>OO2EWP10100</v>
          </cell>
          <cell r="B115" t="str">
            <v>配件</v>
          </cell>
          <cell r="C115" t="str">
            <v>水泵</v>
          </cell>
          <cell r="D115">
            <v>1</v>
          </cell>
        </row>
        <row r="115">
          <cell r="F115" t="str">
            <v>B</v>
          </cell>
          <cell r="G115" t="str">
            <v>李莉玲</v>
          </cell>
          <cell r="H115">
            <v>4</v>
          </cell>
          <cell r="I115">
            <v>0</v>
          </cell>
          <cell r="J115">
            <v>12</v>
          </cell>
          <cell r="K115">
            <v>6</v>
          </cell>
          <cell r="L115">
            <v>24</v>
          </cell>
        </row>
        <row r="116">
          <cell r="A116" t="str">
            <v>OO2EWP11200</v>
          </cell>
          <cell r="B116" t="str">
            <v>配件</v>
          </cell>
          <cell r="C116" t="str">
            <v>水泵</v>
          </cell>
          <cell r="D116">
            <v>1</v>
          </cell>
        </row>
        <row r="116">
          <cell r="F116" t="str">
            <v>D</v>
          </cell>
          <cell r="G116" t="str">
            <v>李莉玲</v>
          </cell>
          <cell r="H116">
            <v>9</v>
          </cell>
          <cell r="I116">
            <v>2</v>
          </cell>
          <cell r="J116">
            <v>18</v>
          </cell>
          <cell r="K116">
            <v>3</v>
          </cell>
          <cell r="L116">
            <v>13</v>
          </cell>
        </row>
        <row r="117">
          <cell r="A117" t="str">
            <v>OO2EWP05300</v>
          </cell>
          <cell r="B117" t="str">
            <v>配件</v>
          </cell>
          <cell r="C117" t="str">
            <v>水泵</v>
          </cell>
          <cell r="D117">
            <v>1</v>
          </cell>
        </row>
        <row r="117">
          <cell r="F117" t="str">
            <v>B</v>
          </cell>
          <cell r="G117" t="str">
            <v>李莉玲</v>
          </cell>
          <cell r="H117">
            <v>4</v>
          </cell>
          <cell r="I117">
            <v>0</v>
          </cell>
          <cell r="J117">
            <v>12</v>
          </cell>
          <cell r="K117">
            <v>2</v>
          </cell>
          <cell r="L117">
            <v>26</v>
          </cell>
        </row>
        <row r="118">
          <cell r="A118" t="str">
            <v>OO2EWP00800</v>
          </cell>
          <cell r="B118" t="str">
            <v>配件</v>
          </cell>
          <cell r="C118" t="str">
            <v>水泵</v>
          </cell>
          <cell r="D118">
            <v>1</v>
          </cell>
        </row>
        <row r="118">
          <cell r="F118" t="str">
            <v>C</v>
          </cell>
          <cell r="G118" t="str">
            <v>李莉玲</v>
          </cell>
          <cell r="H118">
            <v>0</v>
          </cell>
          <cell r="I118">
            <v>0</v>
          </cell>
          <cell r="J118">
            <v>31</v>
          </cell>
          <cell r="K118">
            <v>6</v>
          </cell>
          <cell r="L118">
            <v>7</v>
          </cell>
        </row>
        <row r="119">
          <cell r="A119" t="str">
            <v>OO2EWP03300</v>
          </cell>
          <cell r="B119" t="str">
            <v>配件</v>
          </cell>
          <cell r="C119" t="str">
            <v>水泵</v>
          </cell>
          <cell r="D119">
            <v>1</v>
          </cell>
        </row>
        <row r="119">
          <cell r="F119" t="str">
            <v>B</v>
          </cell>
          <cell r="G119" t="str">
            <v>李莉玲</v>
          </cell>
          <cell r="H119">
            <v>1</v>
          </cell>
          <cell r="I119">
            <v>0</v>
          </cell>
          <cell r="J119">
            <v>12</v>
          </cell>
          <cell r="K119">
            <v>4</v>
          </cell>
          <cell r="L119">
            <v>25</v>
          </cell>
        </row>
        <row r="120">
          <cell r="A120" t="str">
            <v>KC2EWP16600</v>
          </cell>
          <cell r="B120" t="str">
            <v>配件</v>
          </cell>
          <cell r="C120" t="str">
            <v>水泵</v>
          </cell>
          <cell r="D120">
            <v>1</v>
          </cell>
        </row>
        <row r="120">
          <cell r="F120" t="str">
            <v>推新</v>
          </cell>
          <cell r="G120" t="str">
            <v>李莉玲</v>
          </cell>
          <cell r="H120">
            <v>0</v>
          </cell>
          <cell r="I120">
            <v>0</v>
          </cell>
          <cell r="J120">
            <v>5</v>
          </cell>
          <cell r="K120">
            <v>17</v>
          </cell>
          <cell r="L120">
            <v>20</v>
          </cell>
        </row>
        <row r="121">
          <cell r="A121" t="str">
            <v>OO2EWP09300</v>
          </cell>
          <cell r="B121" t="str">
            <v>配件</v>
          </cell>
          <cell r="C121" t="str">
            <v>水泵</v>
          </cell>
          <cell r="D121">
            <v>1</v>
          </cell>
        </row>
        <row r="121">
          <cell r="F121" t="str">
            <v>B</v>
          </cell>
          <cell r="G121" t="str">
            <v>李莉玲</v>
          </cell>
          <cell r="H121">
            <v>9</v>
          </cell>
          <cell r="I121">
            <v>0</v>
          </cell>
          <cell r="J121">
            <v>12</v>
          </cell>
          <cell r="K121">
            <v>7</v>
          </cell>
          <cell r="L121">
            <v>14</v>
          </cell>
        </row>
        <row r="122">
          <cell r="A122" t="str">
            <v>KC2EWP27000</v>
          </cell>
          <cell r="B122" t="str">
            <v>配件</v>
          </cell>
          <cell r="C122" t="str">
            <v>水泵</v>
          </cell>
          <cell r="D122">
            <v>1</v>
          </cell>
        </row>
        <row r="122">
          <cell r="F122" t="str">
            <v>推新</v>
          </cell>
          <cell r="G122" t="str">
            <v>李莉玲</v>
          </cell>
          <cell r="H122">
            <v>0</v>
          </cell>
          <cell r="I122">
            <v>0</v>
          </cell>
          <cell r="J122">
            <v>2</v>
          </cell>
          <cell r="K122">
            <v>12</v>
          </cell>
          <cell r="L122">
            <v>27</v>
          </cell>
        </row>
        <row r="123">
          <cell r="A123" t="str">
            <v>KC2EWP24400</v>
          </cell>
          <cell r="B123" t="str">
            <v>配件</v>
          </cell>
          <cell r="C123" t="str">
            <v>水泵</v>
          </cell>
          <cell r="D123">
            <v>1</v>
          </cell>
        </row>
        <row r="123">
          <cell r="F123" t="str">
            <v>交付</v>
          </cell>
          <cell r="G123" t="str">
            <v>李莉玲</v>
          </cell>
          <cell r="H123">
            <v>0</v>
          </cell>
          <cell r="I123">
            <v>0</v>
          </cell>
          <cell r="J123">
            <v>0</v>
          </cell>
          <cell r="K123">
            <v>14</v>
          </cell>
          <cell r="L123">
            <v>27</v>
          </cell>
        </row>
        <row r="124">
          <cell r="A124" t="str">
            <v>KC2EWP15300</v>
          </cell>
          <cell r="B124" t="str">
            <v>配件</v>
          </cell>
          <cell r="C124" t="str">
            <v>水泵</v>
          </cell>
          <cell r="D124">
            <v>1</v>
          </cell>
        </row>
        <row r="124">
          <cell r="F124" t="str">
            <v>交付</v>
          </cell>
          <cell r="G124" t="str">
            <v>李莉玲</v>
          </cell>
          <cell r="H124">
            <v>0</v>
          </cell>
          <cell r="I124">
            <v>0</v>
          </cell>
          <cell r="J124">
            <v>10</v>
          </cell>
          <cell r="K124">
            <v>20</v>
          </cell>
          <cell r="L124">
            <v>11</v>
          </cell>
        </row>
        <row r="125">
          <cell r="A125" t="str">
            <v>KC2EWP27700</v>
          </cell>
          <cell r="B125" t="str">
            <v>配件</v>
          </cell>
          <cell r="C125" t="str">
            <v>水泵</v>
          </cell>
          <cell r="D125">
            <v>1</v>
          </cell>
        </row>
        <row r="125">
          <cell r="F125" t="str">
            <v>推新</v>
          </cell>
          <cell r="G125" t="str">
            <v>李莉玲</v>
          </cell>
          <cell r="H125">
            <v>0</v>
          </cell>
          <cell r="I125">
            <v>0</v>
          </cell>
          <cell r="J125">
            <v>30</v>
          </cell>
          <cell r="K125">
            <v>10</v>
          </cell>
          <cell r="L125">
            <v>1</v>
          </cell>
        </row>
        <row r="126">
          <cell r="A126" t="str">
            <v>OO2EWP05600</v>
          </cell>
          <cell r="B126" t="str">
            <v>配件</v>
          </cell>
          <cell r="C126" t="str">
            <v>水泵</v>
          </cell>
          <cell r="D126">
            <v>1</v>
          </cell>
        </row>
        <row r="126">
          <cell r="F126" t="str">
            <v>B</v>
          </cell>
          <cell r="G126" t="str">
            <v>李莉玲</v>
          </cell>
          <cell r="H126">
            <v>31</v>
          </cell>
          <cell r="I126">
            <v>0</v>
          </cell>
          <cell r="J126">
            <v>2</v>
          </cell>
          <cell r="K126">
            <v>6</v>
          </cell>
          <cell r="L126">
            <v>2</v>
          </cell>
        </row>
        <row r="127">
          <cell r="A127" t="str">
            <v>KC2EWP14200</v>
          </cell>
          <cell r="B127" t="str">
            <v>配件</v>
          </cell>
          <cell r="C127" t="str">
            <v>水泵</v>
          </cell>
          <cell r="D127">
            <v>1</v>
          </cell>
        </row>
        <row r="127">
          <cell r="F127" t="str">
            <v>推新</v>
          </cell>
          <cell r="G127" t="str">
            <v>李莉玲</v>
          </cell>
          <cell r="H127">
            <v>0</v>
          </cell>
          <cell r="I127">
            <v>0</v>
          </cell>
          <cell r="J127">
            <v>19</v>
          </cell>
          <cell r="K127">
            <v>12</v>
          </cell>
          <cell r="L127">
            <v>9</v>
          </cell>
        </row>
        <row r="128">
          <cell r="A128" t="str">
            <v>KC2EWP18000</v>
          </cell>
          <cell r="B128" t="str">
            <v>配件</v>
          </cell>
          <cell r="C128" t="str">
            <v>水泵</v>
          </cell>
          <cell r="D128">
            <v>1</v>
          </cell>
        </row>
        <row r="128">
          <cell r="F128" t="str">
            <v>推新</v>
          </cell>
          <cell r="G128" t="str">
            <v>李莉玲</v>
          </cell>
          <cell r="H128">
            <v>0</v>
          </cell>
          <cell r="I128">
            <v>0</v>
          </cell>
          <cell r="J128">
            <v>18</v>
          </cell>
          <cell r="K128">
            <v>2</v>
          </cell>
          <cell r="L128">
            <v>20</v>
          </cell>
        </row>
        <row r="129">
          <cell r="A129" t="str">
            <v>OO2EWP02500</v>
          </cell>
          <cell r="B129" t="str">
            <v>配件</v>
          </cell>
          <cell r="C129" t="str">
            <v>水泵</v>
          </cell>
          <cell r="D129">
            <v>1</v>
          </cell>
        </row>
        <row r="129">
          <cell r="F129" t="str">
            <v>D</v>
          </cell>
          <cell r="G129" t="str">
            <v>李莉玲</v>
          </cell>
          <cell r="H129">
            <v>6</v>
          </cell>
          <cell r="I129">
            <v>0</v>
          </cell>
          <cell r="J129">
            <v>9</v>
          </cell>
          <cell r="K129">
            <v>2</v>
          </cell>
          <cell r="L129">
            <v>23</v>
          </cell>
        </row>
        <row r="130">
          <cell r="A130" t="str">
            <v>KC2EWP18900</v>
          </cell>
          <cell r="B130" t="str">
            <v>配件</v>
          </cell>
          <cell r="C130" t="str">
            <v>水泵</v>
          </cell>
          <cell r="D130">
            <v>1</v>
          </cell>
        </row>
        <row r="130">
          <cell r="F130" t="str">
            <v>推新</v>
          </cell>
          <cell r="G130" t="str">
            <v>李莉玲</v>
          </cell>
          <cell r="H130">
            <v>4</v>
          </cell>
          <cell r="I130">
            <v>0</v>
          </cell>
          <cell r="J130">
            <v>14</v>
          </cell>
          <cell r="K130">
            <v>6</v>
          </cell>
          <cell r="L130">
            <v>15</v>
          </cell>
        </row>
        <row r="131">
          <cell r="A131" t="str">
            <v>KC2EWP13100</v>
          </cell>
          <cell r="B131" t="str">
            <v>配件</v>
          </cell>
          <cell r="C131" t="str">
            <v>水泵</v>
          </cell>
          <cell r="D131">
            <v>1</v>
          </cell>
        </row>
        <row r="131">
          <cell r="F131" t="str">
            <v>推新</v>
          </cell>
          <cell r="G131" t="str">
            <v>李莉玲</v>
          </cell>
          <cell r="H131">
            <v>0</v>
          </cell>
          <cell r="I131">
            <v>0</v>
          </cell>
          <cell r="J131">
            <v>8</v>
          </cell>
          <cell r="K131">
            <v>8</v>
          </cell>
          <cell r="L131">
            <v>23</v>
          </cell>
        </row>
        <row r="132">
          <cell r="A132" t="str">
            <v>OO2EWP01800</v>
          </cell>
          <cell r="B132" t="str">
            <v>配件</v>
          </cell>
          <cell r="C132" t="str">
            <v>水泵</v>
          </cell>
          <cell r="D132">
            <v>1</v>
          </cell>
        </row>
        <row r="132">
          <cell r="F132" t="str">
            <v>D</v>
          </cell>
          <cell r="G132" t="str">
            <v>李莉玲</v>
          </cell>
          <cell r="H132">
            <v>3</v>
          </cell>
          <cell r="I132">
            <v>0</v>
          </cell>
          <cell r="J132">
            <v>8</v>
          </cell>
          <cell r="K132">
            <v>11</v>
          </cell>
          <cell r="L132">
            <v>16</v>
          </cell>
        </row>
        <row r="133">
          <cell r="A133" t="str">
            <v>KC2EWP17200</v>
          </cell>
          <cell r="B133" t="str">
            <v>配件</v>
          </cell>
          <cell r="C133" t="str">
            <v>水泵</v>
          </cell>
          <cell r="D133">
            <v>1</v>
          </cell>
        </row>
        <row r="133">
          <cell r="F133" t="str">
            <v>推新</v>
          </cell>
          <cell r="G133" t="str">
            <v>李莉玲</v>
          </cell>
          <cell r="H133">
            <v>0</v>
          </cell>
          <cell r="I133">
            <v>0</v>
          </cell>
          <cell r="J133">
            <v>9</v>
          </cell>
          <cell r="K133">
            <v>4</v>
          </cell>
          <cell r="L133">
            <v>25</v>
          </cell>
        </row>
        <row r="134">
          <cell r="A134" t="str">
            <v>KC2EWP19400</v>
          </cell>
          <cell r="B134" t="str">
            <v>配件</v>
          </cell>
          <cell r="C134" t="str">
            <v>水泵</v>
          </cell>
          <cell r="D134">
            <v>1</v>
          </cell>
        </row>
        <row r="134">
          <cell r="F134" t="str">
            <v>推新</v>
          </cell>
          <cell r="G134" t="str">
            <v>李莉玲</v>
          </cell>
          <cell r="H134">
            <v>0</v>
          </cell>
          <cell r="I134">
            <v>2</v>
          </cell>
          <cell r="J134">
            <v>11</v>
          </cell>
          <cell r="K134">
            <v>8</v>
          </cell>
          <cell r="L134">
            <v>17</v>
          </cell>
        </row>
        <row r="135">
          <cell r="A135" t="str">
            <v>KC2EWP25200</v>
          </cell>
          <cell r="B135" t="str">
            <v>配件</v>
          </cell>
          <cell r="C135" t="str">
            <v>水泵</v>
          </cell>
          <cell r="D135">
            <v>1</v>
          </cell>
        </row>
        <row r="135">
          <cell r="F135" t="str">
            <v>D</v>
          </cell>
          <cell r="G135" t="str">
            <v>李莉玲</v>
          </cell>
          <cell r="H135">
            <v>0</v>
          </cell>
          <cell r="I135">
            <v>0</v>
          </cell>
          <cell r="J135">
            <v>11</v>
          </cell>
          <cell r="K135">
            <v>6</v>
          </cell>
          <cell r="L135">
            <v>21</v>
          </cell>
        </row>
        <row r="136">
          <cell r="A136" t="str">
            <v>OO2EWP12500</v>
          </cell>
          <cell r="B136" t="str">
            <v>配件</v>
          </cell>
          <cell r="C136" t="str">
            <v>水泵</v>
          </cell>
          <cell r="D136">
            <v>1</v>
          </cell>
        </row>
        <row r="136">
          <cell r="F136" t="str">
            <v>B</v>
          </cell>
          <cell r="G136" t="str">
            <v>李莉玲</v>
          </cell>
          <cell r="H136">
            <v>0</v>
          </cell>
          <cell r="I136">
            <v>0</v>
          </cell>
          <cell r="J136">
            <v>11</v>
          </cell>
          <cell r="K136">
            <v>2</v>
          </cell>
          <cell r="L136">
            <v>25</v>
          </cell>
        </row>
        <row r="137">
          <cell r="A137" t="str">
            <v>OO2EWP12100</v>
          </cell>
          <cell r="B137" t="str">
            <v>配件</v>
          </cell>
          <cell r="C137" t="str">
            <v>水泵</v>
          </cell>
          <cell r="D137">
            <v>1</v>
          </cell>
        </row>
        <row r="137">
          <cell r="F137" t="str">
            <v>C</v>
          </cell>
          <cell r="G137" t="str">
            <v>李莉玲</v>
          </cell>
          <cell r="H137">
            <v>4</v>
          </cell>
          <cell r="I137">
            <v>0</v>
          </cell>
          <cell r="J137">
            <v>14</v>
          </cell>
          <cell r="K137">
            <v>0</v>
          </cell>
          <cell r="L137">
            <v>20</v>
          </cell>
        </row>
        <row r="138">
          <cell r="A138" t="str">
            <v>OO2EWP06900</v>
          </cell>
          <cell r="B138" t="str">
            <v>配件</v>
          </cell>
          <cell r="C138" t="str">
            <v>水泵</v>
          </cell>
          <cell r="D138">
            <v>1</v>
          </cell>
        </row>
        <row r="138">
          <cell r="F138" t="str">
            <v>B</v>
          </cell>
          <cell r="G138" t="str">
            <v>李莉玲</v>
          </cell>
          <cell r="H138">
            <v>0</v>
          </cell>
          <cell r="I138">
            <v>0</v>
          </cell>
          <cell r="J138">
            <v>20</v>
          </cell>
          <cell r="K138">
            <v>16</v>
          </cell>
          <cell r="L138">
            <v>1</v>
          </cell>
        </row>
        <row r="139">
          <cell r="A139" t="str">
            <v>KC2EWP25000</v>
          </cell>
          <cell r="B139" t="str">
            <v>配件</v>
          </cell>
          <cell r="C139" t="str">
            <v>水泵</v>
          </cell>
          <cell r="D139">
            <v>1</v>
          </cell>
        </row>
        <row r="139">
          <cell r="F139" t="str">
            <v>推新</v>
          </cell>
          <cell r="G139" t="str">
            <v>李莉玲</v>
          </cell>
          <cell r="H139">
            <v>6</v>
          </cell>
          <cell r="I139">
            <v>6</v>
          </cell>
          <cell r="J139">
            <v>0</v>
          </cell>
          <cell r="K139">
            <v>24</v>
          </cell>
          <cell r="L139">
            <v>1</v>
          </cell>
        </row>
        <row r="140">
          <cell r="A140" t="str">
            <v>ZC2CLK04700</v>
          </cell>
          <cell r="B140" t="str">
            <v>配件</v>
          </cell>
          <cell r="C140" t="str">
            <v>水泵</v>
          </cell>
          <cell r="D140">
            <v>1</v>
          </cell>
        </row>
        <row r="140">
          <cell r="F140" t="str">
            <v>A</v>
          </cell>
          <cell r="G140" t="str">
            <v>李莉玲</v>
          </cell>
          <cell r="H140">
            <v>4</v>
          </cell>
          <cell r="I140">
            <v>0</v>
          </cell>
          <cell r="J140">
            <v>13</v>
          </cell>
          <cell r="K140">
            <v>0</v>
          </cell>
          <cell r="L140">
            <v>20</v>
          </cell>
        </row>
        <row r="141">
          <cell r="A141" t="str">
            <v>OO2EWP12200</v>
          </cell>
          <cell r="B141" t="str">
            <v>配件</v>
          </cell>
          <cell r="C141" t="str">
            <v>水泵</v>
          </cell>
          <cell r="D141">
            <v>1</v>
          </cell>
        </row>
        <row r="141">
          <cell r="F141" t="str">
            <v>A</v>
          </cell>
          <cell r="G141" t="str">
            <v>李莉玲</v>
          </cell>
          <cell r="H141">
            <v>3</v>
          </cell>
          <cell r="I141">
            <v>2</v>
          </cell>
          <cell r="J141">
            <v>3</v>
          </cell>
          <cell r="K141">
            <v>26</v>
          </cell>
          <cell r="L141">
            <v>3</v>
          </cell>
        </row>
        <row r="142">
          <cell r="A142" t="str">
            <v>KC2EWP22300</v>
          </cell>
          <cell r="B142" t="str">
            <v>配件</v>
          </cell>
          <cell r="C142" t="str">
            <v>水泵</v>
          </cell>
          <cell r="D142">
            <v>1</v>
          </cell>
        </row>
        <row r="142">
          <cell r="F142" t="str">
            <v>推新</v>
          </cell>
          <cell r="G142" t="str">
            <v>李莉玲</v>
          </cell>
          <cell r="H142">
            <v>0</v>
          </cell>
          <cell r="I142">
            <v>0</v>
          </cell>
          <cell r="J142">
            <v>5</v>
          </cell>
          <cell r="K142">
            <v>14</v>
          </cell>
          <cell r="L142">
            <v>18</v>
          </cell>
        </row>
        <row r="143">
          <cell r="A143" t="str">
            <v>KC2EWP19100</v>
          </cell>
          <cell r="B143" t="str">
            <v>配件</v>
          </cell>
          <cell r="C143" t="str">
            <v>水泵</v>
          </cell>
          <cell r="D143">
            <v>1</v>
          </cell>
        </row>
        <row r="143">
          <cell r="F143" t="str">
            <v>推新</v>
          </cell>
          <cell r="G143" t="str">
            <v>李莉玲</v>
          </cell>
          <cell r="H143">
            <v>0</v>
          </cell>
          <cell r="I143">
            <v>0</v>
          </cell>
          <cell r="J143">
            <v>15</v>
          </cell>
          <cell r="K143">
            <v>1</v>
          </cell>
          <cell r="L143">
            <v>20</v>
          </cell>
        </row>
        <row r="144">
          <cell r="A144" t="str">
            <v>OO2EWP12300</v>
          </cell>
          <cell r="B144" t="str">
            <v>配件</v>
          </cell>
          <cell r="C144" t="str">
            <v>水泵</v>
          </cell>
          <cell r="D144">
            <v>1</v>
          </cell>
        </row>
        <row r="144">
          <cell r="F144" t="str">
            <v>B</v>
          </cell>
          <cell r="G144" t="str">
            <v>李莉玲</v>
          </cell>
          <cell r="H144">
            <v>9</v>
          </cell>
          <cell r="I144">
            <v>0</v>
          </cell>
          <cell r="J144">
            <v>1</v>
          </cell>
          <cell r="K144">
            <v>6</v>
          </cell>
          <cell r="L144">
            <v>20</v>
          </cell>
        </row>
        <row r="145">
          <cell r="A145" t="str">
            <v>OO2EWP09200</v>
          </cell>
          <cell r="B145" t="str">
            <v>配件</v>
          </cell>
          <cell r="C145" t="str">
            <v>水泵</v>
          </cell>
          <cell r="D145">
            <v>1</v>
          </cell>
        </row>
        <row r="145">
          <cell r="F145" t="str">
            <v>D</v>
          </cell>
          <cell r="G145" t="str">
            <v>李莉玲</v>
          </cell>
          <cell r="H145">
            <v>0</v>
          </cell>
          <cell r="I145">
            <v>0</v>
          </cell>
          <cell r="J145">
            <v>17</v>
          </cell>
          <cell r="K145">
            <v>0</v>
          </cell>
          <cell r="L145">
            <v>19</v>
          </cell>
        </row>
        <row r="146">
          <cell r="A146" t="str">
            <v>KC2EWP18500</v>
          </cell>
          <cell r="B146" t="str">
            <v>配件</v>
          </cell>
          <cell r="C146" t="str">
            <v>水泵</v>
          </cell>
          <cell r="D146">
            <v>1</v>
          </cell>
        </row>
        <row r="146">
          <cell r="F146" t="str">
            <v>推新</v>
          </cell>
          <cell r="G146" t="str">
            <v>李莉玲</v>
          </cell>
          <cell r="H146">
            <v>0</v>
          </cell>
          <cell r="I146">
            <v>0</v>
          </cell>
          <cell r="J146">
            <v>13</v>
          </cell>
          <cell r="K146">
            <v>6</v>
          </cell>
          <cell r="L146">
            <v>17</v>
          </cell>
        </row>
        <row r="147">
          <cell r="A147" t="str">
            <v>OO2EWP10200</v>
          </cell>
          <cell r="B147" t="str">
            <v>配件</v>
          </cell>
          <cell r="C147" t="str">
            <v>水泵</v>
          </cell>
          <cell r="D147">
            <v>1</v>
          </cell>
        </row>
        <row r="147">
          <cell r="F147" t="str">
            <v>C</v>
          </cell>
          <cell r="G147" t="str">
            <v>李莉玲</v>
          </cell>
          <cell r="H147">
            <v>0</v>
          </cell>
          <cell r="I147">
            <v>0</v>
          </cell>
          <cell r="J147">
            <v>8</v>
          </cell>
          <cell r="K147">
            <v>3</v>
          </cell>
          <cell r="L147">
            <v>25</v>
          </cell>
        </row>
        <row r="148">
          <cell r="A148" t="str">
            <v>OO2EWP12600</v>
          </cell>
          <cell r="B148" t="str">
            <v>配件</v>
          </cell>
          <cell r="C148" t="str">
            <v>水泵</v>
          </cell>
          <cell r="D148">
            <v>1</v>
          </cell>
        </row>
        <row r="148">
          <cell r="F148" t="str">
            <v>B</v>
          </cell>
          <cell r="G148" t="str">
            <v>李莉玲</v>
          </cell>
          <cell r="H148">
            <v>0</v>
          </cell>
          <cell r="I148">
            <v>0</v>
          </cell>
          <cell r="J148">
            <v>5</v>
          </cell>
          <cell r="K148">
            <v>6</v>
          </cell>
          <cell r="L148">
            <v>23</v>
          </cell>
        </row>
        <row r="149">
          <cell r="A149" t="str">
            <v>KC2EWP27900</v>
          </cell>
          <cell r="B149" t="str">
            <v>配件</v>
          </cell>
          <cell r="C149" t="str">
            <v>水泵</v>
          </cell>
          <cell r="D149">
            <v>1</v>
          </cell>
        </row>
        <row r="149">
          <cell r="F149" t="str">
            <v>推新</v>
          </cell>
          <cell r="G149" t="str">
            <v>李莉玲</v>
          </cell>
          <cell r="H149">
            <v>0</v>
          </cell>
          <cell r="I149">
            <v>0</v>
          </cell>
          <cell r="J149">
            <v>13</v>
          </cell>
          <cell r="K149">
            <v>0</v>
          </cell>
          <cell r="L149">
            <v>21</v>
          </cell>
        </row>
        <row r="150">
          <cell r="A150" t="str">
            <v>KC2EWP20900</v>
          </cell>
          <cell r="B150" t="str">
            <v>配件</v>
          </cell>
          <cell r="C150" t="str">
            <v>水泵</v>
          </cell>
          <cell r="D150">
            <v>1</v>
          </cell>
        </row>
        <row r="150">
          <cell r="F150" t="str">
            <v>推新</v>
          </cell>
          <cell r="G150" t="str">
            <v>李莉玲</v>
          </cell>
          <cell r="H150">
            <v>0</v>
          </cell>
          <cell r="I150">
            <v>0</v>
          </cell>
          <cell r="J150">
            <v>12</v>
          </cell>
          <cell r="K150">
            <v>2</v>
          </cell>
          <cell r="L150">
            <v>20</v>
          </cell>
        </row>
        <row r="151">
          <cell r="A151" t="str">
            <v>KC2EWP28100</v>
          </cell>
          <cell r="B151" t="str">
            <v>配件</v>
          </cell>
          <cell r="C151" t="str">
            <v>水泵</v>
          </cell>
          <cell r="D151">
            <v>1</v>
          </cell>
        </row>
        <row r="151">
          <cell r="F151" t="str">
            <v>推新</v>
          </cell>
          <cell r="G151" t="str">
            <v>李莉玲</v>
          </cell>
          <cell r="H151">
            <v>1</v>
          </cell>
          <cell r="I151">
            <v>4</v>
          </cell>
          <cell r="J151">
            <v>4</v>
          </cell>
          <cell r="K151">
            <v>24</v>
          </cell>
          <cell r="L151">
            <v>1</v>
          </cell>
        </row>
        <row r="152">
          <cell r="A152" t="str">
            <v>KC2EWP25100</v>
          </cell>
          <cell r="B152" t="str">
            <v>配件</v>
          </cell>
          <cell r="C152" t="str">
            <v>水泵</v>
          </cell>
          <cell r="D152">
            <v>1</v>
          </cell>
        </row>
        <row r="152">
          <cell r="F152" t="str">
            <v>推新</v>
          </cell>
          <cell r="G152" t="str">
            <v>李莉玲</v>
          </cell>
          <cell r="H152">
            <v>2</v>
          </cell>
          <cell r="I152">
            <v>2</v>
          </cell>
          <cell r="J152">
            <v>3</v>
          </cell>
          <cell r="K152">
            <v>5</v>
          </cell>
          <cell r="L152">
            <v>21</v>
          </cell>
        </row>
        <row r="153">
          <cell r="A153" t="str">
            <v>OO2EWP06500</v>
          </cell>
          <cell r="B153" t="str">
            <v>配件</v>
          </cell>
          <cell r="C153" t="str">
            <v>水泵</v>
          </cell>
          <cell r="D153">
            <v>1</v>
          </cell>
        </row>
        <row r="153">
          <cell r="F153" t="str">
            <v>C</v>
          </cell>
          <cell r="G153" t="str">
            <v>李莉玲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33</v>
          </cell>
        </row>
        <row r="154">
          <cell r="A154" t="str">
            <v>KC2EWP22500</v>
          </cell>
          <cell r="B154" t="str">
            <v>配件</v>
          </cell>
          <cell r="C154" t="str">
            <v>水泵</v>
          </cell>
          <cell r="D154">
            <v>1</v>
          </cell>
        </row>
        <row r="154">
          <cell r="F154" t="str">
            <v>推新</v>
          </cell>
          <cell r="G154" t="str">
            <v>李莉玲</v>
          </cell>
          <cell r="H154">
            <v>0</v>
          </cell>
          <cell r="I154">
            <v>9</v>
          </cell>
          <cell r="J154">
            <v>0</v>
          </cell>
          <cell r="K154">
            <v>2</v>
          </cell>
          <cell r="L154">
            <v>21</v>
          </cell>
        </row>
        <row r="155">
          <cell r="A155" t="str">
            <v>OO2EWP08700</v>
          </cell>
          <cell r="B155" t="str">
            <v>配件</v>
          </cell>
          <cell r="C155" t="str">
            <v>水泵</v>
          </cell>
          <cell r="D155">
            <v>1</v>
          </cell>
        </row>
        <row r="155">
          <cell r="F155" t="str">
            <v>B</v>
          </cell>
          <cell r="G155" t="str">
            <v>李莉玲</v>
          </cell>
          <cell r="H155">
            <v>9</v>
          </cell>
          <cell r="I155">
            <v>0</v>
          </cell>
          <cell r="J155">
            <v>4</v>
          </cell>
          <cell r="K155">
            <v>2</v>
          </cell>
          <cell r="L155">
            <v>17</v>
          </cell>
        </row>
        <row r="156">
          <cell r="A156" t="str">
            <v>KC2EWP25300</v>
          </cell>
          <cell r="B156" t="str">
            <v>配件</v>
          </cell>
          <cell r="C156" t="str">
            <v>水泵</v>
          </cell>
          <cell r="D156">
            <v>1</v>
          </cell>
        </row>
        <row r="156">
          <cell r="F156" t="str">
            <v>推新</v>
          </cell>
          <cell r="G156" t="str">
            <v>李莉玲</v>
          </cell>
          <cell r="H156">
            <v>0</v>
          </cell>
          <cell r="I156">
            <v>0</v>
          </cell>
          <cell r="J156">
            <v>23</v>
          </cell>
          <cell r="K156">
            <v>8</v>
          </cell>
          <cell r="L156">
            <v>1</v>
          </cell>
        </row>
        <row r="157">
          <cell r="A157" t="str">
            <v>OO2EWP01900</v>
          </cell>
          <cell r="B157" t="str">
            <v>配件</v>
          </cell>
          <cell r="C157" t="str">
            <v>水泵</v>
          </cell>
          <cell r="D157">
            <v>1</v>
          </cell>
        </row>
        <row r="157">
          <cell r="F157" t="str">
            <v>D</v>
          </cell>
          <cell r="G157" t="str">
            <v>李莉玲</v>
          </cell>
          <cell r="H157">
            <v>9</v>
          </cell>
          <cell r="I157">
            <v>0</v>
          </cell>
          <cell r="J157">
            <v>2</v>
          </cell>
          <cell r="K157">
            <v>10</v>
          </cell>
          <cell r="L157">
            <v>9</v>
          </cell>
        </row>
        <row r="158">
          <cell r="A158" t="str">
            <v>OO2EWP12700</v>
          </cell>
          <cell r="B158" t="str">
            <v>配件</v>
          </cell>
          <cell r="C158" t="str">
            <v>水泵</v>
          </cell>
          <cell r="D158">
            <v>1</v>
          </cell>
        </row>
        <row r="158">
          <cell r="F158" t="str">
            <v>B</v>
          </cell>
          <cell r="G158" t="str">
            <v>李莉玲</v>
          </cell>
          <cell r="H158">
            <v>1</v>
          </cell>
          <cell r="I158">
            <v>0</v>
          </cell>
          <cell r="J158">
            <v>15</v>
          </cell>
          <cell r="K158">
            <v>14</v>
          </cell>
          <cell r="L158">
            <v>0</v>
          </cell>
        </row>
        <row r="159">
          <cell r="A159" t="str">
            <v>OO2EWP11300</v>
          </cell>
          <cell r="B159" t="str">
            <v>配件</v>
          </cell>
          <cell r="C159" t="str">
            <v>水泵</v>
          </cell>
          <cell r="D159">
            <v>1</v>
          </cell>
        </row>
        <row r="159">
          <cell r="F159" t="str">
            <v>B</v>
          </cell>
          <cell r="G159" t="str">
            <v>李莉玲</v>
          </cell>
          <cell r="H159">
            <v>2</v>
          </cell>
          <cell r="I159">
            <v>11</v>
          </cell>
          <cell r="J159">
            <v>0</v>
          </cell>
          <cell r="K159">
            <v>8</v>
          </cell>
          <cell r="L159">
            <v>9</v>
          </cell>
        </row>
        <row r="160">
          <cell r="A160" t="str">
            <v>KC2EWP13600</v>
          </cell>
          <cell r="B160" t="str">
            <v>配件</v>
          </cell>
          <cell r="C160" t="str">
            <v>水泵</v>
          </cell>
          <cell r="D160">
            <v>1</v>
          </cell>
        </row>
        <row r="160">
          <cell r="F160" t="str">
            <v>C</v>
          </cell>
          <cell r="G160" t="str">
            <v>李莉玲</v>
          </cell>
          <cell r="H160">
            <v>0</v>
          </cell>
          <cell r="I160">
            <v>0</v>
          </cell>
          <cell r="J160">
            <v>28</v>
          </cell>
          <cell r="K160">
            <v>0</v>
          </cell>
          <cell r="L160">
            <v>1</v>
          </cell>
        </row>
        <row r="161">
          <cell r="A161" t="str">
            <v>OO2EWP07300</v>
          </cell>
          <cell r="B161" t="str">
            <v>配件</v>
          </cell>
          <cell r="C161" t="str">
            <v>水泵</v>
          </cell>
          <cell r="D161">
            <v>1</v>
          </cell>
        </row>
        <row r="161">
          <cell r="F161" t="str">
            <v>C</v>
          </cell>
          <cell r="G161" t="str">
            <v>李莉玲</v>
          </cell>
          <cell r="H161">
            <v>4</v>
          </cell>
          <cell r="I161">
            <v>0</v>
          </cell>
          <cell r="J161">
            <v>4</v>
          </cell>
          <cell r="K161">
            <v>8</v>
          </cell>
          <cell r="L161">
            <v>12</v>
          </cell>
        </row>
        <row r="162">
          <cell r="A162" t="str">
            <v>OO2EWP07400</v>
          </cell>
          <cell r="B162" t="str">
            <v>配件</v>
          </cell>
          <cell r="C162" t="str">
            <v>水泵</v>
          </cell>
          <cell r="D162">
            <v>1</v>
          </cell>
        </row>
        <row r="162">
          <cell r="F162" t="str">
            <v>C</v>
          </cell>
          <cell r="G162" t="str">
            <v>李莉玲</v>
          </cell>
          <cell r="H162">
            <v>0</v>
          </cell>
          <cell r="I162">
            <v>0</v>
          </cell>
          <cell r="J162">
            <v>13</v>
          </cell>
          <cell r="K162">
            <v>4</v>
          </cell>
          <cell r="L162">
            <v>10</v>
          </cell>
        </row>
        <row r="163">
          <cell r="A163" t="str">
            <v>KC2EWP16000</v>
          </cell>
          <cell r="B163" t="str">
            <v>配件</v>
          </cell>
          <cell r="C163" t="str">
            <v>水泵</v>
          </cell>
          <cell r="D163">
            <v>1</v>
          </cell>
        </row>
        <row r="163">
          <cell r="F163" t="str">
            <v>推新</v>
          </cell>
          <cell r="G163" t="str">
            <v>李莉玲</v>
          </cell>
          <cell r="H163">
            <v>6</v>
          </cell>
          <cell r="I163">
            <v>6</v>
          </cell>
          <cell r="J163">
            <v>9</v>
          </cell>
          <cell r="K163">
            <v>5</v>
          </cell>
          <cell r="L163">
            <v>1</v>
          </cell>
        </row>
        <row r="164">
          <cell r="A164" t="str">
            <v>OO2EWP10000</v>
          </cell>
          <cell r="B164" t="str">
            <v>配件</v>
          </cell>
          <cell r="C164" t="str">
            <v>水泵</v>
          </cell>
          <cell r="D164">
            <v>1</v>
          </cell>
        </row>
        <row r="164">
          <cell r="F164" t="str">
            <v>C</v>
          </cell>
          <cell r="G164" t="str">
            <v>李莉玲</v>
          </cell>
          <cell r="H164">
            <v>0</v>
          </cell>
          <cell r="I164">
            <v>0</v>
          </cell>
          <cell r="J164">
            <v>11</v>
          </cell>
          <cell r="K164">
            <v>8</v>
          </cell>
          <cell r="L164">
            <v>8</v>
          </cell>
        </row>
        <row r="165">
          <cell r="A165" t="str">
            <v>KC2EWP26600</v>
          </cell>
          <cell r="B165" t="str">
            <v>配件</v>
          </cell>
          <cell r="C165" t="str">
            <v>水泵</v>
          </cell>
          <cell r="D165">
            <v>1</v>
          </cell>
        </row>
        <row r="165">
          <cell r="F165" t="str">
            <v>推新</v>
          </cell>
          <cell r="G165" t="str">
            <v>李莉玲</v>
          </cell>
          <cell r="H165">
            <v>0</v>
          </cell>
          <cell r="I165">
            <v>0</v>
          </cell>
          <cell r="J165">
            <v>1</v>
          </cell>
          <cell r="K165">
            <v>5</v>
          </cell>
          <cell r="L165">
            <v>21</v>
          </cell>
        </row>
        <row r="166">
          <cell r="A166" t="str">
            <v>KC2EWP26100</v>
          </cell>
          <cell r="B166" t="str">
            <v>配件</v>
          </cell>
          <cell r="C166" t="str">
            <v>水泵</v>
          </cell>
          <cell r="D166">
            <v>1</v>
          </cell>
        </row>
        <row r="166">
          <cell r="F166" t="str">
            <v>交付</v>
          </cell>
          <cell r="G166" t="str">
            <v>李莉玲</v>
          </cell>
          <cell r="H166">
            <v>0</v>
          </cell>
          <cell r="I166">
            <v>0</v>
          </cell>
          <cell r="J166">
            <v>0</v>
          </cell>
          <cell r="K166">
            <v>6</v>
          </cell>
          <cell r="L166">
            <v>19</v>
          </cell>
        </row>
        <row r="167">
          <cell r="A167" t="str">
            <v>KC2EWP26300</v>
          </cell>
          <cell r="B167" t="str">
            <v>配件</v>
          </cell>
          <cell r="C167" t="str">
            <v>水泵</v>
          </cell>
          <cell r="D167">
            <v>1</v>
          </cell>
        </row>
        <row r="167">
          <cell r="F167" t="str">
            <v>交付</v>
          </cell>
          <cell r="G167" t="str">
            <v>李莉玲</v>
          </cell>
          <cell r="H167">
            <v>0</v>
          </cell>
          <cell r="I167">
            <v>0</v>
          </cell>
          <cell r="J167">
            <v>0</v>
          </cell>
          <cell r="K167">
            <v>4</v>
          </cell>
          <cell r="L167">
            <v>21</v>
          </cell>
        </row>
        <row r="168">
          <cell r="A168" t="str">
            <v>OO2EWP11500</v>
          </cell>
          <cell r="B168" t="str">
            <v>配件</v>
          </cell>
          <cell r="C168" t="str">
            <v>水泵</v>
          </cell>
          <cell r="D168">
            <v>1</v>
          </cell>
        </row>
        <row r="168">
          <cell r="F168" t="str">
            <v>B</v>
          </cell>
          <cell r="G168" t="str">
            <v>李莉玲</v>
          </cell>
          <cell r="H168">
            <v>2</v>
          </cell>
          <cell r="I168">
            <v>0</v>
          </cell>
          <cell r="J168">
            <v>6</v>
          </cell>
          <cell r="K168">
            <v>10</v>
          </cell>
          <cell r="L168">
            <v>7</v>
          </cell>
        </row>
        <row r="169">
          <cell r="A169" t="str">
            <v>KC2EWP23900</v>
          </cell>
          <cell r="B169" t="str">
            <v>配件</v>
          </cell>
          <cell r="C169" t="str">
            <v>水泵</v>
          </cell>
          <cell r="D169">
            <v>1</v>
          </cell>
        </row>
        <row r="169">
          <cell r="F169" t="str">
            <v>推新</v>
          </cell>
          <cell r="G169" t="str">
            <v>李莉玲</v>
          </cell>
          <cell r="H169">
            <v>0</v>
          </cell>
          <cell r="I169">
            <v>0</v>
          </cell>
          <cell r="J169">
            <v>7</v>
          </cell>
          <cell r="K169">
            <v>11</v>
          </cell>
          <cell r="L169">
            <v>7</v>
          </cell>
        </row>
        <row r="170">
          <cell r="A170" t="str">
            <v>KC2EWP26900</v>
          </cell>
          <cell r="B170" t="str">
            <v>配件</v>
          </cell>
          <cell r="C170" t="str">
            <v>水泵</v>
          </cell>
          <cell r="D170">
            <v>1</v>
          </cell>
        </row>
        <row r="170">
          <cell r="F170" t="str">
            <v>C</v>
          </cell>
          <cell r="G170" t="str">
            <v>李莉玲</v>
          </cell>
          <cell r="H170">
            <v>0</v>
          </cell>
          <cell r="I170">
            <v>0</v>
          </cell>
          <cell r="J170">
            <v>17</v>
          </cell>
          <cell r="K170">
            <v>6</v>
          </cell>
          <cell r="L170">
            <v>1</v>
          </cell>
        </row>
        <row r="171">
          <cell r="A171" t="str">
            <v>KC2EWP18300</v>
          </cell>
          <cell r="B171" t="str">
            <v>配件</v>
          </cell>
          <cell r="C171" t="str">
            <v>水泵</v>
          </cell>
          <cell r="D171">
            <v>1</v>
          </cell>
        </row>
        <row r="171">
          <cell r="F171" t="str">
            <v>推新</v>
          </cell>
          <cell r="G171" t="str">
            <v>李莉玲</v>
          </cell>
          <cell r="H171">
            <v>0</v>
          </cell>
          <cell r="I171">
            <v>0</v>
          </cell>
          <cell r="J171">
            <v>6</v>
          </cell>
          <cell r="K171">
            <v>10</v>
          </cell>
          <cell r="L171">
            <v>8</v>
          </cell>
        </row>
        <row r="172">
          <cell r="A172" t="str">
            <v>KC2EWP16200</v>
          </cell>
          <cell r="B172" t="str">
            <v>配件</v>
          </cell>
          <cell r="C172" t="str">
            <v>水泵</v>
          </cell>
          <cell r="D172">
            <v>1</v>
          </cell>
        </row>
        <row r="172">
          <cell r="F172" t="str">
            <v>推新</v>
          </cell>
          <cell r="G172" t="str">
            <v>李莉玲</v>
          </cell>
          <cell r="H172">
            <v>0</v>
          </cell>
          <cell r="I172">
            <v>0</v>
          </cell>
          <cell r="J172">
            <v>9</v>
          </cell>
          <cell r="K172">
            <v>10</v>
          </cell>
          <cell r="L172">
            <v>5</v>
          </cell>
        </row>
        <row r="173">
          <cell r="A173" t="str">
            <v>KC2EWP28000</v>
          </cell>
          <cell r="B173" t="str">
            <v>配件</v>
          </cell>
          <cell r="C173" t="str">
            <v>水泵</v>
          </cell>
          <cell r="D173">
            <v>1</v>
          </cell>
        </row>
        <row r="173">
          <cell r="F173" t="str">
            <v>推新</v>
          </cell>
          <cell r="G173" t="str">
            <v>李莉玲</v>
          </cell>
          <cell r="H173">
            <v>0</v>
          </cell>
          <cell r="I173">
            <v>0</v>
          </cell>
          <cell r="J173">
            <v>11</v>
          </cell>
          <cell r="K173">
            <v>4</v>
          </cell>
          <cell r="L173">
            <v>9</v>
          </cell>
        </row>
        <row r="174">
          <cell r="A174" t="str">
            <v>KC2EWP19500</v>
          </cell>
          <cell r="B174" t="str">
            <v>配件</v>
          </cell>
          <cell r="C174" t="str">
            <v>水泵</v>
          </cell>
          <cell r="D174">
            <v>1</v>
          </cell>
        </row>
        <row r="174">
          <cell r="F174" t="str">
            <v>推新</v>
          </cell>
          <cell r="G174" t="str">
            <v>李莉玲</v>
          </cell>
          <cell r="H174">
            <v>0</v>
          </cell>
          <cell r="I174">
            <v>0</v>
          </cell>
          <cell r="J174">
            <v>11</v>
          </cell>
          <cell r="K174">
            <v>2</v>
          </cell>
          <cell r="L174">
            <v>11</v>
          </cell>
        </row>
        <row r="175">
          <cell r="A175" t="str">
            <v>KC2EWP22800</v>
          </cell>
          <cell r="B175" t="str">
            <v>配件</v>
          </cell>
          <cell r="C175" t="str">
            <v>水泵</v>
          </cell>
          <cell r="D175">
            <v>1</v>
          </cell>
        </row>
        <row r="175">
          <cell r="F175" t="str">
            <v>推新</v>
          </cell>
          <cell r="G175" t="str">
            <v>李莉玲</v>
          </cell>
          <cell r="H175">
            <v>0</v>
          </cell>
          <cell r="I175">
            <v>16</v>
          </cell>
          <cell r="J175">
            <v>5</v>
          </cell>
          <cell r="K175">
            <v>2</v>
          </cell>
          <cell r="L175">
            <v>1</v>
          </cell>
        </row>
        <row r="176">
          <cell r="A176" t="str">
            <v>KC2EWP27500</v>
          </cell>
          <cell r="B176" t="str">
            <v>配件</v>
          </cell>
          <cell r="C176" t="str">
            <v>水泵</v>
          </cell>
          <cell r="D176">
            <v>1</v>
          </cell>
        </row>
        <row r="176">
          <cell r="F176" t="str">
            <v>推新</v>
          </cell>
          <cell r="G176" t="str">
            <v>李莉玲</v>
          </cell>
          <cell r="H176">
            <v>0</v>
          </cell>
          <cell r="I176">
            <v>0</v>
          </cell>
          <cell r="J176">
            <v>23</v>
          </cell>
          <cell r="K176">
            <v>0</v>
          </cell>
          <cell r="L176">
            <v>1</v>
          </cell>
        </row>
        <row r="177">
          <cell r="A177" t="str">
            <v>KC2EWP13200</v>
          </cell>
          <cell r="B177" t="str">
            <v>配件</v>
          </cell>
          <cell r="C177" t="str">
            <v>水泵</v>
          </cell>
          <cell r="D177">
            <v>1</v>
          </cell>
        </row>
        <row r="177">
          <cell r="F177" t="str">
            <v>推新</v>
          </cell>
          <cell r="G177" t="str">
            <v>李莉玲</v>
          </cell>
          <cell r="H177">
            <v>0</v>
          </cell>
          <cell r="I177">
            <v>0</v>
          </cell>
          <cell r="J177">
            <v>7</v>
          </cell>
          <cell r="K177">
            <v>12</v>
          </cell>
          <cell r="L177">
            <v>4</v>
          </cell>
        </row>
        <row r="178">
          <cell r="A178" t="str">
            <v>OO2EWP13000</v>
          </cell>
          <cell r="B178" t="str">
            <v>配件</v>
          </cell>
          <cell r="C178" t="str">
            <v>水泵</v>
          </cell>
          <cell r="D178">
            <v>1</v>
          </cell>
        </row>
        <row r="178">
          <cell r="F178" t="str">
            <v>B</v>
          </cell>
          <cell r="G178" t="str">
            <v>李莉玲</v>
          </cell>
          <cell r="H178">
            <v>0</v>
          </cell>
          <cell r="I178">
            <v>0</v>
          </cell>
          <cell r="J178">
            <v>4</v>
          </cell>
          <cell r="K178">
            <v>16</v>
          </cell>
          <cell r="L178">
            <v>3</v>
          </cell>
        </row>
        <row r="179">
          <cell r="A179" t="str">
            <v>KC2EWP19800</v>
          </cell>
          <cell r="B179" t="str">
            <v>配件</v>
          </cell>
          <cell r="C179" t="str">
            <v>水泵</v>
          </cell>
          <cell r="D179">
            <v>1</v>
          </cell>
        </row>
        <row r="179">
          <cell r="F179" t="str">
            <v>推新</v>
          </cell>
          <cell r="G179" t="str">
            <v>李莉玲</v>
          </cell>
          <cell r="H179">
            <v>0</v>
          </cell>
          <cell r="I179">
            <v>0</v>
          </cell>
          <cell r="J179">
            <v>6</v>
          </cell>
          <cell r="K179">
            <v>10</v>
          </cell>
          <cell r="L179">
            <v>6</v>
          </cell>
        </row>
        <row r="180">
          <cell r="A180" t="str">
            <v>KC2EWP24000</v>
          </cell>
          <cell r="B180" t="str">
            <v>配件</v>
          </cell>
          <cell r="C180" t="str">
            <v>水泵</v>
          </cell>
          <cell r="D180">
            <v>1</v>
          </cell>
        </row>
        <row r="180">
          <cell r="F180" t="str">
            <v>推新</v>
          </cell>
          <cell r="G180" t="str">
            <v>李莉玲</v>
          </cell>
          <cell r="H180">
            <v>0</v>
          </cell>
          <cell r="I180">
            <v>0</v>
          </cell>
          <cell r="J180">
            <v>6</v>
          </cell>
          <cell r="K180">
            <v>10</v>
          </cell>
          <cell r="L180">
            <v>6</v>
          </cell>
        </row>
        <row r="181">
          <cell r="A181" t="str">
            <v>KC2EWP15700</v>
          </cell>
          <cell r="B181" t="str">
            <v>配件</v>
          </cell>
          <cell r="C181" t="str">
            <v>水泵</v>
          </cell>
          <cell r="D181">
            <v>1</v>
          </cell>
        </row>
        <row r="181">
          <cell r="F181" t="str">
            <v>推新</v>
          </cell>
          <cell r="G181" t="str">
            <v>李莉玲</v>
          </cell>
          <cell r="H181">
            <v>1</v>
          </cell>
          <cell r="I181">
            <v>1</v>
          </cell>
          <cell r="J181">
            <v>17</v>
          </cell>
          <cell r="K181">
            <v>0</v>
          </cell>
          <cell r="L181">
            <v>2</v>
          </cell>
        </row>
        <row r="182">
          <cell r="A182" t="str">
            <v>KC2EWP23800</v>
          </cell>
          <cell r="B182" t="str">
            <v>配件</v>
          </cell>
          <cell r="C182" t="str">
            <v>水泵</v>
          </cell>
          <cell r="D182">
            <v>1</v>
          </cell>
        </row>
        <row r="182">
          <cell r="F182" t="str">
            <v>推新</v>
          </cell>
          <cell r="G182" t="str">
            <v>李莉玲</v>
          </cell>
          <cell r="H182">
            <v>0</v>
          </cell>
          <cell r="I182">
            <v>0</v>
          </cell>
          <cell r="J182">
            <v>16</v>
          </cell>
          <cell r="K182">
            <v>4</v>
          </cell>
          <cell r="L182">
            <v>1</v>
          </cell>
        </row>
        <row r="183">
          <cell r="A183" t="str">
            <v>KC2EWP21900</v>
          </cell>
          <cell r="B183" t="str">
            <v>配件</v>
          </cell>
          <cell r="C183" t="str">
            <v>水泵</v>
          </cell>
          <cell r="D183">
            <v>1</v>
          </cell>
        </row>
        <row r="183">
          <cell r="F183" t="str">
            <v>交付</v>
          </cell>
          <cell r="G183" t="str">
            <v>李莉玲</v>
          </cell>
          <cell r="H183">
            <v>0</v>
          </cell>
          <cell r="I183">
            <v>0</v>
          </cell>
          <cell r="J183">
            <v>0</v>
          </cell>
          <cell r="K183">
            <v>16</v>
          </cell>
          <cell r="L183">
            <v>5</v>
          </cell>
        </row>
        <row r="184">
          <cell r="A184" t="str">
            <v>KC2EWP15000</v>
          </cell>
          <cell r="B184" t="str">
            <v>配件</v>
          </cell>
          <cell r="C184" t="str">
            <v>水泵</v>
          </cell>
          <cell r="D184">
            <v>1</v>
          </cell>
        </row>
        <row r="184">
          <cell r="F184" t="str">
            <v>交付</v>
          </cell>
          <cell r="G184" t="str">
            <v>李莉玲</v>
          </cell>
          <cell r="H184">
            <v>0</v>
          </cell>
          <cell r="I184">
            <v>0</v>
          </cell>
          <cell r="J184">
            <v>0</v>
          </cell>
          <cell r="K184">
            <v>6</v>
          </cell>
          <cell r="L184">
            <v>15</v>
          </cell>
        </row>
        <row r="185">
          <cell r="A185" t="str">
            <v>KC2EWP29300</v>
          </cell>
          <cell r="B185" t="str">
            <v>配件</v>
          </cell>
          <cell r="C185" t="str">
            <v>水泵</v>
          </cell>
          <cell r="D185">
            <v>1</v>
          </cell>
        </row>
        <row r="185">
          <cell r="F185" t="str">
            <v>推新</v>
          </cell>
          <cell r="G185" t="str">
            <v>李莉玲</v>
          </cell>
          <cell r="H185">
            <v>0</v>
          </cell>
          <cell r="I185">
            <v>0</v>
          </cell>
          <cell r="J185">
            <v>12</v>
          </cell>
          <cell r="K185">
            <v>8</v>
          </cell>
          <cell r="L185">
            <v>1</v>
          </cell>
        </row>
        <row r="186">
          <cell r="A186" t="str">
            <v>KC2EWP17400</v>
          </cell>
          <cell r="B186" t="str">
            <v>配件</v>
          </cell>
          <cell r="C186" t="str">
            <v>水泵</v>
          </cell>
          <cell r="D186">
            <v>1</v>
          </cell>
        </row>
        <row r="186">
          <cell r="F186" t="str">
            <v>推新</v>
          </cell>
          <cell r="G186" t="str">
            <v>李莉玲</v>
          </cell>
          <cell r="H186">
            <v>2</v>
          </cell>
          <cell r="I186">
            <v>2</v>
          </cell>
          <cell r="J186">
            <v>14</v>
          </cell>
          <cell r="K186">
            <v>2</v>
          </cell>
          <cell r="L186">
            <v>1</v>
          </cell>
        </row>
        <row r="187">
          <cell r="A187" t="str">
            <v>KC2EWP13500</v>
          </cell>
          <cell r="B187" t="str">
            <v>配件</v>
          </cell>
          <cell r="C187" t="str">
            <v>水泵</v>
          </cell>
          <cell r="D187">
            <v>1</v>
          </cell>
        </row>
        <row r="187">
          <cell r="F187" t="str">
            <v>推新</v>
          </cell>
          <cell r="G187" t="str">
            <v>李莉玲</v>
          </cell>
          <cell r="H187">
            <v>0</v>
          </cell>
          <cell r="I187">
            <v>0</v>
          </cell>
          <cell r="J187">
            <v>8</v>
          </cell>
          <cell r="K187">
            <v>11</v>
          </cell>
          <cell r="L187">
            <v>1</v>
          </cell>
        </row>
        <row r="188">
          <cell r="A188" t="str">
            <v>KC2EWP17100</v>
          </cell>
          <cell r="B188" t="str">
            <v>配件</v>
          </cell>
          <cell r="C188" t="str">
            <v>水泵</v>
          </cell>
          <cell r="D188">
            <v>1</v>
          </cell>
        </row>
        <row r="188">
          <cell r="F188" t="str">
            <v>推新</v>
          </cell>
          <cell r="G188" t="str">
            <v>李莉玲</v>
          </cell>
          <cell r="H188">
            <v>0</v>
          </cell>
          <cell r="I188">
            <v>0</v>
          </cell>
          <cell r="J188">
            <v>9</v>
          </cell>
          <cell r="K188">
            <v>10</v>
          </cell>
          <cell r="L188">
            <v>1</v>
          </cell>
        </row>
        <row r="189">
          <cell r="A189" t="str">
            <v>KC2EWP17000</v>
          </cell>
          <cell r="B189" t="str">
            <v>配件</v>
          </cell>
          <cell r="C189" t="str">
            <v>水泵</v>
          </cell>
          <cell r="D189">
            <v>1</v>
          </cell>
        </row>
        <row r="189">
          <cell r="F189" t="str">
            <v>推新</v>
          </cell>
          <cell r="G189" t="str">
            <v>李莉玲</v>
          </cell>
          <cell r="H189">
            <v>1</v>
          </cell>
          <cell r="I189">
            <v>8</v>
          </cell>
          <cell r="J189">
            <v>1</v>
          </cell>
          <cell r="K189">
            <v>9</v>
          </cell>
          <cell r="L189">
            <v>1</v>
          </cell>
        </row>
        <row r="190">
          <cell r="A190" t="str">
            <v>KC2EWP18700</v>
          </cell>
          <cell r="B190" t="str">
            <v>配件</v>
          </cell>
          <cell r="C190" t="str">
            <v>水泵</v>
          </cell>
          <cell r="D190">
            <v>1</v>
          </cell>
        </row>
        <row r="190">
          <cell r="F190" t="str">
            <v>推新</v>
          </cell>
          <cell r="G190" t="str">
            <v>李莉玲</v>
          </cell>
          <cell r="H190">
            <v>2</v>
          </cell>
          <cell r="I190">
            <v>10</v>
          </cell>
          <cell r="J190">
            <v>5</v>
          </cell>
          <cell r="K190">
            <v>2</v>
          </cell>
          <cell r="L190">
            <v>1</v>
          </cell>
        </row>
        <row r="191">
          <cell r="A191" t="str">
            <v>KC2EWP18400</v>
          </cell>
          <cell r="B191" t="str">
            <v>配件</v>
          </cell>
          <cell r="C191" t="str">
            <v>水泵</v>
          </cell>
          <cell r="D191">
            <v>1</v>
          </cell>
        </row>
        <row r="191">
          <cell r="F191" t="str">
            <v>推新</v>
          </cell>
          <cell r="G191" t="str">
            <v>李莉玲</v>
          </cell>
          <cell r="H191">
            <v>0</v>
          </cell>
          <cell r="I191">
            <v>0</v>
          </cell>
          <cell r="J191">
            <v>9</v>
          </cell>
          <cell r="K191">
            <v>9</v>
          </cell>
          <cell r="L191">
            <v>2</v>
          </cell>
        </row>
        <row r="192">
          <cell r="A192" t="str">
            <v>KC2EWP21300</v>
          </cell>
          <cell r="B192" t="str">
            <v>配件</v>
          </cell>
          <cell r="C192" t="str">
            <v>水泵</v>
          </cell>
          <cell r="D192">
            <v>1</v>
          </cell>
        </row>
        <row r="192">
          <cell r="F192" t="str">
            <v>推新</v>
          </cell>
          <cell r="G192" t="str">
            <v>李莉玲</v>
          </cell>
          <cell r="H192">
            <v>0</v>
          </cell>
          <cell r="I192">
            <v>0</v>
          </cell>
          <cell r="J192">
            <v>8</v>
          </cell>
          <cell r="K192">
            <v>9</v>
          </cell>
          <cell r="L192">
            <v>3</v>
          </cell>
        </row>
        <row r="193">
          <cell r="A193" t="str">
            <v>KC2EWP14400</v>
          </cell>
          <cell r="B193" t="str">
            <v>配件</v>
          </cell>
          <cell r="C193" t="str">
            <v>水泵</v>
          </cell>
          <cell r="D193">
            <v>1</v>
          </cell>
        </row>
        <row r="193">
          <cell r="F193" t="str">
            <v>推新</v>
          </cell>
          <cell r="G193" t="str">
            <v>李莉玲</v>
          </cell>
          <cell r="H193">
            <v>0</v>
          </cell>
          <cell r="I193">
            <v>0</v>
          </cell>
          <cell r="J193">
            <v>6</v>
          </cell>
          <cell r="K193">
            <v>9</v>
          </cell>
          <cell r="L193">
            <v>4</v>
          </cell>
        </row>
        <row r="194">
          <cell r="A194" t="str">
            <v>KC2EWP22200</v>
          </cell>
          <cell r="B194" t="str">
            <v>配件</v>
          </cell>
          <cell r="C194" t="str">
            <v>水泵</v>
          </cell>
          <cell r="D194">
            <v>1</v>
          </cell>
        </row>
        <row r="194">
          <cell r="F194" t="str">
            <v>推新</v>
          </cell>
          <cell r="G194" t="str">
            <v>李莉玲</v>
          </cell>
          <cell r="H194">
            <v>0</v>
          </cell>
          <cell r="I194">
            <v>0</v>
          </cell>
          <cell r="J194">
            <v>5</v>
          </cell>
          <cell r="K194">
            <v>12</v>
          </cell>
          <cell r="L194">
            <v>2</v>
          </cell>
        </row>
        <row r="195">
          <cell r="A195" t="str">
            <v>KC2EWP21600</v>
          </cell>
          <cell r="B195" t="str">
            <v>配件</v>
          </cell>
          <cell r="C195" t="str">
            <v>水泵</v>
          </cell>
          <cell r="D195">
            <v>1</v>
          </cell>
        </row>
        <row r="195">
          <cell r="F195" t="str">
            <v>推新</v>
          </cell>
          <cell r="G195" t="str">
            <v>李莉玲</v>
          </cell>
          <cell r="H195">
            <v>0</v>
          </cell>
          <cell r="I195">
            <v>0</v>
          </cell>
          <cell r="J195">
            <v>7</v>
          </cell>
          <cell r="K195">
            <v>7</v>
          </cell>
          <cell r="L195">
            <v>5</v>
          </cell>
        </row>
        <row r="196">
          <cell r="A196" t="str">
            <v>KC2EWP14600</v>
          </cell>
          <cell r="B196" t="str">
            <v>配件</v>
          </cell>
          <cell r="C196" t="str">
            <v>水泵</v>
          </cell>
          <cell r="D196">
            <v>1</v>
          </cell>
        </row>
        <row r="196">
          <cell r="F196" t="str">
            <v>推新</v>
          </cell>
          <cell r="G196" t="str">
            <v>李莉玲</v>
          </cell>
          <cell r="H196">
            <v>0</v>
          </cell>
          <cell r="I196">
            <v>0</v>
          </cell>
          <cell r="J196">
            <v>8</v>
          </cell>
          <cell r="K196">
            <v>8</v>
          </cell>
          <cell r="L196">
            <v>3</v>
          </cell>
        </row>
        <row r="197">
          <cell r="A197" t="str">
            <v>KC2EWP21400</v>
          </cell>
          <cell r="B197" t="str">
            <v>配件</v>
          </cell>
          <cell r="C197" t="str">
            <v>水泵</v>
          </cell>
          <cell r="D197">
            <v>1</v>
          </cell>
        </row>
        <row r="197">
          <cell r="F197" t="str">
            <v>推新</v>
          </cell>
          <cell r="G197" t="str">
            <v>李莉玲</v>
          </cell>
          <cell r="H197">
            <v>0</v>
          </cell>
          <cell r="I197">
            <v>0</v>
          </cell>
          <cell r="J197">
            <v>8</v>
          </cell>
          <cell r="K197">
            <v>10</v>
          </cell>
          <cell r="L197">
            <v>1</v>
          </cell>
        </row>
        <row r="198">
          <cell r="A198" t="str">
            <v>KC2EWP16100</v>
          </cell>
          <cell r="B198" t="str">
            <v>配件</v>
          </cell>
          <cell r="C198" t="str">
            <v>水泵</v>
          </cell>
          <cell r="D198">
            <v>1</v>
          </cell>
        </row>
        <row r="198">
          <cell r="F198" t="str">
            <v>推新</v>
          </cell>
          <cell r="G198" t="str">
            <v>李莉玲</v>
          </cell>
          <cell r="H198">
            <v>0</v>
          </cell>
          <cell r="I198">
            <v>0</v>
          </cell>
          <cell r="J198">
            <v>6</v>
          </cell>
          <cell r="K198">
            <v>9</v>
          </cell>
          <cell r="L198">
            <v>4</v>
          </cell>
        </row>
        <row r="199">
          <cell r="A199" t="str">
            <v>KC2EWP26700</v>
          </cell>
          <cell r="B199" t="str">
            <v>配件</v>
          </cell>
          <cell r="C199" t="str">
            <v>水泵</v>
          </cell>
          <cell r="D199">
            <v>1</v>
          </cell>
        </row>
        <row r="199">
          <cell r="F199" t="str">
            <v>推新</v>
          </cell>
          <cell r="G199" t="str">
            <v>李莉玲</v>
          </cell>
          <cell r="H199">
            <v>0</v>
          </cell>
          <cell r="I199">
            <v>0</v>
          </cell>
          <cell r="J199">
            <v>6</v>
          </cell>
          <cell r="K199">
            <v>11</v>
          </cell>
          <cell r="L199">
            <v>1</v>
          </cell>
        </row>
        <row r="200">
          <cell r="A200" t="str">
            <v>KC2EWP20000</v>
          </cell>
          <cell r="B200" t="str">
            <v>配件</v>
          </cell>
          <cell r="C200" t="str">
            <v>水泵</v>
          </cell>
          <cell r="D200">
            <v>1</v>
          </cell>
        </row>
        <row r="200">
          <cell r="F200" t="str">
            <v>推新</v>
          </cell>
          <cell r="G200" t="str">
            <v>李莉玲</v>
          </cell>
          <cell r="H200">
            <v>0</v>
          </cell>
          <cell r="I200">
            <v>0</v>
          </cell>
          <cell r="J200">
            <v>6</v>
          </cell>
          <cell r="K200">
            <v>10</v>
          </cell>
          <cell r="L200">
            <v>2</v>
          </cell>
        </row>
        <row r="201">
          <cell r="A201" t="str">
            <v>OO2EWP05000</v>
          </cell>
          <cell r="B201" t="str">
            <v>配件</v>
          </cell>
          <cell r="C201" t="str">
            <v>水泵</v>
          </cell>
          <cell r="D201">
            <v>1</v>
          </cell>
        </row>
        <row r="201">
          <cell r="F201" t="str">
            <v>B</v>
          </cell>
          <cell r="G201" t="str">
            <v>李莉玲</v>
          </cell>
          <cell r="H201">
            <v>3</v>
          </cell>
          <cell r="I201">
            <v>0</v>
          </cell>
          <cell r="J201">
            <v>0</v>
          </cell>
          <cell r="K201">
            <v>0</v>
          </cell>
          <cell r="L201">
            <v>14</v>
          </cell>
        </row>
        <row r="202">
          <cell r="A202" t="str">
            <v>KC2EWP19200</v>
          </cell>
          <cell r="B202" t="str">
            <v>配件</v>
          </cell>
          <cell r="C202" t="str">
            <v>水泵</v>
          </cell>
          <cell r="D202">
            <v>1</v>
          </cell>
        </row>
        <row r="202">
          <cell r="F202" t="str">
            <v>推新</v>
          </cell>
          <cell r="G202" t="str">
            <v>李莉玲</v>
          </cell>
          <cell r="H202">
            <v>0</v>
          </cell>
          <cell r="I202">
            <v>0</v>
          </cell>
          <cell r="J202">
            <v>8</v>
          </cell>
          <cell r="K202">
            <v>8</v>
          </cell>
          <cell r="L202">
            <v>1</v>
          </cell>
        </row>
        <row r="203">
          <cell r="A203" t="str">
            <v>KC2EWP23700</v>
          </cell>
          <cell r="B203" t="str">
            <v>配件</v>
          </cell>
          <cell r="C203" t="str">
            <v>水泵</v>
          </cell>
          <cell r="D203">
            <v>1</v>
          </cell>
        </row>
        <row r="203">
          <cell r="F203" t="str">
            <v>推新</v>
          </cell>
          <cell r="G203" t="str">
            <v>李莉玲</v>
          </cell>
          <cell r="H203">
            <v>0</v>
          </cell>
          <cell r="I203">
            <v>0</v>
          </cell>
          <cell r="J203">
            <v>8</v>
          </cell>
          <cell r="K203">
            <v>6</v>
          </cell>
          <cell r="L203">
            <v>2</v>
          </cell>
        </row>
        <row r="204">
          <cell r="A204" t="str">
            <v>KC2EWP22900</v>
          </cell>
          <cell r="B204" t="str">
            <v>配件</v>
          </cell>
          <cell r="C204" t="str">
            <v>水泵</v>
          </cell>
          <cell r="D204">
            <v>1</v>
          </cell>
        </row>
        <row r="204">
          <cell r="F204" t="str">
            <v>推新</v>
          </cell>
          <cell r="G204" t="str">
            <v>李莉玲</v>
          </cell>
          <cell r="H204">
            <v>0</v>
          </cell>
          <cell r="I204">
            <v>5</v>
          </cell>
          <cell r="J204">
            <v>7</v>
          </cell>
          <cell r="K204">
            <v>3</v>
          </cell>
          <cell r="L204">
            <v>1</v>
          </cell>
        </row>
        <row r="205">
          <cell r="A205" t="str">
            <v>KC2EWP13900</v>
          </cell>
          <cell r="B205" t="str">
            <v>配件</v>
          </cell>
          <cell r="C205" t="str">
            <v>水泵</v>
          </cell>
          <cell r="D205">
            <v>1</v>
          </cell>
        </row>
        <row r="205">
          <cell r="F205" t="str">
            <v>推新</v>
          </cell>
          <cell r="G205" t="str">
            <v>李莉玲</v>
          </cell>
          <cell r="H205">
            <v>0</v>
          </cell>
          <cell r="I205">
            <v>0</v>
          </cell>
          <cell r="J205">
            <v>8</v>
          </cell>
          <cell r="K205">
            <v>7</v>
          </cell>
          <cell r="L205">
            <v>1</v>
          </cell>
        </row>
        <row r="206">
          <cell r="A206" t="str">
            <v>KC2EWP17500</v>
          </cell>
          <cell r="B206" t="str">
            <v>配件</v>
          </cell>
          <cell r="C206" t="str">
            <v>水泵</v>
          </cell>
          <cell r="D206">
            <v>1</v>
          </cell>
        </row>
        <row r="206">
          <cell r="F206" t="str">
            <v>推新</v>
          </cell>
          <cell r="G206" t="str">
            <v>李莉玲</v>
          </cell>
          <cell r="H206">
            <v>0</v>
          </cell>
          <cell r="I206">
            <v>0</v>
          </cell>
          <cell r="J206">
            <v>4</v>
          </cell>
          <cell r="K206">
            <v>10</v>
          </cell>
          <cell r="L206">
            <v>1</v>
          </cell>
        </row>
        <row r="207">
          <cell r="A207" t="str">
            <v>KC2EWP21500</v>
          </cell>
          <cell r="B207" t="str">
            <v>配件</v>
          </cell>
          <cell r="C207" t="str">
            <v>水泵</v>
          </cell>
          <cell r="D207">
            <v>1</v>
          </cell>
        </row>
        <row r="207">
          <cell r="F207" t="str">
            <v>推新</v>
          </cell>
          <cell r="G207" t="str">
            <v>李莉玲</v>
          </cell>
          <cell r="H207">
            <v>0</v>
          </cell>
          <cell r="I207">
            <v>0</v>
          </cell>
          <cell r="J207">
            <v>8</v>
          </cell>
          <cell r="K207">
            <v>6</v>
          </cell>
          <cell r="L207">
            <v>1</v>
          </cell>
        </row>
        <row r="208">
          <cell r="A208" t="str">
            <v>KC2EWP19000</v>
          </cell>
          <cell r="B208" t="str">
            <v>配件</v>
          </cell>
          <cell r="C208" t="str">
            <v>水泵</v>
          </cell>
          <cell r="D208">
            <v>1</v>
          </cell>
        </row>
        <row r="208">
          <cell r="F208" t="str">
            <v>推新</v>
          </cell>
          <cell r="G208" t="str">
            <v>李莉玲</v>
          </cell>
          <cell r="H208">
            <v>0</v>
          </cell>
          <cell r="I208">
            <v>0</v>
          </cell>
          <cell r="J208">
            <v>2</v>
          </cell>
          <cell r="K208">
            <v>9</v>
          </cell>
          <cell r="L208">
            <v>4</v>
          </cell>
        </row>
        <row r="209">
          <cell r="A209" t="str">
            <v>KC2EWP27100</v>
          </cell>
          <cell r="B209" t="str">
            <v>配件</v>
          </cell>
          <cell r="C209" t="str">
            <v>水泵</v>
          </cell>
          <cell r="D209">
            <v>1</v>
          </cell>
        </row>
        <row r="209">
          <cell r="F209" t="str">
            <v>推新</v>
          </cell>
          <cell r="G209" t="str">
            <v>李莉玲</v>
          </cell>
          <cell r="H209">
            <v>0</v>
          </cell>
          <cell r="I209">
            <v>0</v>
          </cell>
          <cell r="J209">
            <v>6</v>
          </cell>
          <cell r="K209">
            <v>7</v>
          </cell>
          <cell r="L209">
            <v>1</v>
          </cell>
        </row>
        <row r="210">
          <cell r="A210" t="str">
            <v>OO2EWP09500</v>
          </cell>
          <cell r="B210" t="str">
            <v>配件</v>
          </cell>
          <cell r="C210" t="str">
            <v>水泵</v>
          </cell>
          <cell r="D210">
            <v>1</v>
          </cell>
        </row>
        <row r="210">
          <cell r="F210" t="str">
            <v>C</v>
          </cell>
          <cell r="G210" t="str">
            <v>李莉玲</v>
          </cell>
          <cell r="H210">
            <v>0</v>
          </cell>
          <cell r="I210">
            <v>0</v>
          </cell>
          <cell r="J210">
            <v>9</v>
          </cell>
          <cell r="K210">
            <v>1</v>
          </cell>
          <cell r="L210">
            <v>4</v>
          </cell>
        </row>
        <row r="211">
          <cell r="A211" t="str">
            <v>KC2EWP19900</v>
          </cell>
          <cell r="B211" t="str">
            <v>配件</v>
          </cell>
          <cell r="C211" t="str">
            <v>水泵</v>
          </cell>
          <cell r="D211">
            <v>1</v>
          </cell>
        </row>
        <row r="211">
          <cell r="F211" t="str">
            <v>推新</v>
          </cell>
          <cell r="G211" t="str">
            <v>李莉玲</v>
          </cell>
          <cell r="H211">
            <v>0</v>
          </cell>
          <cell r="I211">
            <v>0</v>
          </cell>
          <cell r="J211">
            <v>2</v>
          </cell>
          <cell r="K211">
            <v>10</v>
          </cell>
          <cell r="L211">
            <v>1</v>
          </cell>
        </row>
        <row r="212">
          <cell r="A212" t="str">
            <v>OO2EWP05200</v>
          </cell>
          <cell r="B212" t="str">
            <v>配件</v>
          </cell>
          <cell r="C212" t="str">
            <v>水泵</v>
          </cell>
          <cell r="D212">
            <v>1</v>
          </cell>
        </row>
        <row r="212">
          <cell r="F212" t="str">
            <v>B</v>
          </cell>
          <cell r="G212" t="str">
            <v>李莉玲</v>
          </cell>
          <cell r="H212">
            <v>0</v>
          </cell>
          <cell r="I212">
            <v>0</v>
          </cell>
          <cell r="J212">
            <v>7</v>
          </cell>
          <cell r="K212">
            <v>5</v>
          </cell>
          <cell r="L212">
            <v>0</v>
          </cell>
        </row>
        <row r="213">
          <cell r="A213" t="str">
            <v>KC2EWP14500</v>
          </cell>
          <cell r="B213" t="str">
            <v>配件</v>
          </cell>
          <cell r="C213" t="str">
            <v>水泵</v>
          </cell>
          <cell r="D213">
            <v>1</v>
          </cell>
        </row>
        <row r="213">
          <cell r="F213" t="str">
            <v>推新</v>
          </cell>
          <cell r="G213" t="str">
            <v>李莉玲</v>
          </cell>
          <cell r="H213">
            <v>0</v>
          </cell>
          <cell r="I213">
            <v>0</v>
          </cell>
          <cell r="J213">
            <v>1</v>
          </cell>
          <cell r="K213">
            <v>10</v>
          </cell>
          <cell r="L213">
            <v>1</v>
          </cell>
        </row>
        <row r="214">
          <cell r="A214" t="str">
            <v>KC2EWP16300</v>
          </cell>
          <cell r="B214" t="str">
            <v>配件</v>
          </cell>
          <cell r="C214" t="str">
            <v>水泵</v>
          </cell>
          <cell r="D214">
            <v>1</v>
          </cell>
        </row>
        <row r="214">
          <cell r="F214" t="str">
            <v>推新</v>
          </cell>
          <cell r="G214" t="str">
            <v>李莉玲</v>
          </cell>
          <cell r="H214">
            <v>0</v>
          </cell>
          <cell r="I214">
            <v>0</v>
          </cell>
          <cell r="J214">
            <v>4</v>
          </cell>
          <cell r="K214">
            <v>4</v>
          </cell>
          <cell r="L214">
            <v>1</v>
          </cell>
        </row>
        <row r="215">
          <cell r="A215" t="str">
            <v>OO2EWP04100</v>
          </cell>
          <cell r="B215" t="str">
            <v>配件</v>
          </cell>
          <cell r="C215" t="str">
            <v>水泵</v>
          </cell>
          <cell r="D215">
            <v>1</v>
          </cell>
        </row>
        <row r="215">
          <cell r="F215" t="str">
            <v>C</v>
          </cell>
          <cell r="G215" t="str">
            <v>李莉玲</v>
          </cell>
          <cell r="H215">
            <v>0</v>
          </cell>
          <cell r="I215">
            <v>0</v>
          </cell>
          <cell r="J215">
            <v>7</v>
          </cell>
          <cell r="K215">
            <v>0</v>
          </cell>
          <cell r="L215">
            <v>0</v>
          </cell>
        </row>
        <row r="216">
          <cell r="A216" t="str">
            <v>KC2EWP16800</v>
          </cell>
          <cell r="B216" t="str">
            <v>配件</v>
          </cell>
          <cell r="C216" t="str">
            <v>水泵</v>
          </cell>
          <cell r="D216">
            <v>1</v>
          </cell>
        </row>
        <row r="216">
          <cell r="F216" t="str">
            <v>推新</v>
          </cell>
          <cell r="G216" t="str">
            <v>李莉玲</v>
          </cell>
          <cell r="H216">
            <v>0</v>
          </cell>
          <cell r="I216">
            <v>0</v>
          </cell>
          <cell r="J216">
            <v>0</v>
          </cell>
          <cell r="K216">
            <v>4</v>
          </cell>
          <cell r="L216">
            <v>1</v>
          </cell>
        </row>
        <row r="217">
          <cell r="A217" t="str">
            <v>OO2EWP01500</v>
          </cell>
          <cell r="B217" t="str">
            <v>配件</v>
          </cell>
          <cell r="C217" t="str">
            <v>水泵</v>
          </cell>
          <cell r="D217">
            <v>1</v>
          </cell>
        </row>
        <row r="217">
          <cell r="F217" t="str">
            <v>C</v>
          </cell>
          <cell r="G217" t="str">
            <v>李莉玲</v>
          </cell>
          <cell r="H217">
            <v>1</v>
          </cell>
          <cell r="I217">
            <v>0</v>
          </cell>
          <cell r="J217">
            <v>2</v>
          </cell>
          <cell r="K217">
            <v>0</v>
          </cell>
          <cell r="L217">
            <v>0</v>
          </cell>
        </row>
        <row r="218">
          <cell r="A218" t="str">
            <v>ZC2CLK05400</v>
          </cell>
          <cell r="B218" t="str">
            <v>配件</v>
          </cell>
          <cell r="C218" t="str">
            <v>水泵</v>
          </cell>
          <cell r="D218">
            <v>1</v>
          </cell>
        </row>
        <row r="218">
          <cell r="F218" t="str">
            <v>C</v>
          </cell>
          <cell r="G218" t="str">
            <v>李莉玲</v>
          </cell>
          <cell r="H218">
            <v>0</v>
          </cell>
          <cell r="I218">
            <v>0</v>
          </cell>
          <cell r="J218">
            <v>3</v>
          </cell>
          <cell r="K218">
            <v>0</v>
          </cell>
          <cell r="L218">
            <v>0</v>
          </cell>
        </row>
        <row r="219">
          <cell r="A219" t="str">
            <v>OO2EWP01700</v>
          </cell>
          <cell r="B219" t="str">
            <v>配件</v>
          </cell>
          <cell r="C219" t="str">
            <v>水泵</v>
          </cell>
        </row>
        <row r="219">
          <cell r="F219" t="str">
            <v>C</v>
          </cell>
          <cell r="G219" t="str">
            <v>李莉玲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</row>
        <row r="220">
          <cell r="A220" t="str">
            <v>OO2EWP01100</v>
          </cell>
          <cell r="B220" t="str">
            <v>配件</v>
          </cell>
          <cell r="C220" t="str">
            <v>水泵</v>
          </cell>
          <cell r="D220">
            <v>1</v>
          </cell>
        </row>
        <row r="220">
          <cell r="F220" t="str">
            <v>C</v>
          </cell>
          <cell r="G220" t="str">
            <v>李莉玲</v>
          </cell>
          <cell r="H220">
            <v>0</v>
          </cell>
          <cell r="I220">
            <v>0</v>
          </cell>
          <cell r="J220">
            <v>1</v>
          </cell>
          <cell r="K220">
            <v>0</v>
          </cell>
          <cell r="L220">
            <v>0</v>
          </cell>
        </row>
        <row r="221">
          <cell r="A221" t="str">
            <v>OO2EWP02500-R</v>
          </cell>
          <cell r="B221" t="str">
            <v>配件</v>
          </cell>
          <cell r="C221" t="str">
            <v>水泵</v>
          </cell>
        </row>
        <row r="221">
          <cell r="F221" t="str">
            <v>推新</v>
          </cell>
          <cell r="G221" t="str">
            <v>李莉玲</v>
          </cell>
          <cell r="H221">
            <v>0</v>
          </cell>
          <cell r="I221">
            <v>0</v>
          </cell>
          <cell r="J221">
            <v>1</v>
          </cell>
          <cell r="K221">
            <v>0</v>
          </cell>
          <cell r="L221">
            <v>0</v>
          </cell>
        </row>
        <row r="222">
          <cell r="A222" t="str">
            <v>KC2EWP14800</v>
          </cell>
          <cell r="B222" t="str">
            <v>配件</v>
          </cell>
          <cell r="C222" t="str">
            <v>水泵</v>
          </cell>
        </row>
        <row r="222">
          <cell r="F222" t="str">
            <v>交付</v>
          </cell>
          <cell r="G222" t="str">
            <v>李莉玲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1</v>
          </cell>
        </row>
        <row r="223">
          <cell r="A223" t="str">
            <v>ZC2CLK04500</v>
          </cell>
          <cell r="B223" t="str">
            <v>配件</v>
          </cell>
          <cell r="C223" t="str">
            <v>水泵</v>
          </cell>
        </row>
        <row r="223">
          <cell r="F223" t="str">
            <v>C</v>
          </cell>
          <cell r="G223" t="str">
            <v>李莉玲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1</v>
          </cell>
        </row>
        <row r="224">
          <cell r="A224" t="str">
            <v>OO2EWP02300</v>
          </cell>
          <cell r="B224" t="str">
            <v>配件</v>
          </cell>
          <cell r="C224" t="str">
            <v>水泵</v>
          </cell>
        </row>
        <row r="224">
          <cell r="F224" t="str">
            <v>C</v>
          </cell>
          <cell r="G224" t="str">
            <v>李莉玲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1</v>
          </cell>
        </row>
        <row r="225">
          <cell r="A225" t="str">
            <v>OO2EWP01000-R</v>
          </cell>
          <cell r="B225" t="str">
            <v>配件</v>
          </cell>
          <cell r="C225" t="str">
            <v>水泵</v>
          </cell>
        </row>
        <row r="225">
          <cell r="F225" t="str">
            <v>C</v>
          </cell>
          <cell r="G225" t="str">
            <v>李莉玲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</row>
        <row r="226">
          <cell r="A226" t="str">
            <v>OO2EWP01800-R</v>
          </cell>
          <cell r="B226" t="str">
            <v>配件</v>
          </cell>
          <cell r="C226" t="str">
            <v>水泵</v>
          </cell>
        </row>
        <row r="226">
          <cell r="F226" t="str">
            <v>推新</v>
          </cell>
          <cell r="G226" t="str">
            <v>李莉玲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</row>
        <row r="227">
          <cell r="A227" t="str">
            <v>ZC2CLK01900</v>
          </cell>
          <cell r="B227" t="str">
            <v>配件</v>
          </cell>
          <cell r="C227" t="str">
            <v>水泵</v>
          </cell>
        </row>
        <row r="227">
          <cell r="F227" t="str">
            <v>停用</v>
          </cell>
          <cell r="G227" t="str">
            <v>李莉玲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</row>
        <row r="228">
          <cell r="A228" t="str">
            <v>ZC2CLK02400</v>
          </cell>
          <cell r="B228" t="str">
            <v>配件</v>
          </cell>
          <cell r="C228" t="str">
            <v>水泵</v>
          </cell>
        </row>
        <row r="228">
          <cell r="F228" t="str">
            <v>停用</v>
          </cell>
          <cell r="G228" t="str">
            <v>李莉玲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A229" t="str">
            <v>ZC2CLK02800</v>
          </cell>
          <cell r="B229" t="str">
            <v>配件</v>
          </cell>
          <cell r="C229" t="str">
            <v>水泵</v>
          </cell>
        </row>
        <row r="229">
          <cell r="F229" t="str">
            <v>停用</v>
          </cell>
          <cell r="G229" t="str">
            <v>李莉玲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</row>
        <row r="230">
          <cell r="A230" t="str">
            <v>ZC2CLK02700</v>
          </cell>
          <cell r="B230" t="str">
            <v>配件</v>
          </cell>
          <cell r="C230" t="str">
            <v>水泵</v>
          </cell>
        </row>
        <row r="230">
          <cell r="F230" t="str">
            <v>C</v>
          </cell>
          <cell r="G230" t="str">
            <v>李莉玲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</row>
        <row r="231">
          <cell r="A231" t="str">
            <v>ZC2CLK03600</v>
          </cell>
          <cell r="B231" t="str">
            <v>配件</v>
          </cell>
          <cell r="C231" t="str">
            <v>水泵</v>
          </cell>
        </row>
        <row r="231">
          <cell r="F231" t="str">
            <v>停用</v>
          </cell>
          <cell r="G231" t="str">
            <v>李莉玲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</row>
        <row r="232">
          <cell r="A232" t="str">
            <v>ZC2CLK02500</v>
          </cell>
          <cell r="B232" t="str">
            <v>配件</v>
          </cell>
          <cell r="C232" t="str">
            <v>水泵</v>
          </cell>
        </row>
        <row r="232">
          <cell r="F232" t="str">
            <v>停用</v>
          </cell>
          <cell r="G232" t="str">
            <v>李莉玲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A233" t="str">
            <v>ZC2CLK03400</v>
          </cell>
          <cell r="B233" t="str">
            <v>配件</v>
          </cell>
          <cell r="C233" t="str">
            <v>水泵</v>
          </cell>
        </row>
        <row r="233">
          <cell r="F233" t="str">
            <v>停用</v>
          </cell>
          <cell r="G233" t="str">
            <v>李莉玲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</row>
        <row r="234">
          <cell r="A234" t="str">
            <v>ZC2CLK02300</v>
          </cell>
          <cell r="B234" t="str">
            <v>配件</v>
          </cell>
          <cell r="C234" t="str">
            <v>水泵</v>
          </cell>
        </row>
        <row r="234">
          <cell r="F234" t="str">
            <v>停用</v>
          </cell>
          <cell r="G234" t="str">
            <v>李莉玲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A235" t="str">
            <v>ZC2CLK05200</v>
          </cell>
          <cell r="B235" t="str">
            <v>配件</v>
          </cell>
          <cell r="C235" t="str">
            <v>水泵</v>
          </cell>
        </row>
        <row r="235">
          <cell r="F235" t="str">
            <v>停用</v>
          </cell>
          <cell r="G235" t="str">
            <v>李莉玲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 t="str">
            <v>          </v>
          </cell>
        </row>
        <row r="236">
          <cell r="A236" t="str">
            <v>ZC2CLK03500</v>
          </cell>
          <cell r="B236" t="str">
            <v>配件</v>
          </cell>
          <cell r="C236" t="str">
            <v>水泵</v>
          </cell>
        </row>
        <row r="236">
          <cell r="F236" t="str">
            <v>停用</v>
          </cell>
          <cell r="G236" t="str">
            <v>李莉玲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A237" t="str">
            <v>ZC2CLK02200</v>
          </cell>
          <cell r="B237" t="str">
            <v>配件</v>
          </cell>
          <cell r="C237" t="str">
            <v>水泵</v>
          </cell>
        </row>
        <row r="237">
          <cell r="F237" t="str">
            <v>C</v>
          </cell>
          <cell r="G237" t="str">
            <v>李莉玲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A238" t="str">
            <v>OO2EWP03800</v>
          </cell>
          <cell r="B238" t="str">
            <v>配件</v>
          </cell>
          <cell r="C238" t="str">
            <v>水泵</v>
          </cell>
        </row>
        <row r="238">
          <cell r="F238" t="str">
            <v>C</v>
          </cell>
          <cell r="G238" t="str">
            <v>李莉玲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A239" t="str">
            <v>ZC2CLK03200</v>
          </cell>
          <cell r="B239" t="str">
            <v>配件</v>
          </cell>
          <cell r="C239" t="str">
            <v>水泵</v>
          </cell>
        </row>
        <row r="239">
          <cell r="F239" t="str">
            <v>停用</v>
          </cell>
          <cell r="G239" t="str">
            <v>李莉玲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A240" t="str">
            <v>OO2EWP03500</v>
          </cell>
          <cell r="B240" t="str">
            <v>配件</v>
          </cell>
          <cell r="C240" t="str">
            <v>水泵</v>
          </cell>
        </row>
        <row r="240">
          <cell r="F240" t="str">
            <v>停用</v>
          </cell>
          <cell r="G240" t="str">
            <v>李莉玲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A241" t="str">
            <v>KC2EWP17800</v>
          </cell>
          <cell r="B241" t="str">
            <v>配件</v>
          </cell>
          <cell r="C241" t="str">
            <v>水泵</v>
          </cell>
        </row>
        <row r="241">
          <cell r="F241" t="str">
            <v>交付</v>
          </cell>
          <cell r="G241" t="str">
            <v>李莉玲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A242" t="str">
            <v>OO2EWP04300</v>
          </cell>
          <cell r="B242" t="str">
            <v>配件</v>
          </cell>
          <cell r="C242" t="str">
            <v>水泵</v>
          </cell>
        </row>
        <row r="242">
          <cell r="F242" t="str">
            <v>C</v>
          </cell>
          <cell r="G242" t="str">
            <v>李莉玲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A243" t="str">
            <v>ZC2CLK04800</v>
          </cell>
          <cell r="B243" t="str">
            <v>配件</v>
          </cell>
          <cell r="C243" t="str">
            <v>水泵</v>
          </cell>
        </row>
        <row r="243">
          <cell r="F243" t="str">
            <v>停用</v>
          </cell>
          <cell r="G243" t="str">
            <v>李莉玲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A244" t="str">
            <v>ZC2CLK02600</v>
          </cell>
          <cell r="B244" t="str">
            <v>配件</v>
          </cell>
          <cell r="C244" t="str">
            <v>水泵</v>
          </cell>
        </row>
        <row r="244">
          <cell r="F244" t="str">
            <v>C</v>
          </cell>
          <cell r="G244" t="str">
            <v>李莉玲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ZC2CLK04000</v>
          </cell>
          <cell r="B245" t="str">
            <v>配件</v>
          </cell>
          <cell r="C245" t="str">
            <v>水泵</v>
          </cell>
        </row>
        <row r="245">
          <cell r="F245" t="str">
            <v>停用</v>
          </cell>
          <cell r="G245" t="str">
            <v>李莉玲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A246" t="str">
            <v>ZC2CLK03900</v>
          </cell>
          <cell r="B246" t="str">
            <v>配件</v>
          </cell>
          <cell r="C246" t="str">
            <v>水泵</v>
          </cell>
        </row>
        <row r="246">
          <cell r="F246" t="str">
            <v>停用</v>
          </cell>
          <cell r="G246" t="str">
            <v>李莉玲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A247" t="str">
            <v>OO2EWP02200</v>
          </cell>
          <cell r="B247" t="str">
            <v>配件</v>
          </cell>
          <cell r="C247" t="str">
            <v>水泵</v>
          </cell>
        </row>
        <row r="247">
          <cell r="F247" t="str">
            <v>C</v>
          </cell>
          <cell r="G247" t="str">
            <v>李莉玲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A248" t="str">
            <v>ZC2CLK04200</v>
          </cell>
          <cell r="B248" t="str">
            <v>配件</v>
          </cell>
          <cell r="C248" t="str">
            <v>水泵</v>
          </cell>
        </row>
        <row r="248">
          <cell r="F248" t="str">
            <v>停用</v>
          </cell>
          <cell r="G248" t="str">
            <v>李莉玲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A249" t="str">
            <v>OO2EWP04200</v>
          </cell>
          <cell r="B249" t="str">
            <v>配件</v>
          </cell>
          <cell r="C249" t="str">
            <v>水泵</v>
          </cell>
        </row>
        <row r="249">
          <cell r="F249" t="str">
            <v>停用</v>
          </cell>
          <cell r="G249" t="str">
            <v>李莉玲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 t="str">
            <v>ZC2CLK02100</v>
          </cell>
          <cell r="B250" t="str">
            <v>配件</v>
          </cell>
          <cell r="C250" t="str">
            <v>水泵</v>
          </cell>
        </row>
        <row r="250">
          <cell r="F250" t="str">
            <v>停用</v>
          </cell>
          <cell r="G250" t="str">
            <v>李莉玲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A251" t="str">
            <v>ZC2CLK03800</v>
          </cell>
          <cell r="B251" t="str">
            <v>配件</v>
          </cell>
          <cell r="C251" t="str">
            <v>水泵</v>
          </cell>
        </row>
        <row r="251">
          <cell r="F251" t="str">
            <v>停用</v>
          </cell>
          <cell r="G251" t="str">
            <v>李莉玲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A252" t="str">
            <v>ZC2CLK03100</v>
          </cell>
          <cell r="B252" t="str">
            <v>配件</v>
          </cell>
          <cell r="C252" t="str">
            <v>水泵</v>
          </cell>
        </row>
        <row r="252">
          <cell r="F252" t="str">
            <v>停用</v>
          </cell>
          <cell r="G252" t="str">
            <v>李莉玲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pane ySplit="1" topLeftCell="A2" activePane="bottomLeft" state="frozen"/>
      <selection/>
      <selection pane="bottomLeft" activeCell="G23" sqref="G23"/>
    </sheetView>
  </sheetViews>
  <sheetFormatPr defaultColWidth="9" defaultRowHeight="16.5"/>
  <cols>
    <col min="1" max="1" width="13.2583333333333" style="11" customWidth="1"/>
    <col min="2" max="2" width="12.3416666666667" style="3" customWidth="1"/>
    <col min="3" max="3" width="16.2416666666667" style="3" customWidth="1"/>
    <col min="4" max="6" width="9" style="12"/>
  </cols>
  <sheetData>
    <row r="1" ht="28.5" spans="1:10">
      <c r="A1" s="13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6" t="s">
        <v>8</v>
      </c>
      <c r="J1" s="16" t="s">
        <v>9</v>
      </c>
    </row>
    <row r="2" spans="1:10">
      <c r="A2" s="17" t="s">
        <v>10</v>
      </c>
      <c r="B2" s="18" t="s">
        <v>11</v>
      </c>
      <c r="C2" s="18" t="s">
        <v>12</v>
      </c>
      <c r="D2" s="12">
        <f>VLOOKUP(B:B,[1]FBA库存明细10.19!$L:$P,5,0)</f>
        <v>12</v>
      </c>
      <c r="E2" s="12">
        <f>VLOOKUP(B:B,[1]FBA库存明细10.19!$L:$Q,6,0)</f>
        <v>3</v>
      </c>
      <c r="F2" s="12">
        <f>VLOOKUP(B:B,[1]FBA库存明细10.19!$L:$T,9,0)</f>
        <v>6</v>
      </c>
      <c r="G2" s="19">
        <f>D2+F2</f>
        <v>18</v>
      </c>
      <c r="H2">
        <f>VLOOKUP(A:A,[1]进销存10.20!$A:$J,10,0)</f>
        <v>29</v>
      </c>
      <c r="I2">
        <f>VLOOKUP(A:A,[1]进销存10.20!$A:$K,11,0)</f>
        <v>25</v>
      </c>
      <c r="J2">
        <f>VLOOKUP(A:A,[1]进销存10.20!$A:$L,12,0)</f>
        <v>17</v>
      </c>
    </row>
    <row r="3" spans="1:10">
      <c r="A3" s="17" t="s">
        <v>13</v>
      </c>
      <c r="B3" s="18" t="s">
        <v>14</v>
      </c>
      <c r="C3" s="18" t="s">
        <v>15</v>
      </c>
      <c r="D3" s="12">
        <f>VLOOKUP(B:B,[1]FBA库存明细10.19!$L:$P,5,0)</f>
        <v>0</v>
      </c>
      <c r="E3" s="12">
        <f>VLOOKUP(B:B,[1]FBA库存明细10.19!$L:$Q,6,0)</f>
        <v>0</v>
      </c>
      <c r="F3" s="12">
        <f>VLOOKUP(B:B,[1]FBA库存明细10.19!$L:$T,9,0)</f>
        <v>35</v>
      </c>
      <c r="G3" s="19">
        <f t="shared" ref="G3:G43" si="0">D3+F3</f>
        <v>35</v>
      </c>
      <c r="H3">
        <f>VLOOKUP(A:A,[1]进销存10.20!$A:$J,10,0)</f>
        <v>14</v>
      </c>
      <c r="I3">
        <f>VLOOKUP(A:A,[1]进销存10.20!$A:$K,11,0)</f>
        <v>64</v>
      </c>
      <c r="J3">
        <f>VLOOKUP(A:A,[1]进销存10.20!$A:$L,12,0)</f>
        <v>12</v>
      </c>
    </row>
    <row r="4" spans="1:10">
      <c r="A4" s="17" t="s">
        <v>16</v>
      </c>
      <c r="B4" s="18" t="s">
        <v>17</v>
      </c>
      <c r="C4" s="18" t="s">
        <v>18</v>
      </c>
      <c r="D4" s="12">
        <f>VLOOKUP(B:B,[1]FBA库存明细10.19!$L:$P,5,0)</f>
        <v>0</v>
      </c>
      <c r="E4" s="12">
        <f>VLOOKUP(B:B,[1]FBA库存明细10.19!$L:$Q,6,0)</f>
        <v>0</v>
      </c>
      <c r="F4" s="12">
        <f>VLOOKUP(B:B,[1]FBA库存明细10.19!$L:$T,9,0)</f>
        <v>15</v>
      </c>
      <c r="G4" s="19">
        <f t="shared" si="0"/>
        <v>15</v>
      </c>
      <c r="H4">
        <f>VLOOKUP(A:A,[1]进销存10.20!$A:$J,10,0)</f>
        <v>34</v>
      </c>
      <c r="I4">
        <f>VLOOKUP(A:A,[1]进销存10.20!$A:$K,11,0)</f>
        <v>0</v>
      </c>
      <c r="J4">
        <f>VLOOKUP(A:A,[1]进销存10.20!$A:$L,12,0)</f>
        <v>0</v>
      </c>
    </row>
    <row r="5" spans="1:10">
      <c r="A5" s="17" t="s">
        <v>19</v>
      </c>
      <c r="B5" s="18" t="s">
        <v>20</v>
      </c>
      <c r="C5" s="18" t="s">
        <v>21</v>
      </c>
      <c r="D5" s="12">
        <f>VLOOKUP(B:B,[1]FBA库存明细10.19!$L:$P,5,0)</f>
        <v>0</v>
      </c>
      <c r="E5" s="12">
        <f>VLOOKUP(B:B,[1]FBA库存明细10.19!$L:$Q,6,0)</f>
        <v>0</v>
      </c>
      <c r="F5" s="12">
        <f>VLOOKUP(B:B,[1]FBA库存明细10.19!$L:$T,9,0)</f>
        <v>0</v>
      </c>
      <c r="G5" s="20">
        <f t="shared" si="0"/>
        <v>0</v>
      </c>
      <c r="H5">
        <f>VLOOKUP(A:A,[1]进销存10.20!$A:$J,10,0)</f>
        <v>14</v>
      </c>
      <c r="I5">
        <f>VLOOKUP(A:A,[1]进销存10.20!$A:$K,11,0)</f>
        <v>37</v>
      </c>
      <c r="J5">
        <f>VLOOKUP(A:A,[1]进销存10.20!$A:$L,12,0)</f>
        <v>23</v>
      </c>
    </row>
    <row r="6" spans="1:10">
      <c r="A6" s="17" t="s">
        <v>22</v>
      </c>
      <c r="B6" s="18" t="s">
        <v>23</v>
      </c>
      <c r="C6" s="18" t="s">
        <v>24</v>
      </c>
      <c r="D6" s="12" t="e">
        <f>VLOOKUP(B:B,[1]FBA库存明细10.19!$L:$P,5,0)</f>
        <v>#N/A</v>
      </c>
      <c r="E6" s="12" t="e">
        <f>VLOOKUP(B:B,[1]FBA库存明细10.19!$L:$Q,6,0)</f>
        <v>#N/A</v>
      </c>
      <c r="F6" s="12" t="e">
        <f>VLOOKUP(B:B,[1]FBA库存明细10.19!$L:$T,9,0)</f>
        <v>#N/A</v>
      </c>
      <c r="G6" s="20" t="e">
        <f t="shared" si="0"/>
        <v>#N/A</v>
      </c>
      <c r="H6">
        <f>VLOOKUP(A:A,[1]进销存10.20!$A:$J,10,0)</f>
        <v>41</v>
      </c>
      <c r="I6">
        <f>VLOOKUP(A:A,[1]进销存10.20!$A:$K,11,0)</f>
        <v>30</v>
      </c>
      <c r="J6">
        <f>VLOOKUP(A:A,[1]进销存10.20!$A:$L,12,0)</f>
        <v>55</v>
      </c>
    </row>
    <row r="7" spans="1:10">
      <c r="A7" s="17" t="s">
        <v>25</v>
      </c>
      <c r="B7" s="18" t="s">
        <v>26</v>
      </c>
      <c r="C7" s="18" t="s">
        <v>27</v>
      </c>
      <c r="D7" s="12">
        <f>VLOOKUP(B:B,[1]FBA库存明细10.19!$L:$P,5,0)</f>
        <v>6</v>
      </c>
      <c r="E7" s="12">
        <f>VLOOKUP(B:B,[1]FBA库存明细10.19!$L:$Q,6,0)</f>
        <v>0</v>
      </c>
      <c r="F7" s="12">
        <f>VLOOKUP(B:B,[1]FBA库存明细10.19!$L:$T,9,0)</f>
        <v>0</v>
      </c>
      <c r="G7" s="19">
        <f t="shared" si="0"/>
        <v>6</v>
      </c>
      <c r="H7">
        <f>VLOOKUP(A:A,[1]进销存10.20!$A:$J,10,0)</f>
        <v>9</v>
      </c>
      <c r="I7">
        <f>VLOOKUP(A:A,[1]进销存10.20!$A:$K,11,0)</f>
        <v>2</v>
      </c>
      <c r="J7">
        <f>VLOOKUP(A:A,[1]进销存10.20!$A:$L,12,0)</f>
        <v>23</v>
      </c>
    </row>
    <row r="8" spans="1:10">
      <c r="A8" s="17" t="s">
        <v>28</v>
      </c>
      <c r="B8" s="18" t="s">
        <v>29</v>
      </c>
      <c r="C8" s="18" t="s">
        <v>30</v>
      </c>
      <c r="D8" s="12">
        <f>VLOOKUP(B:B,[1]FBA库存明细10.19!$L:$P,5,0)</f>
        <v>11</v>
      </c>
      <c r="E8" s="12">
        <f>VLOOKUP(B:B,[1]FBA库存明细10.19!$L:$Q,6,0)</f>
        <v>7</v>
      </c>
      <c r="F8" s="12">
        <f>VLOOKUP(B:B,[1]FBA库存明细10.19!$L:$T,9,0)</f>
        <v>21</v>
      </c>
      <c r="G8" s="19">
        <f t="shared" si="0"/>
        <v>32</v>
      </c>
      <c r="H8">
        <f>VLOOKUP(A:A,[1]进销存10.20!$A:$J,10,0)</f>
        <v>11</v>
      </c>
      <c r="I8">
        <f>VLOOKUP(A:A,[1]进销存10.20!$A:$K,11,0)</f>
        <v>6</v>
      </c>
      <c r="J8">
        <f>VLOOKUP(A:A,[1]进销存10.20!$A:$L,12,0)</f>
        <v>0</v>
      </c>
    </row>
    <row r="9" spans="1:10">
      <c r="A9" s="17" t="s">
        <v>31</v>
      </c>
      <c r="B9" s="18" t="s">
        <v>32</v>
      </c>
      <c r="C9" s="18" t="s">
        <v>33</v>
      </c>
      <c r="D9" s="12">
        <f>VLOOKUP(B:B,[1]FBA库存明细10.19!$L:$P,5,0)</f>
        <v>0</v>
      </c>
      <c r="E9" s="12">
        <f>VLOOKUP(B:B,[1]FBA库存明细10.19!$L:$Q,6,0)</f>
        <v>0</v>
      </c>
      <c r="F9" s="12">
        <f>VLOOKUP(B:B,[1]FBA库存明细10.19!$L:$T,9,0)</f>
        <v>16</v>
      </c>
      <c r="G9" s="19">
        <f t="shared" si="0"/>
        <v>16</v>
      </c>
      <c r="H9">
        <f>VLOOKUP(A:A,[1]进销存10.20!$A:$J,10,0)</f>
        <v>7</v>
      </c>
      <c r="I9">
        <f>VLOOKUP(A:A,[1]进销存10.20!$A:$K,11,0)</f>
        <v>7</v>
      </c>
      <c r="J9">
        <f>VLOOKUP(A:A,[1]进销存10.20!$A:$L,12,0)</f>
        <v>2</v>
      </c>
    </row>
    <row r="10" spans="1:10">
      <c r="A10" s="17" t="s">
        <v>34</v>
      </c>
      <c r="B10" s="18" t="s">
        <v>35</v>
      </c>
      <c r="C10" s="18" t="s">
        <v>36</v>
      </c>
      <c r="D10" s="12">
        <f>VLOOKUP(B:B,[1]FBA库存明细10.19!$L:$P,5,0)</f>
        <v>0</v>
      </c>
      <c r="E10" s="12">
        <f>VLOOKUP(B:B,[1]FBA库存明细10.19!$L:$Q,6,0)</f>
        <v>0</v>
      </c>
      <c r="F10" s="12">
        <f>VLOOKUP(B:B,[1]FBA库存明细10.19!$L:$T,9,0)</f>
        <v>15</v>
      </c>
      <c r="G10" s="19">
        <f t="shared" si="0"/>
        <v>15</v>
      </c>
      <c r="H10">
        <f>VLOOKUP(A:A,[1]进销存10.20!$A:$J,10,0)</f>
        <v>13</v>
      </c>
      <c r="I10">
        <f>VLOOKUP(A:A,[1]进销存10.20!$A:$K,11,0)</f>
        <v>14</v>
      </c>
      <c r="J10">
        <f>VLOOKUP(A:A,[1]进销存10.20!$A:$L,12,0)</f>
        <v>12</v>
      </c>
    </row>
    <row r="11" spans="1:10">
      <c r="A11" s="17" t="s">
        <v>37</v>
      </c>
      <c r="B11" s="18" t="s">
        <v>38</v>
      </c>
      <c r="C11" s="18" t="s">
        <v>39</v>
      </c>
      <c r="D11" s="12">
        <f>VLOOKUP(B:B,[1]FBA库存明细10.19!$L:$P,5,0)</f>
        <v>0</v>
      </c>
      <c r="E11" s="12">
        <f>VLOOKUP(B:B,[1]FBA库存明细10.19!$L:$Q,6,0)</f>
        <v>0</v>
      </c>
      <c r="F11" s="12">
        <f>VLOOKUP(B:B,[1]FBA库存明细10.19!$L:$T,9,0)</f>
        <v>18</v>
      </c>
      <c r="G11" s="19">
        <f t="shared" si="0"/>
        <v>18</v>
      </c>
      <c r="H11">
        <f>VLOOKUP(A:A,[1]进销存10.20!$A:$J,10,0)</f>
        <v>16</v>
      </c>
      <c r="I11">
        <f>VLOOKUP(A:A,[1]进销存10.20!$A:$K,11,0)</f>
        <v>7</v>
      </c>
      <c r="J11">
        <f>VLOOKUP(A:A,[1]进销存10.20!$A:$L,12,0)</f>
        <v>1</v>
      </c>
    </row>
    <row r="12" spans="1:10">
      <c r="A12" s="17" t="s">
        <v>40</v>
      </c>
      <c r="B12" s="18" t="s">
        <v>41</v>
      </c>
      <c r="C12" s="18" t="s">
        <v>42</v>
      </c>
      <c r="D12" s="12">
        <f>VLOOKUP(B:B,[1]FBA库存明细10.19!$L:$P,5,0)</f>
        <v>0</v>
      </c>
      <c r="E12" s="12">
        <f>VLOOKUP(B:B,[1]FBA库存明细10.19!$L:$Q,6,0)</f>
        <v>0</v>
      </c>
      <c r="F12" s="12">
        <f>VLOOKUP(B:B,[1]FBA库存明细10.19!$L:$T,9,0)</f>
        <v>24</v>
      </c>
      <c r="G12" s="19">
        <f t="shared" si="0"/>
        <v>24</v>
      </c>
      <c r="H12">
        <f>VLOOKUP(A:A,[1]进销存10.20!$A:$J,10,0)</f>
        <v>12</v>
      </c>
      <c r="I12">
        <f>VLOOKUP(A:A,[1]进销存10.20!$A:$K,11,0)</f>
        <v>4</v>
      </c>
      <c r="J12">
        <f>VLOOKUP(A:A,[1]进销存10.20!$A:$L,12,0)</f>
        <v>41</v>
      </c>
    </row>
    <row r="13" spans="1:10">
      <c r="A13" s="17" t="s">
        <v>43</v>
      </c>
      <c r="B13" s="18" t="s">
        <v>44</v>
      </c>
      <c r="C13" s="18" t="s">
        <v>45</v>
      </c>
      <c r="D13" s="12" t="e">
        <f>VLOOKUP(B:B,[1]FBA库存明细10.19!$L:$P,5,0)</f>
        <v>#N/A</v>
      </c>
      <c r="E13" s="12" t="e">
        <f>VLOOKUP(B:B,[1]FBA库存明细10.19!$L:$Q,6,0)</f>
        <v>#N/A</v>
      </c>
      <c r="F13" s="12" t="e">
        <f>VLOOKUP(B:B,[1]FBA库存明细10.19!$L:$T,9,0)</f>
        <v>#N/A</v>
      </c>
      <c r="G13" s="20" t="e">
        <f t="shared" si="0"/>
        <v>#N/A</v>
      </c>
      <c r="H13">
        <f>VLOOKUP(A:A,[1]进销存10.20!$A:$J,10,0)</f>
        <v>0</v>
      </c>
      <c r="I13">
        <f>VLOOKUP(A:A,[1]进销存10.20!$A:$K,11,0)</f>
        <v>4</v>
      </c>
      <c r="J13">
        <f>VLOOKUP(A:A,[1]进销存10.20!$A:$L,12,0)</f>
        <v>1</v>
      </c>
    </row>
    <row r="14" spans="1:10">
      <c r="A14" s="17" t="s">
        <v>46</v>
      </c>
      <c r="B14" s="18" t="s">
        <v>47</v>
      </c>
      <c r="C14" s="18" t="s">
        <v>48</v>
      </c>
      <c r="D14" s="12">
        <f>VLOOKUP(B:B,[1]FBA库存明细10.19!$L:$P,5,0)</f>
        <v>0</v>
      </c>
      <c r="E14" s="12">
        <f>VLOOKUP(B:B,[1]FBA库存明细10.19!$L:$Q,6,0)</f>
        <v>0</v>
      </c>
      <c r="F14" s="12">
        <f>VLOOKUP(B:B,[1]FBA库存明细10.19!$L:$T,9,0)</f>
        <v>8</v>
      </c>
      <c r="G14" s="19">
        <f t="shared" si="0"/>
        <v>8</v>
      </c>
      <c r="H14">
        <f>VLOOKUP(A:A,[1]进销存10.20!$A:$J,10,0)</f>
        <v>1</v>
      </c>
      <c r="I14">
        <f>VLOOKUP(A:A,[1]进销存10.20!$A:$K,11,0)</f>
        <v>9</v>
      </c>
      <c r="J14">
        <f>VLOOKUP(A:A,[1]进销存10.20!$A:$L,12,0)</f>
        <v>1</v>
      </c>
    </row>
    <row r="15" spans="1:10">
      <c r="A15" s="17" t="s">
        <v>49</v>
      </c>
      <c r="B15" s="18" t="s">
        <v>50</v>
      </c>
      <c r="C15" s="18" t="s">
        <v>51</v>
      </c>
      <c r="D15" s="12">
        <f>VLOOKUP(B:B,[1]FBA库存明细10.19!$L:$P,5,0)</f>
        <v>0</v>
      </c>
      <c r="E15" s="12">
        <f>VLOOKUP(B:B,[1]FBA库存明细10.19!$L:$Q,6,0)</f>
        <v>0</v>
      </c>
      <c r="F15" s="12">
        <f>VLOOKUP(B:B,[1]FBA库存明细10.19!$L:$T,9,0)</f>
        <v>4</v>
      </c>
      <c r="G15" s="20">
        <f t="shared" si="0"/>
        <v>4</v>
      </c>
      <c r="H15">
        <f>VLOOKUP(A:A,[1]进销存10.20!$A:$J,10,0)</f>
        <v>4</v>
      </c>
      <c r="I15">
        <f>VLOOKUP(A:A,[1]进销存10.20!$A:$K,11,0)</f>
        <v>24</v>
      </c>
      <c r="J15">
        <f>VLOOKUP(A:A,[1]进销存10.20!$A:$L,12,0)</f>
        <v>1</v>
      </c>
    </row>
    <row r="16" spans="1:10">
      <c r="A16" s="17" t="s">
        <v>52</v>
      </c>
      <c r="B16" s="18" t="s">
        <v>53</v>
      </c>
      <c r="C16" s="18" t="s">
        <v>54</v>
      </c>
      <c r="D16" s="12" t="e">
        <f>VLOOKUP(B:B,[1]FBA库存明细10.19!$L:$P,5,0)</f>
        <v>#N/A</v>
      </c>
      <c r="E16" s="12" t="e">
        <f>VLOOKUP(B:B,[1]FBA库存明细10.19!$L:$Q,6,0)</f>
        <v>#N/A</v>
      </c>
      <c r="F16" s="12" t="e">
        <f>VLOOKUP(B:B,[1]FBA库存明细10.19!$L:$T,9,0)</f>
        <v>#N/A</v>
      </c>
      <c r="G16" s="20" t="e">
        <f t="shared" si="0"/>
        <v>#N/A</v>
      </c>
      <c r="H16">
        <f>VLOOKUP(A:A,[1]进销存10.20!$A:$J,10,0)</f>
        <v>20</v>
      </c>
      <c r="I16">
        <f>VLOOKUP(A:A,[1]进销存10.20!$A:$K,11,0)</f>
        <v>12</v>
      </c>
      <c r="J16">
        <f>VLOOKUP(A:A,[1]进销存10.20!$A:$L,12,0)</f>
        <v>33</v>
      </c>
    </row>
    <row r="17" spans="1:10">
      <c r="A17" s="17" t="s">
        <v>55</v>
      </c>
      <c r="B17" s="18" t="s">
        <v>56</v>
      </c>
      <c r="C17" s="18" t="s">
        <v>57</v>
      </c>
      <c r="D17" s="12">
        <f>VLOOKUP(B:B,[1]FBA库存明细10.19!$L:$P,5,0)</f>
        <v>0</v>
      </c>
      <c r="E17" s="12">
        <f>VLOOKUP(B:B,[1]FBA库存明细10.19!$L:$Q,6,0)</f>
        <v>0</v>
      </c>
      <c r="F17" s="12">
        <f>VLOOKUP(B:B,[1]FBA库存明细10.19!$L:$T,9,0)</f>
        <v>15</v>
      </c>
      <c r="G17" s="19">
        <f t="shared" si="0"/>
        <v>15</v>
      </c>
      <c r="H17">
        <f>VLOOKUP(A:A,[1]进销存10.20!$A:$J,10,0)</f>
        <v>13</v>
      </c>
      <c r="I17">
        <f>VLOOKUP(A:A,[1]进销存10.20!$A:$K,11,0)</f>
        <v>11</v>
      </c>
      <c r="J17">
        <f>VLOOKUP(A:A,[1]进销存10.20!$A:$L,12,0)</f>
        <v>24</v>
      </c>
    </row>
    <row r="18" spans="1:10">
      <c r="A18" s="17" t="s">
        <v>58</v>
      </c>
      <c r="B18" s="18" t="s">
        <v>59</v>
      </c>
      <c r="C18" s="18" t="s">
        <v>60</v>
      </c>
      <c r="D18" s="12" t="e">
        <f>VLOOKUP(B:B,[1]FBA库存明细10.19!$L:$P,5,0)</f>
        <v>#N/A</v>
      </c>
      <c r="E18" s="12" t="e">
        <f>VLOOKUP(B:B,[1]FBA库存明细10.19!$L:$Q,6,0)</f>
        <v>#N/A</v>
      </c>
      <c r="F18" s="12" t="e">
        <f>VLOOKUP(B:B,[1]FBA库存明细10.19!$L:$T,9,0)</f>
        <v>#N/A</v>
      </c>
      <c r="G18" s="20" t="e">
        <f t="shared" si="0"/>
        <v>#N/A</v>
      </c>
      <c r="H18">
        <f>VLOOKUP(A:A,[1]进销存10.20!$A:$J,10,0)</f>
        <v>18</v>
      </c>
      <c r="I18">
        <f>VLOOKUP(A:A,[1]进销存10.20!$A:$K,11,0)</f>
        <v>19</v>
      </c>
      <c r="J18">
        <f>VLOOKUP(A:A,[1]进销存10.20!$A:$L,12,0)</f>
        <v>25</v>
      </c>
    </row>
    <row r="19" spans="1:10">
      <c r="A19" s="17" t="s">
        <v>61</v>
      </c>
      <c r="B19" s="18" t="s">
        <v>62</v>
      </c>
      <c r="C19" s="18" t="s">
        <v>63</v>
      </c>
      <c r="D19" s="12" t="e">
        <f>VLOOKUP(B:B,[1]FBA库存明细10.19!$L:$P,5,0)</f>
        <v>#N/A</v>
      </c>
      <c r="E19" s="12" t="e">
        <f>VLOOKUP(B:B,[1]FBA库存明细10.19!$L:$Q,6,0)</f>
        <v>#N/A</v>
      </c>
      <c r="F19" s="12" t="e">
        <f>VLOOKUP(B:B,[1]FBA库存明细10.19!$L:$T,9,0)</f>
        <v>#N/A</v>
      </c>
      <c r="G19" s="20" t="e">
        <f t="shared" si="0"/>
        <v>#N/A</v>
      </c>
      <c r="H19">
        <f>VLOOKUP(A:A,[1]进销存10.20!$A:$J,10,0)</f>
        <v>28</v>
      </c>
      <c r="I19">
        <f>VLOOKUP(A:A,[1]进销存10.20!$A:$K,11,0)</f>
        <v>0</v>
      </c>
      <c r="J19">
        <f>VLOOKUP(A:A,[1]进销存10.20!$A:$L,12,0)</f>
        <v>1</v>
      </c>
    </row>
    <row r="20" spans="1:10">
      <c r="A20" s="17" t="s">
        <v>64</v>
      </c>
      <c r="B20" s="18" t="s">
        <v>65</v>
      </c>
      <c r="C20" s="18" t="s">
        <v>66</v>
      </c>
      <c r="D20" s="12" t="e">
        <f>VLOOKUP(B:B,[1]FBA库存明细10.19!$L:$P,5,0)</f>
        <v>#N/A</v>
      </c>
      <c r="E20" s="12" t="e">
        <f>VLOOKUP(B:B,[1]FBA库存明细10.19!$L:$Q,6,0)</f>
        <v>#N/A</v>
      </c>
      <c r="F20" s="12" t="e">
        <f>VLOOKUP(B:B,[1]FBA库存明细10.19!$L:$T,9,0)</f>
        <v>#N/A</v>
      </c>
      <c r="G20" s="20" t="e">
        <f t="shared" si="0"/>
        <v>#N/A</v>
      </c>
      <c r="H20">
        <f>VLOOKUP(A:A,[1]进销存10.20!$A:$J,10,0)</f>
        <v>30</v>
      </c>
      <c r="I20">
        <f>VLOOKUP(A:A,[1]进销存10.20!$A:$K,11,0)</f>
        <v>10</v>
      </c>
      <c r="J20">
        <f>VLOOKUP(A:A,[1]进销存10.20!$A:$L,12,0)</f>
        <v>1</v>
      </c>
    </row>
    <row r="21" spans="1:10">
      <c r="A21" s="17" t="s">
        <v>67</v>
      </c>
      <c r="B21" s="18" t="s">
        <v>68</v>
      </c>
      <c r="C21" s="18" t="s">
        <v>69</v>
      </c>
      <c r="D21" s="12" t="e">
        <f>VLOOKUP(B:B,[1]FBA库存明细10.19!$L:$P,5,0)</f>
        <v>#N/A</v>
      </c>
      <c r="E21" s="12" t="e">
        <f>VLOOKUP(B:B,[1]FBA库存明细10.19!$L:$Q,6,0)</f>
        <v>#N/A</v>
      </c>
      <c r="F21" s="12" t="e">
        <f>VLOOKUP(B:B,[1]FBA库存明细10.19!$L:$T,9,0)</f>
        <v>#N/A</v>
      </c>
      <c r="G21" s="20" t="e">
        <f t="shared" si="0"/>
        <v>#N/A</v>
      </c>
      <c r="H21">
        <f>VLOOKUP(A:A,[1]进销存10.20!$A:$J,10,0)</f>
        <v>22</v>
      </c>
      <c r="I21">
        <f>VLOOKUP(A:A,[1]进销存10.20!$A:$K,11,0)</f>
        <v>3</v>
      </c>
      <c r="J21">
        <f>VLOOKUP(A:A,[1]进销存10.20!$A:$L,12,0)</f>
        <v>21</v>
      </c>
    </row>
    <row r="22" spans="1:10">
      <c r="A22" s="17" t="s">
        <v>70</v>
      </c>
      <c r="B22" s="18" t="s">
        <v>71</v>
      </c>
      <c r="C22" s="18" t="s">
        <v>72</v>
      </c>
      <c r="D22" s="12" t="e">
        <f>VLOOKUP(B:B,[1]FBA库存明细10.19!$L:$P,5,0)</f>
        <v>#N/A</v>
      </c>
      <c r="E22" s="12" t="e">
        <f>VLOOKUP(B:B,[1]FBA库存明细10.19!$L:$Q,6,0)</f>
        <v>#N/A</v>
      </c>
      <c r="F22" s="12" t="e">
        <f>VLOOKUP(B:B,[1]FBA库存明细10.19!$L:$T,9,0)</f>
        <v>#N/A</v>
      </c>
      <c r="G22" s="20" t="e">
        <f t="shared" si="0"/>
        <v>#N/A</v>
      </c>
      <c r="H22">
        <f>VLOOKUP(A:A,[1]进销存10.20!$A:$J,10,0)</f>
        <v>16</v>
      </c>
      <c r="I22">
        <f>VLOOKUP(A:A,[1]进销存10.20!$A:$K,11,0)</f>
        <v>4</v>
      </c>
      <c r="J22">
        <f>VLOOKUP(A:A,[1]进销存10.20!$A:$L,12,0)</f>
        <v>1</v>
      </c>
    </row>
    <row r="23" spans="1:10">
      <c r="A23" s="17" t="s">
        <v>73</v>
      </c>
      <c r="B23" s="18" t="s">
        <v>74</v>
      </c>
      <c r="C23" s="18" t="s">
        <v>75</v>
      </c>
      <c r="D23" s="12" t="e">
        <f>VLOOKUP(B:B,[1]FBA库存明细10.19!$L:$P,5,0)</f>
        <v>#N/A</v>
      </c>
      <c r="E23" s="12" t="e">
        <f>VLOOKUP(B:B,[1]FBA库存明细10.19!$L:$Q,6,0)</f>
        <v>#N/A</v>
      </c>
      <c r="F23" s="12" t="e">
        <f>VLOOKUP(B:B,[1]FBA库存明细10.19!$L:$T,9,0)</f>
        <v>#N/A</v>
      </c>
      <c r="G23" s="20" t="e">
        <f t="shared" si="0"/>
        <v>#N/A</v>
      </c>
      <c r="H23">
        <f>VLOOKUP(A:A,[1]进销存10.20!$A:$J,10,0)</f>
        <v>12</v>
      </c>
      <c r="I23">
        <f>VLOOKUP(A:A,[1]进销存10.20!$A:$K,11,0)</f>
        <v>2</v>
      </c>
      <c r="J23">
        <f>VLOOKUP(A:A,[1]进销存10.20!$A:$L,12,0)</f>
        <v>20</v>
      </c>
    </row>
    <row r="24" spans="1:10">
      <c r="A24" s="17" t="s">
        <v>76</v>
      </c>
      <c r="B24" s="18" t="s">
        <v>77</v>
      </c>
      <c r="C24" s="18" t="s">
        <v>78</v>
      </c>
      <c r="D24" s="12">
        <f>VLOOKUP(B:B,[1]FBA库存明细10.19!$L:$P,5,0)</f>
        <v>0</v>
      </c>
      <c r="E24" s="12">
        <f>VLOOKUP(B:B,[1]FBA库存明细10.19!$L:$Q,6,0)</f>
        <v>0</v>
      </c>
      <c r="F24" s="12">
        <f>VLOOKUP(B:B,[1]FBA库存明细10.19!$L:$T,9,0)</f>
        <v>1</v>
      </c>
      <c r="G24" s="20">
        <f t="shared" si="0"/>
        <v>1</v>
      </c>
      <c r="H24">
        <f>VLOOKUP(A:A,[1]进销存10.20!$A:$J,10,0)</f>
        <v>14</v>
      </c>
      <c r="I24">
        <f>VLOOKUP(A:A,[1]进销存10.20!$A:$K,11,0)</f>
        <v>10</v>
      </c>
      <c r="J24">
        <f>VLOOKUP(A:A,[1]进销存10.20!$A:$L,12,0)</f>
        <v>31</v>
      </c>
    </row>
    <row r="25" spans="1:10">
      <c r="A25" s="17" t="s">
        <v>79</v>
      </c>
      <c r="B25" s="18" t="s">
        <v>80</v>
      </c>
      <c r="C25" s="18" t="s">
        <v>81</v>
      </c>
      <c r="D25" s="12">
        <f>VLOOKUP(B:B,[1]FBA库存明细10.19!$L:$P,5,0)</f>
        <v>4</v>
      </c>
      <c r="E25" s="12">
        <f>VLOOKUP(B:B,[1]FBA库存明细10.19!$L:$Q,6,0)</f>
        <v>4</v>
      </c>
      <c r="F25" s="12">
        <f>VLOOKUP(B:B,[1]FBA库存明细10.19!$L:$T,9,0)</f>
        <v>0</v>
      </c>
      <c r="G25" s="20">
        <f t="shared" si="0"/>
        <v>4</v>
      </c>
      <c r="H25">
        <f>VLOOKUP(A:A,[1]进销存10.20!$A:$J,10,0)</f>
        <v>14</v>
      </c>
      <c r="I25">
        <f>VLOOKUP(A:A,[1]进销存10.20!$A:$K,11,0)</f>
        <v>6</v>
      </c>
      <c r="J25">
        <f>VLOOKUP(A:A,[1]进销存10.20!$A:$L,12,0)</f>
        <v>15</v>
      </c>
    </row>
    <row r="26" spans="1:10">
      <c r="A26" s="17" t="s">
        <v>82</v>
      </c>
      <c r="B26" s="18" t="s">
        <v>83</v>
      </c>
      <c r="C26" s="18" t="s">
        <v>84</v>
      </c>
      <c r="D26" s="12">
        <f>VLOOKUP(B:B,[1]FBA库存明细10.19!$L:$P,5,0)</f>
        <v>0</v>
      </c>
      <c r="E26" s="12">
        <f>VLOOKUP(B:B,[1]FBA库存明细10.19!$L:$Q,6,0)</f>
        <v>0</v>
      </c>
      <c r="F26" s="12">
        <f>VLOOKUP(B:B,[1]FBA库存明细10.19!$L:$T,9,0)</f>
        <v>16</v>
      </c>
      <c r="G26" s="19">
        <f t="shared" si="0"/>
        <v>16</v>
      </c>
      <c r="H26">
        <f>VLOOKUP(A:A,[1]进销存10.20!$A:$J,10,0)</f>
        <v>5</v>
      </c>
      <c r="I26">
        <f>VLOOKUP(A:A,[1]进销存10.20!$A:$K,11,0)</f>
        <v>2</v>
      </c>
      <c r="J26">
        <f>VLOOKUP(A:A,[1]进销存10.20!$A:$L,12,0)</f>
        <v>1</v>
      </c>
    </row>
    <row r="27" spans="1:10">
      <c r="A27" s="17" t="s">
        <v>85</v>
      </c>
      <c r="B27" s="18" t="s">
        <v>86</v>
      </c>
      <c r="C27" s="18" t="s">
        <v>87</v>
      </c>
      <c r="D27" s="12" t="e">
        <f>VLOOKUP(B:B,[1]FBA库存明细10.19!$L:$P,5,0)</f>
        <v>#N/A</v>
      </c>
      <c r="E27" s="12" t="e">
        <f>VLOOKUP(B:B,[1]FBA库存明细10.19!$L:$Q,6,0)</f>
        <v>#N/A</v>
      </c>
      <c r="F27" s="12" t="e">
        <f>VLOOKUP(B:B,[1]FBA库存明细10.19!$L:$T,9,0)</f>
        <v>#N/A</v>
      </c>
      <c r="G27" s="20" t="e">
        <f t="shared" si="0"/>
        <v>#N/A</v>
      </c>
      <c r="H27">
        <f>VLOOKUP(A:A,[1]进销存10.20!$A:$J,10,0)</f>
        <v>21</v>
      </c>
      <c r="I27">
        <f>VLOOKUP(A:A,[1]进销存10.20!$A:$K,11,0)</f>
        <v>0</v>
      </c>
      <c r="J27">
        <f>VLOOKUP(A:A,[1]进销存10.20!$A:$L,12,0)</f>
        <v>25</v>
      </c>
    </row>
    <row r="28" spans="1:10">
      <c r="A28" s="17" t="s">
        <v>88</v>
      </c>
      <c r="B28" s="18" t="s">
        <v>89</v>
      </c>
      <c r="C28" s="18" t="s">
        <v>90</v>
      </c>
      <c r="D28" s="12">
        <f>VLOOKUP(B:B,[1]FBA库存明细10.19!$L:$P,5,0)</f>
        <v>0</v>
      </c>
      <c r="E28" s="12">
        <f>VLOOKUP(B:B,[1]FBA库存明细10.19!$L:$Q,6,0)</f>
        <v>0</v>
      </c>
      <c r="F28" s="12">
        <f>VLOOKUP(B:B,[1]FBA库存明细10.19!$L:$T,9,0)</f>
        <v>10</v>
      </c>
      <c r="G28" s="19">
        <f t="shared" si="0"/>
        <v>10</v>
      </c>
      <c r="H28">
        <f>VLOOKUP(A:A,[1]进销存10.20!$A:$J,10,0)</f>
        <v>5</v>
      </c>
      <c r="I28">
        <f>VLOOKUP(A:A,[1]进销存10.20!$A:$K,11,0)</f>
        <v>2</v>
      </c>
      <c r="J28">
        <f>VLOOKUP(A:A,[1]进销存10.20!$A:$L,12,0)</f>
        <v>1</v>
      </c>
    </row>
    <row r="29" spans="1:10">
      <c r="A29" s="17" t="s">
        <v>91</v>
      </c>
      <c r="B29" s="18" t="s">
        <v>92</v>
      </c>
      <c r="C29" s="18" t="s">
        <v>93</v>
      </c>
      <c r="D29" s="12">
        <f>VLOOKUP(B:B,[1]FBA库存明细10.19!$L:$P,5,0)</f>
        <v>0</v>
      </c>
      <c r="E29" s="12">
        <f>VLOOKUP(B:B,[1]FBA库存明细10.19!$L:$Q,6,0)</f>
        <v>0</v>
      </c>
      <c r="F29" s="12">
        <f>VLOOKUP(B:B,[1]FBA库存明细10.19!$L:$T,9,0)</f>
        <v>15</v>
      </c>
      <c r="G29" s="19">
        <f t="shared" si="0"/>
        <v>15</v>
      </c>
      <c r="H29">
        <f>VLOOKUP(A:A,[1]进销存10.20!$A:$J,10,0)</f>
        <v>5</v>
      </c>
      <c r="I29">
        <f>VLOOKUP(A:A,[1]进销存10.20!$A:$K,11,0)</f>
        <v>2</v>
      </c>
      <c r="J29">
        <f>VLOOKUP(A:A,[1]进销存10.20!$A:$L,12,0)</f>
        <v>26</v>
      </c>
    </row>
    <row r="30" spans="1:10">
      <c r="A30" s="17" t="s">
        <v>94</v>
      </c>
      <c r="B30" s="18" t="s">
        <v>95</v>
      </c>
      <c r="C30" s="18" t="s">
        <v>96</v>
      </c>
      <c r="D30" s="12">
        <f>VLOOKUP(B:B,[1]FBA库存明细10.19!$L:$P,5,0)</f>
        <v>0</v>
      </c>
      <c r="E30" s="12">
        <f>VLOOKUP(B:B,[1]FBA库存明细10.19!$L:$Q,6,0)</f>
        <v>0</v>
      </c>
      <c r="F30" s="12">
        <f>VLOOKUP(B:B,[1]FBA库存明细10.19!$L:$T,9,0)</f>
        <v>6</v>
      </c>
      <c r="G30" s="19">
        <f t="shared" si="0"/>
        <v>6</v>
      </c>
      <c r="H30">
        <f>VLOOKUP(A:A,[1]进销存10.20!$A:$J,10,0)</f>
        <v>0</v>
      </c>
      <c r="I30">
        <f>VLOOKUP(A:A,[1]进销存10.20!$A:$K,11,0)</f>
        <v>24</v>
      </c>
      <c r="J30">
        <f>VLOOKUP(A:A,[1]进销存10.20!$A:$L,12,0)</f>
        <v>1</v>
      </c>
    </row>
    <row r="31" spans="1:10">
      <c r="A31" s="17" t="s">
        <v>97</v>
      </c>
      <c r="B31" s="18" t="s">
        <v>98</v>
      </c>
      <c r="C31" s="18" t="s">
        <v>99</v>
      </c>
      <c r="D31" s="12">
        <f>VLOOKUP(B:B,[1]FBA库存明细10.19!$L:$P,5,0)</f>
        <v>6</v>
      </c>
      <c r="E31" s="12">
        <f>VLOOKUP(B:B,[1]FBA库存明细10.19!$L:$Q,6,0)</f>
        <v>4</v>
      </c>
      <c r="F31" s="12">
        <f>VLOOKUP(B:B,[1]FBA库存明细10.19!$L:$T,9,0)</f>
        <v>0</v>
      </c>
      <c r="G31" s="19">
        <f t="shared" si="0"/>
        <v>6</v>
      </c>
      <c r="H31">
        <f>VLOOKUP(A:A,[1]进销存10.20!$A:$J,10,0)</f>
        <v>4</v>
      </c>
      <c r="I31">
        <f>VLOOKUP(A:A,[1]进销存10.20!$A:$K,11,0)</f>
        <v>8</v>
      </c>
      <c r="J31">
        <f>VLOOKUP(A:A,[1]进销存10.20!$A:$L,12,0)</f>
        <v>12</v>
      </c>
    </row>
    <row r="32" spans="1:10">
      <c r="A32" s="17" t="s">
        <v>100</v>
      </c>
      <c r="B32" s="18" t="s">
        <v>101</v>
      </c>
      <c r="C32" s="18" t="s">
        <v>102</v>
      </c>
      <c r="D32" s="12">
        <f>VLOOKUP(B:B,[1]FBA库存明细10.19!$L:$P,5,0)</f>
        <v>0</v>
      </c>
      <c r="E32" s="12">
        <f>VLOOKUP(B:B,[1]FBA库存明细10.19!$L:$Q,6,0)</f>
        <v>0</v>
      </c>
      <c r="F32" s="12">
        <f>VLOOKUP(B:B,[1]FBA库存明细10.19!$L:$T,9,0)</f>
        <v>1</v>
      </c>
      <c r="G32" s="20">
        <f t="shared" si="0"/>
        <v>1</v>
      </c>
      <c r="H32">
        <f>VLOOKUP(A:A,[1]进销存10.20!$A:$J,10,0)</f>
        <v>17</v>
      </c>
      <c r="I32">
        <f>VLOOKUP(A:A,[1]进销存10.20!$A:$K,11,0)</f>
        <v>0</v>
      </c>
      <c r="J32">
        <f>VLOOKUP(A:A,[1]进销存10.20!$A:$L,12,0)</f>
        <v>2</v>
      </c>
    </row>
    <row r="33" spans="1:10">
      <c r="A33" s="17" t="s">
        <v>103</v>
      </c>
      <c r="B33" s="18" t="s">
        <v>104</v>
      </c>
      <c r="C33" s="18" t="s">
        <v>105</v>
      </c>
      <c r="D33" s="12" t="e">
        <f>VLOOKUP(B:B,[1]FBA库存明细10.19!$L:$P,5,0)</f>
        <v>#N/A</v>
      </c>
      <c r="E33" s="12" t="e">
        <f>VLOOKUP(B:B,[1]FBA库存明细10.19!$L:$Q,6,0)</f>
        <v>#N/A</v>
      </c>
      <c r="F33" s="12" t="e">
        <f>VLOOKUP(B:B,[1]FBA库存明细10.19!$L:$T,9,0)</f>
        <v>#N/A</v>
      </c>
      <c r="G33" s="20" t="e">
        <f t="shared" si="0"/>
        <v>#N/A</v>
      </c>
      <c r="H33">
        <f>VLOOKUP(A:A,[1]进销存10.20!$A:$J,10,0)</f>
        <v>11</v>
      </c>
      <c r="I33">
        <f>VLOOKUP(A:A,[1]进销存10.20!$A:$K,11,0)</f>
        <v>6</v>
      </c>
      <c r="J33">
        <f>VLOOKUP(A:A,[1]进销存10.20!$A:$L,12,0)</f>
        <v>21</v>
      </c>
    </row>
    <row r="34" spans="1:10">
      <c r="A34" s="17" t="s">
        <v>106</v>
      </c>
      <c r="B34" s="18" t="s">
        <v>107</v>
      </c>
      <c r="C34" s="18" t="s">
        <v>108</v>
      </c>
      <c r="D34" s="12">
        <f>VLOOKUP(B:B,[1]FBA库存明细10.19!$L:$P,5,0)</f>
        <v>0</v>
      </c>
      <c r="E34" s="12">
        <f>VLOOKUP(B:B,[1]FBA库存明细10.19!$L:$Q,6,0)</f>
        <v>0</v>
      </c>
      <c r="F34" s="12">
        <f>VLOOKUP(B:B,[1]FBA库存明细10.19!$L:$T,9,0)</f>
        <v>6</v>
      </c>
      <c r="G34" s="19">
        <f t="shared" si="0"/>
        <v>6</v>
      </c>
      <c r="H34">
        <f>VLOOKUP(A:A,[1]进销存10.20!$A:$J,10,0)</f>
        <v>9</v>
      </c>
      <c r="I34">
        <f>VLOOKUP(A:A,[1]进销存10.20!$A:$K,11,0)</f>
        <v>5</v>
      </c>
      <c r="J34">
        <f>VLOOKUP(A:A,[1]进销存10.20!$A:$L,12,0)</f>
        <v>1</v>
      </c>
    </row>
    <row r="35" spans="1:10">
      <c r="A35" s="17" t="s">
        <v>109</v>
      </c>
      <c r="B35" s="18" t="s">
        <v>110</v>
      </c>
      <c r="C35" s="18" t="s">
        <v>111</v>
      </c>
      <c r="D35" s="12">
        <f>VLOOKUP(B:B,[1]FBA库存明细10.19!$L:$P,5,0)</f>
        <v>0</v>
      </c>
      <c r="E35" s="12">
        <f>VLOOKUP(B:B,[1]FBA库存明细10.19!$L:$Q,6,0)</f>
        <v>0</v>
      </c>
      <c r="F35" s="12">
        <f>VLOOKUP(B:B,[1]FBA库存明细10.19!$L:$T,9,0)</f>
        <v>2</v>
      </c>
      <c r="G35" s="20">
        <f t="shared" si="0"/>
        <v>2</v>
      </c>
      <c r="H35">
        <f>VLOOKUP(A:A,[1]进销存10.20!$A:$J,10,0)</f>
        <v>11</v>
      </c>
      <c r="I35">
        <f>VLOOKUP(A:A,[1]进销存10.20!$A:$K,11,0)</f>
        <v>8</v>
      </c>
      <c r="J35">
        <f>VLOOKUP(A:A,[1]进销存10.20!$A:$L,12,0)</f>
        <v>17</v>
      </c>
    </row>
    <row r="36" spans="1:10">
      <c r="A36" s="17" t="s">
        <v>112</v>
      </c>
      <c r="B36" s="18" t="s">
        <v>113</v>
      </c>
      <c r="C36" s="18" t="s">
        <v>114</v>
      </c>
      <c r="D36" s="12">
        <f>VLOOKUP(B:B,[1]FBA库存明细10.19!$L:$P,5,0)</f>
        <v>0</v>
      </c>
      <c r="E36" s="12">
        <f>VLOOKUP(B:B,[1]FBA库存明细10.19!$L:$Q,6,0)</f>
        <v>0</v>
      </c>
      <c r="F36" s="12">
        <f>VLOOKUP(B:B,[1]FBA库存明细10.19!$L:$T,9,0)</f>
        <v>9</v>
      </c>
      <c r="G36" s="19">
        <f t="shared" si="0"/>
        <v>9</v>
      </c>
      <c r="H36">
        <f>VLOOKUP(A:A,[1]进销存10.20!$A:$J,10,0)</f>
        <v>0</v>
      </c>
      <c r="I36">
        <f>VLOOKUP(A:A,[1]进销存10.20!$A:$K,11,0)</f>
        <v>2</v>
      </c>
      <c r="J36">
        <f>VLOOKUP(A:A,[1]进销存10.20!$A:$L,12,0)</f>
        <v>21</v>
      </c>
    </row>
    <row r="37" spans="1:10">
      <c r="A37" s="17" t="s">
        <v>115</v>
      </c>
      <c r="B37" s="18" t="s">
        <v>116</v>
      </c>
      <c r="C37" s="18" t="s">
        <v>117</v>
      </c>
      <c r="D37" s="12">
        <f>VLOOKUP(B:B,[1]FBA库存明细10.19!$L:$P,5,0)</f>
        <v>0</v>
      </c>
      <c r="E37" s="12">
        <f>VLOOKUP(B:B,[1]FBA库存明细10.19!$L:$Q,6,0)</f>
        <v>0</v>
      </c>
      <c r="F37" s="12">
        <f>VLOOKUP(B:B,[1]FBA库存明细10.19!$L:$T,9,0)</f>
        <v>2</v>
      </c>
      <c r="G37" s="20">
        <f t="shared" si="0"/>
        <v>2</v>
      </c>
      <c r="H37">
        <f>VLOOKUP(A:A,[1]进销存10.20!$A:$J,10,0)</f>
        <v>3</v>
      </c>
      <c r="I37">
        <f>VLOOKUP(A:A,[1]进销存10.20!$A:$K,11,0)</f>
        <v>5</v>
      </c>
      <c r="J37">
        <f>VLOOKUP(A:A,[1]进销存10.20!$A:$L,12,0)</f>
        <v>21</v>
      </c>
    </row>
    <row r="38" spans="1:10">
      <c r="A38" s="17" t="s">
        <v>118</v>
      </c>
      <c r="B38" s="18" t="s">
        <v>119</v>
      </c>
      <c r="C38" s="18" t="s">
        <v>120</v>
      </c>
      <c r="D38" s="12" t="e">
        <f>VLOOKUP(B:B,[1]FBA库存明细10.19!$L:$P,5,0)</f>
        <v>#N/A</v>
      </c>
      <c r="E38" s="12" t="e">
        <f>VLOOKUP(B:B,[1]FBA库存明细10.19!$L:$Q,6,0)</f>
        <v>#N/A</v>
      </c>
      <c r="F38" s="12" t="e">
        <f>VLOOKUP(B:B,[1]FBA库存明细10.19!$L:$T,9,0)</f>
        <v>#N/A</v>
      </c>
      <c r="G38" s="20" t="e">
        <f t="shared" si="0"/>
        <v>#N/A</v>
      </c>
      <c r="H38">
        <f>VLOOKUP(A:A,[1]进销存10.20!$A:$J,10,0)</f>
        <v>1</v>
      </c>
      <c r="I38">
        <f>VLOOKUP(A:A,[1]进销存10.20!$A:$K,11,0)</f>
        <v>5</v>
      </c>
      <c r="J38">
        <f>VLOOKUP(A:A,[1]进销存10.20!$A:$L,12,0)</f>
        <v>21</v>
      </c>
    </row>
    <row r="39" spans="1:10">
      <c r="A39" s="17" t="s">
        <v>121</v>
      </c>
      <c r="B39" s="18" t="s">
        <v>122</v>
      </c>
      <c r="C39" s="18" t="s">
        <v>123</v>
      </c>
      <c r="D39" s="12">
        <f>VLOOKUP(B:B,[1]FBA库存明细10.19!$L:$P,5,0)</f>
        <v>0</v>
      </c>
      <c r="E39" s="12">
        <f>VLOOKUP(B:B,[1]FBA库存明细10.19!$L:$Q,6,0)</f>
        <v>0</v>
      </c>
      <c r="F39" s="12">
        <f>VLOOKUP(B:B,[1]FBA库存明细10.19!$L:$T,9,0)</f>
        <v>5</v>
      </c>
      <c r="G39" s="19">
        <f t="shared" si="0"/>
        <v>5</v>
      </c>
      <c r="H39">
        <f>VLOOKUP(A:A,[1]进销存10.20!$A:$J,10,0)</f>
        <v>7</v>
      </c>
      <c r="I39">
        <f>VLOOKUP(A:A,[1]进销存10.20!$A:$K,11,0)</f>
        <v>3</v>
      </c>
      <c r="J39">
        <f>VLOOKUP(A:A,[1]进销存10.20!$A:$L,12,0)</f>
        <v>1</v>
      </c>
    </row>
    <row r="40" spans="1:10">
      <c r="A40" s="17" t="s">
        <v>124</v>
      </c>
      <c r="B40" s="18" t="s">
        <v>125</v>
      </c>
      <c r="C40" s="18" t="s">
        <v>126</v>
      </c>
      <c r="D40" s="12">
        <f>VLOOKUP(B:B,[1]FBA库存明细10.19!$L:$P,5,0)</f>
        <v>0</v>
      </c>
      <c r="E40" s="12">
        <f>VLOOKUP(B:B,[1]FBA库存明细10.19!$L:$Q,6,0)</f>
        <v>0</v>
      </c>
      <c r="F40" s="12">
        <f>VLOOKUP(B:B,[1]FBA库存明细10.19!$L:$T,9,0)</f>
        <v>2</v>
      </c>
      <c r="G40" s="20">
        <f t="shared" si="0"/>
        <v>2</v>
      </c>
      <c r="H40">
        <f>VLOOKUP(A:A,[1]进销存10.20!$A:$J,10,0)</f>
        <v>14</v>
      </c>
      <c r="I40">
        <f>VLOOKUP(A:A,[1]进销存10.20!$A:$K,11,0)</f>
        <v>2</v>
      </c>
      <c r="J40">
        <f>VLOOKUP(A:A,[1]进销存10.20!$A:$L,12,0)</f>
        <v>1</v>
      </c>
    </row>
    <row r="41" spans="1:10">
      <c r="A41" s="17" t="s">
        <v>127</v>
      </c>
      <c r="B41" s="18" t="s">
        <v>128</v>
      </c>
      <c r="C41" s="18" t="s">
        <v>129</v>
      </c>
      <c r="D41" s="12" t="e">
        <f>VLOOKUP(B:B,[1]FBA库存明细10.19!$L:$P,5,0)</f>
        <v>#N/A</v>
      </c>
      <c r="E41" s="12" t="e">
        <f>VLOOKUP(B:B,[1]FBA库存明细10.19!$L:$Q,6,0)</f>
        <v>#N/A</v>
      </c>
      <c r="F41" s="12" t="e">
        <f>VLOOKUP(B:B,[1]FBA库存明细10.19!$L:$T,9,0)</f>
        <v>#N/A</v>
      </c>
      <c r="G41" s="20" t="e">
        <f t="shared" si="0"/>
        <v>#N/A</v>
      </c>
      <c r="H41">
        <f>VLOOKUP(A:A,[1]进销存10.20!$A:$J,10,0)</f>
        <v>12</v>
      </c>
      <c r="I41">
        <f>VLOOKUP(A:A,[1]进销存10.20!$A:$K,11,0)</f>
        <v>7</v>
      </c>
      <c r="J41">
        <f>VLOOKUP(A:A,[1]进销存10.20!$A:$L,12,0)</f>
        <v>29</v>
      </c>
    </row>
    <row r="42" spans="1:10">
      <c r="A42" s="17" t="s">
        <v>130</v>
      </c>
      <c r="B42" s="18" t="s">
        <v>131</v>
      </c>
      <c r="C42" s="18" t="s">
        <v>132</v>
      </c>
      <c r="D42" s="12" t="e">
        <f>VLOOKUP(B:B,[1]FBA库存明细10.19!$L:$P,5,0)</f>
        <v>#N/A</v>
      </c>
      <c r="E42" s="12" t="e">
        <f>VLOOKUP(B:B,[1]FBA库存明细10.19!$L:$Q,6,0)</f>
        <v>#N/A</v>
      </c>
      <c r="F42" s="12" t="e">
        <f>VLOOKUP(B:B,[1]FBA库存明细10.19!$L:$T,9,0)</f>
        <v>#N/A</v>
      </c>
      <c r="G42" s="20" t="e">
        <f t="shared" si="0"/>
        <v>#N/A</v>
      </c>
      <c r="H42">
        <f>VLOOKUP(A:A,[1]进销存10.20!$A:$J,10,0)</f>
        <v>2</v>
      </c>
      <c r="I42">
        <f>VLOOKUP(A:A,[1]进销存10.20!$A:$K,11,0)</f>
        <v>12</v>
      </c>
      <c r="J42">
        <f>VLOOKUP(A:A,[1]进销存10.20!$A:$L,12,0)</f>
        <v>27</v>
      </c>
    </row>
    <row r="43" spans="1:10">
      <c r="A43" s="17" t="s">
        <v>133</v>
      </c>
      <c r="B43" s="18" t="s">
        <v>134</v>
      </c>
      <c r="C43" s="18" t="s">
        <v>135</v>
      </c>
      <c r="D43" s="12" t="e">
        <f>VLOOKUP(B:B,[1]FBA库存明细10.19!$L:$P,5,0)</f>
        <v>#N/A</v>
      </c>
      <c r="E43" s="12" t="e">
        <f>VLOOKUP(B:B,[1]FBA库存明细10.19!$L:$Q,6,0)</f>
        <v>#N/A</v>
      </c>
      <c r="F43" s="12" t="e">
        <f>VLOOKUP(B:B,[1]FBA库存明细10.19!$L:$T,9,0)</f>
        <v>#N/A</v>
      </c>
      <c r="G43" s="20" t="e">
        <f t="shared" si="0"/>
        <v>#N/A</v>
      </c>
      <c r="H43">
        <f>VLOOKUP(A:A,[1]进销存10.20!$A:$J,10,0)</f>
        <v>0</v>
      </c>
      <c r="I43">
        <f>VLOOKUP(A:A,[1]进销存10.20!$A:$K,11,0)</f>
        <v>14</v>
      </c>
      <c r="J43">
        <f>VLOOKUP(A:A,[1]进销存10.20!$A:$L,12,0)</f>
        <v>27</v>
      </c>
    </row>
  </sheetData>
  <autoFilter xmlns:etc="http://www.wps.cn/officeDocument/2017/etCustomData" ref="B1:G4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workbookViewId="0">
      <selection activeCell="R23" sqref="R23"/>
    </sheetView>
  </sheetViews>
  <sheetFormatPr defaultColWidth="9" defaultRowHeight="13.5"/>
  <sheetData>
    <row r="1" ht="33" spans="1:19">
      <c r="A1" s="1" t="s">
        <v>1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6" t="s">
        <v>143</v>
      </c>
      <c r="J1" s="6" t="s">
        <v>144</v>
      </c>
      <c r="K1" s="6" t="s">
        <v>5</v>
      </c>
      <c r="L1" s="1" t="s">
        <v>145</v>
      </c>
      <c r="M1" s="1" t="s">
        <v>146</v>
      </c>
      <c r="N1" s="1" t="s">
        <v>147</v>
      </c>
      <c r="O1" s="7" t="s">
        <v>148</v>
      </c>
      <c r="P1" s="8" t="s">
        <v>149</v>
      </c>
      <c r="Q1" s="1" t="s">
        <v>150</v>
      </c>
      <c r="R1" s="1" t="s">
        <v>151</v>
      </c>
      <c r="S1" s="9" t="s">
        <v>152</v>
      </c>
    </row>
    <row r="2" ht="16.5" spans="1:19">
      <c r="A2" s="2" t="s">
        <v>20</v>
      </c>
      <c r="B2" s="2" t="s">
        <v>19</v>
      </c>
      <c r="C2" s="3" t="s">
        <v>21</v>
      </c>
      <c r="D2" s="3" t="e">
        <v>#N/A</v>
      </c>
      <c r="E2" s="3" t="s">
        <v>153</v>
      </c>
      <c r="F2" s="4" t="e">
        <v>#N/A</v>
      </c>
      <c r="G2" s="5" t="s">
        <v>154</v>
      </c>
      <c r="H2" s="5" t="s">
        <v>155</v>
      </c>
      <c r="I2" s="3">
        <v>0</v>
      </c>
      <c r="J2" s="3">
        <v>0</v>
      </c>
      <c r="K2" s="3">
        <v>0</v>
      </c>
      <c r="L2" s="3">
        <v>2</v>
      </c>
      <c r="M2" s="3">
        <v>1</v>
      </c>
      <c r="N2" s="3">
        <v>1</v>
      </c>
      <c r="O2" s="3">
        <v>0</v>
      </c>
      <c r="P2" s="3">
        <v>1.06666666666667</v>
      </c>
      <c r="Q2" s="10">
        <v>0</v>
      </c>
      <c r="R2" s="3">
        <v>3.2</v>
      </c>
      <c r="S2" s="10">
        <v>10</v>
      </c>
    </row>
    <row r="3" ht="16.5" spans="1:19">
      <c r="A3" s="2" t="s">
        <v>44</v>
      </c>
      <c r="B3" s="2" t="s">
        <v>43</v>
      </c>
      <c r="C3" s="3" t="s">
        <v>45</v>
      </c>
      <c r="D3" s="3" t="e">
        <v>#N/A</v>
      </c>
      <c r="E3" s="3" t="s">
        <v>156</v>
      </c>
      <c r="F3" s="4" t="e">
        <v>#N/A</v>
      </c>
      <c r="G3" s="5" t="s">
        <v>157</v>
      </c>
      <c r="H3" s="5" t="s">
        <v>155</v>
      </c>
      <c r="I3" s="3" t="e">
        <v>#N/A</v>
      </c>
      <c r="J3" s="3" t="e">
        <v>#N/A</v>
      </c>
      <c r="K3" s="3" t="e">
        <v>#N/A</v>
      </c>
      <c r="L3" s="3">
        <v>1</v>
      </c>
      <c r="M3" s="3">
        <v>6</v>
      </c>
      <c r="N3" s="3">
        <v>12</v>
      </c>
      <c r="O3" s="3">
        <v>2</v>
      </c>
      <c r="P3" s="3">
        <v>7.56666666666667</v>
      </c>
      <c r="Q3" s="10" t="e">
        <v>#N/A</v>
      </c>
      <c r="R3" s="3" t="e">
        <v>#N/A</v>
      </c>
      <c r="S3" s="10">
        <v>30</v>
      </c>
    </row>
    <row r="4" ht="16.5" spans="1:19">
      <c r="A4" s="2" t="s">
        <v>50</v>
      </c>
      <c r="B4" s="2" t="s">
        <v>49</v>
      </c>
      <c r="C4" s="3" t="s">
        <v>51</v>
      </c>
      <c r="D4" s="3" t="e">
        <v>#N/A</v>
      </c>
      <c r="E4" s="3" t="s">
        <v>156</v>
      </c>
      <c r="F4" s="4" t="e">
        <v>#N/A</v>
      </c>
      <c r="G4" s="5" t="s">
        <v>154</v>
      </c>
      <c r="H4" s="5" t="s">
        <v>155</v>
      </c>
      <c r="I4" s="3">
        <v>0</v>
      </c>
      <c r="J4" s="3">
        <v>0</v>
      </c>
      <c r="K4" s="3">
        <v>4</v>
      </c>
      <c r="L4" s="3">
        <v>0</v>
      </c>
      <c r="M4" s="3">
        <v>0</v>
      </c>
      <c r="N4" s="3">
        <v>2</v>
      </c>
      <c r="O4" s="3">
        <v>2</v>
      </c>
      <c r="P4" s="3">
        <v>2.43333333333333</v>
      </c>
      <c r="Q4" s="10">
        <v>1.64383561643836</v>
      </c>
      <c r="R4" s="3">
        <v>3.3</v>
      </c>
      <c r="S4" s="10">
        <v>10</v>
      </c>
    </row>
    <row r="5" ht="16.5" spans="1:19">
      <c r="A5" s="2" t="s">
        <v>53</v>
      </c>
      <c r="B5" s="2" t="s">
        <v>52</v>
      </c>
      <c r="C5" s="3" t="s">
        <v>54</v>
      </c>
      <c r="D5" s="3" t="e">
        <v>#N/A</v>
      </c>
      <c r="E5" s="3" t="s">
        <v>156</v>
      </c>
      <c r="F5" s="4" t="e">
        <v>#N/A</v>
      </c>
      <c r="G5" s="5" t="s">
        <v>154</v>
      </c>
      <c r="H5" s="5" t="s">
        <v>155</v>
      </c>
      <c r="I5" s="3" t="e">
        <v>#N/A</v>
      </c>
      <c r="J5" s="3" t="e">
        <v>#N/A</v>
      </c>
      <c r="K5" s="3" t="e">
        <v>#N/A</v>
      </c>
      <c r="L5" s="3">
        <v>0</v>
      </c>
      <c r="M5" s="3">
        <v>0</v>
      </c>
      <c r="N5" s="3">
        <v>2</v>
      </c>
      <c r="O5" s="3">
        <v>2</v>
      </c>
      <c r="P5" s="3">
        <v>2.43333333333333</v>
      </c>
      <c r="Q5" s="10" t="e">
        <v>#N/A</v>
      </c>
      <c r="R5" s="3" t="e">
        <v>#N/A</v>
      </c>
      <c r="S5" s="10">
        <v>10</v>
      </c>
    </row>
    <row r="6" ht="16.5" spans="1:19">
      <c r="A6" s="2" t="s">
        <v>86</v>
      </c>
      <c r="B6" s="2" t="s">
        <v>85</v>
      </c>
      <c r="C6" s="3" t="s">
        <v>87</v>
      </c>
      <c r="D6" s="3" t="e">
        <v>#N/A</v>
      </c>
      <c r="E6" s="3" t="s">
        <v>156</v>
      </c>
      <c r="F6" s="4" t="e">
        <v>#N/A</v>
      </c>
      <c r="G6" s="5" t="s">
        <v>154</v>
      </c>
      <c r="H6" s="5" t="s">
        <v>155</v>
      </c>
      <c r="I6" s="3" t="e">
        <v>#N/A</v>
      </c>
      <c r="J6" s="3" t="e">
        <v>#N/A</v>
      </c>
      <c r="K6" s="3" t="e">
        <v>#N/A</v>
      </c>
      <c r="L6" s="3">
        <v>0</v>
      </c>
      <c r="M6" s="3">
        <v>0</v>
      </c>
      <c r="N6" s="3">
        <v>2</v>
      </c>
      <c r="O6" s="3">
        <v>1</v>
      </c>
      <c r="P6" s="3">
        <v>1.68333333333333</v>
      </c>
      <c r="Q6" s="10" t="e">
        <v>#N/A</v>
      </c>
      <c r="R6" s="3" t="e">
        <v>#N/A</v>
      </c>
      <c r="S6" s="10">
        <v>10</v>
      </c>
    </row>
    <row r="7" ht="16.5" spans="1:19">
      <c r="A7" s="2" t="s">
        <v>95</v>
      </c>
      <c r="B7" s="2" t="s">
        <v>94</v>
      </c>
      <c r="C7" s="3" t="s">
        <v>96</v>
      </c>
      <c r="D7" s="3" t="e">
        <v>#N/A</v>
      </c>
      <c r="E7" s="3" t="s">
        <v>156</v>
      </c>
      <c r="F7" s="4" t="e">
        <v>#N/A</v>
      </c>
      <c r="G7" s="5" t="s">
        <v>154</v>
      </c>
      <c r="H7" s="5" t="s">
        <v>155</v>
      </c>
      <c r="I7" s="3">
        <v>0</v>
      </c>
      <c r="J7" s="3">
        <v>0</v>
      </c>
      <c r="K7" s="3">
        <v>6</v>
      </c>
      <c r="L7" s="3">
        <v>0</v>
      </c>
      <c r="M7" s="3">
        <v>0</v>
      </c>
      <c r="N7" s="3">
        <v>1</v>
      </c>
      <c r="O7" s="3">
        <v>4</v>
      </c>
      <c r="P7" s="3">
        <v>3.46666666666667</v>
      </c>
      <c r="Q7" s="10">
        <v>1.73076923076923</v>
      </c>
      <c r="R7" s="3">
        <v>4.4</v>
      </c>
      <c r="S7" s="10">
        <v>10</v>
      </c>
    </row>
    <row r="8" ht="16.5" spans="1:19">
      <c r="A8" s="2" t="s">
        <v>98</v>
      </c>
      <c r="B8" s="2" t="s">
        <v>97</v>
      </c>
      <c r="C8" s="3" t="s">
        <v>99</v>
      </c>
      <c r="D8" s="3" t="e">
        <v>#N/A</v>
      </c>
      <c r="E8" s="3" t="s">
        <v>153</v>
      </c>
      <c r="F8" s="4" t="s">
        <v>158</v>
      </c>
      <c r="G8" s="5" t="s">
        <v>159</v>
      </c>
      <c r="H8" s="5" t="s">
        <v>155</v>
      </c>
      <c r="I8" s="3">
        <v>6</v>
      </c>
      <c r="J8" s="3">
        <v>4</v>
      </c>
      <c r="K8" s="3">
        <v>0</v>
      </c>
      <c r="L8" s="3">
        <v>5</v>
      </c>
      <c r="M8" s="3">
        <v>3</v>
      </c>
      <c r="N8" s="3">
        <v>1</v>
      </c>
      <c r="O8" s="3">
        <v>2</v>
      </c>
      <c r="P8" s="3">
        <v>4.1</v>
      </c>
      <c r="Q8" s="10">
        <v>1.46341463414634</v>
      </c>
      <c r="R8" s="3">
        <v>6.3</v>
      </c>
      <c r="S8" s="10">
        <v>10</v>
      </c>
    </row>
    <row r="9" ht="16.5" spans="1:19">
      <c r="A9" s="2" t="s">
        <v>160</v>
      </c>
      <c r="B9" s="2" t="s">
        <v>161</v>
      </c>
      <c r="C9" s="3" t="s">
        <v>162</v>
      </c>
      <c r="D9" s="3" t="e">
        <v>#N/A</v>
      </c>
      <c r="E9" s="3" t="s">
        <v>156</v>
      </c>
      <c r="F9" s="4" t="e">
        <v>#N/A</v>
      </c>
      <c r="G9" s="5" t="s">
        <v>154</v>
      </c>
      <c r="H9" s="5" t="s">
        <v>155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5</v>
      </c>
      <c r="O9" s="3">
        <v>2</v>
      </c>
      <c r="P9" s="3">
        <v>3.83333333333333</v>
      </c>
      <c r="Q9" s="10">
        <v>0.260869565217391</v>
      </c>
      <c r="R9" s="3">
        <v>10.5</v>
      </c>
      <c r="S9" s="10">
        <v>15</v>
      </c>
    </row>
  </sheetData>
  <conditionalFormatting sqref="A1">
    <cfRule type="duplicateValues" dxfId="0" priority="3"/>
  </conditionalFormatting>
  <conditionalFormatting sqref="B1:D1">
    <cfRule type="duplicateValues" dxfId="0" priority="4"/>
  </conditionalFormatting>
  <conditionalFormatting sqref="L1:R1 S1">
    <cfRule type="duplicateValues" dxfId="0" priority="2"/>
  </conditionalFormatting>
  <conditionalFormatting sqref="Q1 Q2 Q3 Q4:Q5 Q6 Q7:Q8 Q9">
    <cfRule type="cellIs" dxfId="1" priority="1" operator="lessThan">
      <formula>3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米沐</cp:lastModifiedBy>
  <dcterms:created xsi:type="dcterms:W3CDTF">2026-10-21T09:16:00Z</dcterms:created>
  <dcterms:modified xsi:type="dcterms:W3CDTF">2026-10-21T09:36:36Z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C37EC2606DBF4DBD823A17E4BD8A451B_11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