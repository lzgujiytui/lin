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<sst xmlns="http://schemas.openxmlformats.org/spreadsheetml/2006/main" count="56" uniqueCount="22">
  <si>
    <t>销售额</t>
  </si>
  <si>
    <t>转化率</t>
  </si>
  <si>
    <t>广告转化率</t>
  </si>
  <si>
    <t>展示量</t>
  </si>
  <si>
    <t>广告花费</t>
  </si>
  <si>
    <t>点击数</t>
  </si>
  <si>
    <t>CPC</t>
  </si>
  <si>
    <t>ACOS</t>
  </si>
  <si>
    <t>广告sku销售额</t>
  </si>
  <si>
    <t>广告sku销量</t>
  </si>
  <si>
    <t>毛利润-实际</t>
  </si>
  <si>
    <t>毛利率</t>
  </si>
  <si>
    <t>推广占比</t>
  </si>
  <si>
    <t>退款率</t>
  </si>
  <si>
    <t>流量</t>
  </si>
  <si>
    <t>页面浏览量</t>
  </si>
  <si>
    <t>销量</t>
  </si>
  <si>
    <t>客单价</t>
  </si>
  <si>
    <t>促销折扣</t>
  </si>
  <si>
    <t>coupon使用费</t>
  </si>
  <si>
    <t>广告费率</t>
  </si>
  <si>
    <t>促销费率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</si>
</sst>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0.00_ "/>
    <numFmt numFmtId="179" formatCode="0.00_);[Red]\(0.00\)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9" fontId="2" fillId="3" borderId="1" xfId="3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0" fontId="1" fillId="0" borderId="1" xfId="3" applyNumberFormat="1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 vertical="center" wrapText="1"/>
    </xf>
    <xf numFmtId="1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0" fontId="1" fillId="0" borderId="2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179" fontId="3" fillId="5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9" fontId="1" fillId="0" borderId="0" xfId="0" applyNumberFormat="1" applyFont="1" applyFill="1" applyAlignment="1">
      <alignment horizontal="center" vertical="center" wrapText="1"/>
    </xf>
    <xf numFmtId="10" fontId="4" fillId="0" borderId="0" xfId="3" applyNumberFormat="1" applyFont="1" applyFill="1" applyAlignment="1" applyProtection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10" fontId="4" fillId="3" borderId="0" xfId="3" applyNumberFormat="1" applyFont="1" applyFill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5"/>
  <sheetViews>
    <sheetView tabSelected="1" workbookViewId="0">
      <selection activeCell="T9" sqref="$A1:$XFD1048576"/>
    </sheetView>
  </sheetViews>
  <sheetFormatPr defaultColWidth="9" defaultRowHeight="13.5"/>
  <sheetData>
    <row r="1" ht="28.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/>
      <c r="P1" s="15"/>
      <c r="Q1" s="21"/>
      <c r="R1" s="22"/>
      <c r="S1" s="23"/>
      <c r="T1" s="23"/>
      <c r="U1" s="7"/>
      <c r="V1" s="7"/>
    </row>
    <row r="2" ht="14.25" spans="1:22">
      <c r="A2" s="2">
        <v>9355.168</v>
      </c>
      <c r="B2" s="3">
        <v>0.0449438202</v>
      </c>
      <c r="C2" s="3">
        <f t="shared" ref="C2:C24" si="0">J2/F2</f>
        <v>0.0517568938794622</v>
      </c>
      <c r="D2" s="4">
        <v>24534.792773</v>
      </c>
      <c r="E2" s="4">
        <v>575.545551</v>
      </c>
      <c r="F2" s="4">
        <v>212.532074</v>
      </c>
      <c r="G2" s="5">
        <v>2.7080409096</v>
      </c>
      <c r="H2" s="3">
        <v>0.148236887</v>
      </c>
      <c r="I2" s="4">
        <v>2926.312</v>
      </c>
      <c r="J2" s="16">
        <v>11</v>
      </c>
      <c r="K2" s="4">
        <v>3422.150073</v>
      </c>
      <c r="L2" s="17">
        <v>0.2867</v>
      </c>
      <c r="M2" s="3">
        <v>0.0541984899</v>
      </c>
      <c r="N2" s="3">
        <v>0</v>
      </c>
      <c r="O2" s="7"/>
      <c r="P2" s="7"/>
      <c r="Q2" s="22"/>
      <c r="R2" s="22"/>
      <c r="S2" s="23"/>
      <c r="T2" s="23"/>
      <c r="U2" s="7"/>
      <c r="V2" s="7"/>
    </row>
    <row r="3" ht="14.25" spans="1:22">
      <c r="A3" s="2">
        <v>19750.396</v>
      </c>
      <c r="B3" s="3">
        <v>0.0476190476</v>
      </c>
      <c r="C3" s="3">
        <f t="shared" si="0"/>
        <v>0.0569261301487692</v>
      </c>
      <c r="D3" s="4">
        <v>45059.620603</v>
      </c>
      <c r="E3" s="4">
        <v>982.434242</v>
      </c>
      <c r="F3" s="4">
        <v>368.899132</v>
      </c>
      <c r="G3" s="5">
        <v>2.6631514058</v>
      </c>
      <c r="H3" s="3">
        <v>0.1970259573</v>
      </c>
      <c r="I3" s="4">
        <v>4839.9</v>
      </c>
      <c r="J3" s="16">
        <v>21</v>
      </c>
      <c r="K3" s="4">
        <v>4275.500025</v>
      </c>
      <c r="L3" s="17">
        <v>0.2571</v>
      </c>
      <c r="M3" s="3">
        <v>0.0636083944</v>
      </c>
      <c r="N3" s="3">
        <v>0.0170040021</v>
      </c>
      <c r="O3" s="7"/>
      <c r="P3" s="7"/>
      <c r="Q3" s="22"/>
      <c r="R3" s="22"/>
      <c r="S3" s="23"/>
      <c r="T3" s="23"/>
      <c r="U3" s="7"/>
      <c r="V3" s="7"/>
    </row>
    <row r="4" ht="14.25" spans="1:22">
      <c r="A4" s="2">
        <v>22547.644</v>
      </c>
      <c r="B4" s="3">
        <v>0.0447570332</v>
      </c>
      <c r="C4" s="3">
        <f t="shared" si="0"/>
        <v>0.0424060593056938</v>
      </c>
      <c r="D4" s="4">
        <v>55327.635673</v>
      </c>
      <c r="E4" s="4">
        <v>1364.959428</v>
      </c>
      <c r="F4" s="4">
        <v>495.212249</v>
      </c>
      <c r="G4" s="5">
        <v>2.7563119263</v>
      </c>
      <c r="H4" s="3">
        <v>0.2357321766</v>
      </c>
      <c r="I4" s="4">
        <v>5740.288</v>
      </c>
      <c r="J4" s="16">
        <v>21</v>
      </c>
      <c r="K4" s="4">
        <v>4824.348615</v>
      </c>
      <c r="L4" s="17">
        <v>0.248</v>
      </c>
      <c r="M4" s="3">
        <v>0.074451403</v>
      </c>
      <c r="N4" s="3">
        <v>0</v>
      </c>
      <c r="O4" s="7"/>
      <c r="P4" s="7"/>
      <c r="Q4" s="22"/>
      <c r="R4" s="22"/>
      <c r="S4" s="23"/>
      <c r="T4" s="23"/>
      <c r="U4" s="7"/>
      <c r="V4" s="7"/>
    </row>
    <row r="5" ht="14.25" spans="1:22">
      <c r="A5" s="2">
        <v>27066.516</v>
      </c>
      <c r="B5" s="3">
        <v>0.0481283422</v>
      </c>
      <c r="C5" s="3">
        <f t="shared" si="0"/>
        <v>0.0651303964450324</v>
      </c>
      <c r="D5" s="4">
        <v>42543.384208</v>
      </c>
      <c r="E5" s="4">
        <v>1134.272694</v>
      </c>
      <c r="F5" s="4">
        <v>414.552981</v>
      </c>
      <c r="G5" s="5">
        <v>2.7361344532</v>
      </c>
      <c r="H5" s="3">
        <v>0.1193519465</v>
      </c>
      <c r="I5" s="4">
        <v>7059.827993</v>
      </c>
      <c r="J5" s="16">
        <v>27</v>
      </c>
      <c r="K5" s="4">
        <v>5938.7757</v>
      </c>
      <c r="L5" s="17">
        <v>0.2544</v>
      </c>
      <c r="M5" s="3">
        <v>0.050671777</v>
      </c>
      <c r="N5" s="3">
        <v>0.0157188098</v>
      </c>
      <c r="O5" s="7"/>
      <c r="P5" s="7"/>
      <c r="Q5" s="22"/>
      <c r="R5" s="22"/>
      <c r="S5" s="23"/>
      <c r="T5" s="23"/>
      <c r="U5" s="7"/>
      <c r="V5" s="7"/>
    </row>
    <row r="6" ht="14.25" spans="1:22">
      <c r="A6" s="2">
        <v>30257.892</v>
      </c>
      <c r="B6" s="3">
        <v>0.0574223734</v>
      </c>
      <c r="C6" s="3">
        <f t="shared" si="0"/>
        <v>0.0656884224479347</v>
      </c>
      <c r="D6" s="4">
        <v>48049.145312</v>
      </c>
      <c r="E6" s="4">
        <v>1182.740459</v>
      </c>
      <c r="F6" s="4">
        <v>441.478101</v>
      </c>
      <c r="G6" s="5">
        <v>2.6790467212</v>
      </c>
      <c r="H6" s="3">
        <v>0.1522037969</v>
      </c>
      <c r="I6" s="4">
        <v>7579.416</v>
      </c>
      <c r="J6" s="16">
        <v>29</v>
      </c>
      <c r="K6" s="4">
        <v>5554.984638</v>
      </c>
      <c r="L6" s="17">
        <v>0.2867</v>
      </c>
      <c r="M6" s="3">
        <v>0.1392713744</v>
      </c>
      <c r="N6" s="3">
        <v>0.018899254</v>
      </c>
      <c r="O6" s="7"/>
      <c r="P6" s="7"/>
      <c r="Q6" s="22"/>
      <c r="R6" s="22"/>
      <c r="S6" s="23"/>
      <c r="T6" s="23"/>
      <c r="U6" s="7"/>
      <c r="V6" s="7"/>
    </row>
    <row r="7" ht="14.25" spans="1:22">
      <c r="A7" s="2">
        <v>34021.556</v>
      </c>
      <c r="B7" s="3">
        <v>0.0593087195</v>
      </c>
      <c r="C7" s="3">
        <f t="shared" si="0"/>
        <v>0.0833201854080759</v>
      </c>
      <c r="D7" s="4">
        <v>58867.936518</v>
      </c>
      <c r="E7" s="4">
        <v>1276.913763</v>
      </c>
      <c r="F7" s="4">
        <v>480.075744</v>
      </c>
      <c r="G7" s="5">
        <v>2.659817287</v>
      </c>
      <c r="H7" s="3">
        <v>0.1145525718</v>
      </c>
      <c r="I7" s="4">
        <v>10872.928</v>
      </c>
      <c r="J7" s="16">
        <v>40</v>
      </c>
      <c r="K7" s="4">
        <v>9753.596723</v>
      </c>
      <c r="L7" s="17">
        <v>0.2998</v>
      </c>
      <c r="M7" s="3">
        <v>0.057428049</v>
      </c>
      <c r="N7" s="3">
        <v>0.0080442837</v>
      </c>
      <c r="O7" s="7"/>
      <c r="P7" s="7"/>
      <c r="Q7" s="22"/>
      <c r="R7" s="22"/>
      <c r="S7" s="23"/>
      <c r="T7" s="23"/>
      <c r="U7" s="7"/>
      <c r="V7" s="7"/>
    </row>
    <row r="8" ht="14.25" spans="1:22">
      <c r="A8" s="2">
        <v>24739.42</v>
      </c>
      <c r="B8" s="3">
        <v>0.0493587252</v>
      </c>
      <c r="C8" s="3">
        <f t="shared" si="0"/>
        <v>0.0499559980284116</v>
      </c>
      <c r="D8" s="4">
        <v>58498.326588</v>
      </c>
      <c r="E8" s="4">
        <v>1329.087218</v>
      </c>
      <c r="F8" s="4">
        <v>480.422791</v>
      </c>
      <c r="G8" s="5">
        <v>2.766494935</v>
      </c>
      <c r="H8" s="3">
        <v>0.1724689806</v>
      </c>
      <c r="I8" s="4">
        <v>6973.060006</v>
      </c>
      <c r="J8" s="16">
        <v>24</v>
      </c>
      <c r="K8" s="4">
        <v>6563.256713</v>
      </c>
      <c r="L8" s="17">
        <v>0.2455</v>
      </c>
      <c r="M8" s="3">
        <v>0.0883161305</v>
      </c>
      <c r="N8" s="3">
        <v>0.011289776</v>
      </c>
      <c r="O8" s="7"/>
      <c r="P8" s="7"/>
      <c r="Q8" s="22"/>
      <c r="R8" s="22"/>
      <c r="S8" s="23"/>
      <c r="T8" s="23"/>
      <c r="U8" s="7"/>
      <c r="V8" s="7"/>
    </row>
    <row r="9" ht="14.25" spans="1:22">
      <c r="A9" s="2">
        <v>36821.048</v>
      </c>
      <c r="B9" s="3">
        <v>0.0695058256</v>
      </c>
      <c r="C9" s="3">
        <f t="shared" si="0"/>
        <v>0.0752377905760705</v>
      </c>
      <c r="D9" s="4">
        <v>59246.957255</v>
      </c>
      <c r="E9" s="4">
        <v>1228.503978</v>
      </c>
      <c r="F9" s="4">
        <v>438.609371</v>
      </c>
      <c r="G9" s="5">
        <v>2.8009068187</v>
      </c>
      <c r="H9" s="3">
        <v>0.1337906188</v>
      </c>
      <c r="I9" s="4">
        <v>9132.808007</v>
      </c>
      <c r="J9" s="16">
        <v>33</v>
      </c>
      <c r="K9" s="4">
        <v>8399.072446</v>
      </c>
      <c r="L9" s="17">
        <v>0.2463</v>
      </c>
      <c r="M9" s="3">
        <v>0.0879191624</v>
      </c>
      <c r="N9" s="3">
        <v>0</v>
      </c>
      <c r="O9" s="7"/>
      <c r="P9" s="7"/>
      <c r="Q9" s="22"/>
      <c r="R9" s="22"/>
      <c r="S9" s="23"/>
      <c r="T9" s="23"/>
      <c r="U9" s="7"/>
      <c r="V9" s="7"/>
    </row>
    <row r="10" ht="14.25" spans="1:22">
      <c r="A10" s="2">
        <v>29999.56</v>
      </c>
      <c r="B10" s="3">
        <v>0.0516129032</v>
      </c>
      <c r="C10" s="3">
        <f t="shared" si="0"/>
        <v>0.0586573441845666</v>
      </c>
      <c r="D10" s="4">
        <v>114171.042093</v>
      </c>
      <c r="E10" s="4">
        <v>1196.537608</v>
      </c>
      <c r="F10" s="4">
        <v>426.20409</v>
      </c>
      <c r="G10" s="5">
        <v>2.807428732</v>
      </c>
      <c r="H10" s="3">
        <v>0.1961119096</v>
      </c>
      <c r="I10" s="4">
        <v>5970.06</v>
      </c>
      <c r="J10" s="16">
        <v>25</v>
      </c>
      <c r="K10" s="4">
        <v>6070.739644</v>
      </c>
      <c r="L10" s="17">
        <v>0.2104</v>
      </c>
      <c r="M10" s="3">
        <v>0.0982177435</v>
      </c>
      <c r="N10" s="3">
        <v>0.0340646799</v>
      </c>
      <c r="O10" s="7"/>
      <c r="P10" s="7"/>
      <c r="Q10" s="22"/>
      <c r="R10" s="22"/>
      <c r="S10" s="23"/>
      <c r="T10" s="23"/>
      <c r="U10" s="7"/>
      <c r="V10" s="7"/>
    </row>
    <row r="11" ht="14.25" spans="1:22">
      <c r="A11" s="2">
        <v>37833.636</v>
      </c>
      <c r="B11" s="3">
        <v>0.0493897246</v>
      </c>
      <c r="C11" s="3">
        <f t="shared" si="0"/>
        <v>0.0822359561751432</v>
      </c>
      <c r="D11" s="4">
        <v>126723.253802</v>
      </c>
      <c r="E11" s="4">
        <v>1348.398912</v>
      </c>
      <c r="F11" s="4">
        <v>498.565371</v>
      </c>
      <c r="G11" s="5">
        <v>2.7045578983</v>
      </c>
      <c r="H11" s="3">
        <v>0.1108960062</v>
      </c>
      <c r="I11" s="4">
        <v>10273.168007</v>
      </c>
      <c r="J11" s="16">
        <v>41</v>
      </c>
      <c r="K11" s="4">
        <v>5276.576733</v>
      </c>
      <c r="L11" s="17">
        <v>0.1686</v>
      </c>
      <c r="M11" s="3">
        <v>0.1218207532</v>
      </c>
      <c r="N11" s="3">
        <v>0.0530845301</v>
      </c>
      <c r="O11" s="7"/>
      <c r="P11" s="7"/>
      <c r="Q11" s="22"/>
      <c r="R11" s="22"/>
      <c r="S11" s="23"/>
      <c r="T11" s="23"/>
      <c r="U11" s="7"/>
      <c r="V11" s="7"/>
    </row>
    <row r="12" ht="14.25" spans="1:22">
      <c r="A12" s="2">
        <v>31408.452</v>
      </c>
      <c r="B12" s="3">
        <v>0.0500813008</v>
      </c>
      <c r="C12" s="3">
        <f t="shared" si="0"/>
        <v>0.0491625937728082</v>
      </c>
      <c r="D12" s="4">
        <v>162505.205713</v>
      </c>
      <c r="E12" s="4">
        <v>1276.846106</v>
      </c>
      <c r="F12" s="4">
        <v>488.176033</v>
      </c>
      <c r="G12" s="5">
        <v>2.6155444341</v>
      </c>
      <c r="H12" s="3">
        <v>0.2057422926</v>
      </c>
      <c r="I12" s="4">
        <v>5715.535993</v>
      </c>
      <c r="J12" s="16">
        <v>24</v>
      </c>
      <c r="K12" s="4">
        <v>7401.187903</v>
      </c>
      <c r="L12" s="17">
        <v>0.2294</v>
      </c>
      <c r="M12" s="3">
        <v>0.0900971043</v>
      </c>
      <c r="N12" s="3">
        <v>0.0365175894</v>
      </c>
      <c r="O12" s="7"/>
      <c r="P12" s="7"/>
      <c r="Q12" s="22"/>
      <c r="R12" s="22"/>
      <c r="S12" s="23"/>
      <c r="T12" s="23"/>
      <c r="U12" s="7"/>
      <c r="V12" s="7"/>
    </row>
    <row r="13" ht="14.25" spans="1:22">
      <c r="A13" s="2">
        <v>34751.264</v>
      </c>
      <c r="B13" s="3">
        <v>0.0487487812</v>
      </c>
      <c r="C13" s="3">
        <f t="shared" si="0"/>
        <v>0.0536929627669794</v>
      </c>
      <c r="D13" s="4">
        <v>204725.043186</v>
      </c>
      <c r="E13" s="4">
        <v>1625.038565</v>
      </c>
      <c r="F13" s="4">
        <v>614.605682</v>
      </c>
      <c r="G13" s="5">
        <v>2.6440343989</v>
      </c>
      <c r="H13" s="3">
        <v>0.1522846595</v>
      </c>
      <c r="I13" s="4">
        <v>8890.864007</v>
      </c>
      <c r="J13" s="16">
        <v>33</v>
      </c>
      <c r="K13" s="4">
        <v>6629.153471</v>
      </c>
      <c r="L13" s="17">
        <v>0.2003</v>
      </c>
      <c r="M13" s="3">
        <v>0.1073501222</v>
      </c>
      <c r="N13" s="3">
        <v>0.0176968564</v>
      </c>
      <c r="O13" s="7"/>
      <c r="P13" s="7"/>
      <c r="Q13" s="22"/>
      <c r="R13" s="22"/>
      <c r="S13" s="23"/>
      <c r="T13" s="23"/>
      <c r="U13" s="7"/>
      <c r="V13" s="7"/>
    </row>
    <row r="14" ht="14.25" spans="1:22">
      <c r="A14" s="2">
        <v>40556.356</v>
      </c>
      <c r="B14" s="3">
        <v>0.0529377545</v>
      </c>
      <c r="C14" s="3">
        <f t="shared" si="0"/>
        <v>0.0653470110938543</v>
      </c>
      <c r="D14" s="4">
        <v>180284.756828</v>
      </c>
      <c r="E14" s="4">
        <v>1450.197708</v>
      </c>
      <c r="F14" s="4">
        <v>566.207993</v>
      </c>
      <c r="G14" s="5">
        <v>2.5612455598</v>
      </c>
      <c r="H14" s="3">
        <v>0.1468940944</v>
      </c>
      <c r="I14" s="4">
        <v>9181.496</v>
      </c>
      <c r="J14" s="16">
        <v>37</v>
      </c>
      <c r="K14" s="4">
        <v>6319.178607</v>
      </c>
      <c r="L14" s="17">
        <v>0.18</v>
      </c>
      <c r="M14" s="3">
        <v>0.1447356797</v>
      </c>
      <c r="N14" s="3">
        <v>0.0118897578</v>
      </c>
      <c r="O14" s="7"/>
      <c r="P14" s="7"/>
      <c r="Q14" s="22"/>
      <c r="R14" s="22"/>
      <c r="S14" s="23"/>
      <c r="T14" s="23"/>
      <c r="U14" s="7"/>
      <c r="V14" s="7"/>
    </row>
    <row r="15" ht="14.25" spans="1:22">
      <c r="A15" s="2">
        <v>38226.68</v>
      </c>
      <c r="B15" s="3">
        <v>0.0525</v>
      </c>
      <c r="C15" s="3">
        <f t="shared" si="0"/>
        <v>0.0791896869244936</v>
      </c>
      <c r="D15" s="4">
        <v>61590</v>
      </c>
      <c r="E15" s="4">
        <v>1428.54</v>
      </c>
      <c r="F15" s="4">
        <v>543</v>
      </c>
      <c r="G15" s="5">
        <v>2.63</v>
      </c>
      <c r="H15" s="3">
        <v>0.1246</v>
      </c>
      <c r="I15" s="4">
        <v>11411.69</v>
      </c>
      <c r="J15" s="16">
        <v>43</v>
      </c>
      <c r="K15" s="4">
        <v>7636.11</v>
      </c>
      <c r="L15" s="17">
        <v>0.19</v>
      </c>
      <c r="M15" s="3">
        <v>0.1155</v>
      </c>
      <c r="N15" s="3">
        <v>0.0199</v>
      </c>
      <c r="O15" s="7"/>
      <c r="P15" s="7"/>
      <c r="Q15" s="22"/>
      <c r="R15" s="22"/>
      <c r="S15" s="23"/>
      <c r="T15" s="23"/>
      <c r="U15" s="7"/>
      <c r="V15" s="7"/>
    </row>
    <row r="16" ht="14.25" spans="1:22">
      <c r="A16" s="2">
        <v>39360.37</v>
      </c>
      <c r="B16" s="3">
        <v>0.0588</v>
      </c>
      <c r="C16" s="3">
        <f t="shared" si="0"/>
        <v>0.0684647302904564</v>
      </c>
      <c r="D16" s="4">
        <v>117904</v>
      </c>
      <c r="E16" s="4">
        <v>1348.49</v>
      </c>
      <c r="F16" s="4">
        <v>482</v>
      </c>
      <c r="G16" s="5">
        <v>2.8</v>
      </c>
      <c r="H16" s="3">
        <v>0.1539</v>
      </c>
      <c r="I16" s="4">
        <v>8099.96</v>
      </c>
      <c r="J16" s="16">
        <v>33</v>
      </c>
      <c r="K16" s="4">
        <v>6600.96</v>
      </c>
      <c r="L16" s="17">
        <v>0.18</v>
      </c>
      <c r="M16" s="3">
        <v>0.1213</v>
      </c>
      <c r="N16" s="3">
        <v>0.0362</v>
      </c>
      <c r="O16" s="7"/>
      <c r="P16" s="7"/>
      <c r="Q16" s="22"/>
      <c r="R16" s="22"/>
      <c r="S16" s="23"/>
      <c r="T16" s="23"/>
      <c r="U16" s="7"/>
      <c r="V16" s="7"/>
    </row>
    <row r="17" ht="14.25" spans="1:22">
      <c r="A17" s="2">
        <v>46848.87</v>
      </c>
      <c r="B17" s="3">
        <v>0.0736</v>
      </c>
      <c r="C17" s="3">
        <f t="shared" si="0"/>
        <v>0.0840197693574959</v>
      </c>
      <c r="D17" s="4">
        <v>76033</v>
      </c>
      <c r="E17" s="4">
        <v>1686.67</v>
      </c>
      <c r="F17" s="4">
        <v>607</v>
      </c>
      <c r="G17" s="5">
        <v>2.78</v>
      </c>
      <c r="H17" s="3">
        <v>0.0987</v>
      </c>
      <c r="I17" s="4">
        <v>13902.4</v>
      </c>
      <c r="J17" s="16">
        <v>51</v>
      </c>
      <c r="K17" s="4">
        <v>10948.09</v>
      </c>
      <c r="L17" s="17">
        <v>0.22</v>
      </c>
      <c r="M17" s="3">
        <v>0.1002</v>
      </c>
      <c r="N17" s="3">
        <v>0.0449</v>
      </c>
      <c r="O17" s="7"/>
      <c r="P17" s="7"/>
      <c r="Q17" s="22"/>
      <c r="R17" s="22"/>
      <c r="S17" s="23"/>
      <c r="T17" s="23"/>
      <c r="U17" s="7"/>
      <c r="V17" s="7"/>
    </row>
    <row r="18" ht="14.25" spans="1:22">
      <c r="A18" s="2">
        <v>51471.99</v>
      </c>
      <c r="B18" s="3">
        <v>0.0722</v>
      </c>
      <c r="C18" s="3">
        <f t="shared" si="0"/>
        <v>0.0930232558139535</v>
      </c>
      <c r="D18" s="4">
        <v>82146</v>
      </c>
      <c r="E18" s="4">
        <v>2667.89</v>
      </c>
      <c r="F18" s="4">
        <v>903</v>
      </c>
      <c r="G18" s="5">
        <v>2.95</v>
      </c>
      <c r="H18" s="3">
        <v>0.1243</v>
      </c>
      <c r="I18" s="4">
        <v>20769.38</v>
      </c>
      <c r="J18" s="16">
        <v>84</v>
      </c>
      <c r="K18" s="4">
        <v>7474.65</v>
      </c>
      <c r="L18" s="17">
        <v>0.16</v>
      </c>
      <c r="M18" s="3">
        <v>0.1467</v>
      </c>
      <c r="N18" s="3">
        <v>0.0555</v>
      </c>
      <c r="O18" s="7"/>
      <c r="P18" s="7"/>
      <c r="Q18" s="22"/>
      <c r="R18" s="22"/>
      <c r="S18" s="23"/>
      <c r="T18" s="23"/>
      <c r="U18" s="7"/>
      <c r="V18" s="7"/>
    </row>
    <row r="19" ht="14.25" spans="1:22">
      <c r="A19" s="2">
        <v>57432.32</v>
      </c>
      <c r="B19" s="3">
        <v>0.0766</v>
      </c>
      <c r="C19" s="3">
        <f t="shared" si="0"/>
        <v>0.0991735537190083</v>
      </c>
      <c r="D19" s="4">
        <v>51011</v>
      </c>
      <c r="E19" s="4">
        <v>2095.42</v>
      </c>
      <c r="F19" s="4">
        <v>726</v>
      </c>
      <c r="G19" s="5">
        <v>2.88</v>
      </c>
      <c r="H19" s="3">
        <v>0.1057</v>
      </c>
      <c r="I19" s="4">
        <v>18975.67</v>
      </c>
      <c r="J19" s="16">
        <v>72</v>
      </c>
      <c r="K19" s="4">
        <v>11583.55</v>
      </c>
      <c r="L19" s="17">
        <v>0.22</v>
      </c>
      <c r="M19" s="3">
        <v>0.1065</v>
      </c>
      <c r="N19" s="3">
        <v>0.039</v>
      </c>
      <c r="O19" s="7"/>
      <c r="P19" s="7"/>
      <c r="Q19" s="22"/>
      <c r="R19" s="22"/>
      <c r="S19" s="23"/>
      <c r="T19" s="23"/>
      <c r="U19" s="7"/>
      <c r="V19" s="7"/>
    </row>
    <row r="20" ht="14.25" spans="1:22">
      <c r="A20" s="2">
        <v>51672.52</v>
      </c>
      <c r="B20" s="3">
        <v>0.0704</v>
      </c>
      <c r="C20" s="3">
        <f t="shared" si="0"/>
        <v>0.102888086642599</v>
      </c>
      <c r="D20" s="4">
        <v>41673</v>
      </c>
      <c r="E20" s="4">
        <v>1581.19</v>
      </c>
      <c r="F20" s="4">
        <v>554</v>
      </c>
      <c r="G20" s="5">
        <v>2.85</v>
      </c>
      <c r="H20" s="3">
        <v>0.0993</v>
      </c>
      <c r="I20" s="4">
        <v>15768.25</v>
      </c>
      <c r="J20" s="16">
        <v>57</v>
      </c>
      <c r="K20" s="4">
        <v>8447.67</v>
      </c>
      <c r="L20" s="17">
        <v>0.16</v>
      </c>
      <c r="M20" s="3">
        <v>0.1241</v>
      </c>
      <c r="N20" s="3">
        <v>0.0709</v>
      </c>
      <c r="O20" s="7"/>
      <c r="P20" s="7"/>
      <c r="Q20" s="22"/>
      <c r="R20" s="22"/>
      <c r="S20" s="23"/>
      <c r="T20" s="23"/>
      <c r="U20" s="7"/>
      <c r="V20" s="7"/>
    </row>
    <row r="21" ht="14.25" spans="1:22">
      <c r="A21" s="2">
        <v>54085.7</v>
      </c>
      <c r="B21" s="3">
        <v>0.0672</v>
      </c>
      <c r="C21" s="3">
        <f t="shared" si="0"/>
        <v>0.10252808988764</v>
      </c>
      <c r="D21" s="4">
        <v>85359</v>
      </c>
      <c r="E21" s="4">
        <v>2003.11</v>
      </c>
      <c r="F21" s="4">
        <v>712</v>
      </c>
      <c r="G21" s="5">
        <v>2.81</v>
      </c>
      <c r="H21" s="3">
        <v>0.1032</v>
      </c>
      <c r="I21" s="4">
        <v>18686.67</v>
      </c>
      <c r="J21" s="16">
        <v>73</v>
      </c>
      <c r="K21" s="4">
        <v>8802.94</v>
      </c>
      <c r="L21" s="17">
        <v>0.19</v>
      </c>
      <c r="M21" s="3">
        <v>0.1062</v>
      </c>
      <c r="N21" s="3">
        <v>0.0545</v>
      </c>
      <c r="O21" s="7"/>
      <c r="P21" s="7"/>
      <c r="Q21" s="22"/>
      <c r="R21" s="22"/>
      <c r="S21" s="23"/>
      <c r="T21" s="23"/>
      <c r="U21" s="7"/>
      <c r="V21" s="7"/>
    </row>
    <row r="22" ht="14.25" spans="1:22">
      <c r="A22" s="2">
        <v>55569.33</v>
      </c>
      <c r="B22" s="3">
        <v>0.0671</v>
      </c>
      <c r="C22" s="3">
        <f t="shared" si="0"/>
        <v>0.0705218617771509</v>
      </c>
      <c r="D22" s="4">
        <v>69054</v>
      </c>
      <c r="E22" s="4">
        <v>2142.07</v>
      </c>
      <c r="F22" s="4">
        <v>709</v>
      </c>
      <c r="G22" s="5">
        <v>3.02</v>
      </c>
      <c r="H22" s="3">
        <v>0.1605</v>
      </c>
      <c r="I22" s="4">
        <v>13274.96</v>
      </c>
      <c r="J22" s="16">
        <v>50</v>
      </c>
      <c r="K22" s="4">
        <v>13455.31</v>
      </c>
      <c r="L22" s="17">
        <v>0.22</v>
      </c>
      <c r="M22" s="3">
        <v>0.091</v>
      </c>
      <c r="N22" s="3">
        <v>0.0359</v>
      </c>
      <c r="O22" s="7"/>
      <c r="P22" s="7"/>
      <c r="Q22" s="22"/>
      <c r="R22" s="22"/>
      <c r="S22" s="23"/>
      <c r="T22" s="23"/>
      <c r="U22" s="7"/>
      <c r="V22" s="7"/>
    </row>
    <row r="23" ht="14.25" spans="1:22">
      <c r="A23" s="2">
        <v>63856.22</v>
      </c>
      <c r="B23" s="3">
        <v>0.0691</v>
      </c>
      <c r="C23" s="3">
        <f t="shared" si="0"/>
        <v>0.0817805383022774</v>
      </c>
      <c r="D23" s="4">
        <v>65007</v>
      </c>
      <c r="E23" s="4">
        <v>2964.22</v>
      </c>
      <c r="F23" s="4">
        <v>966</v>
      </c>
      <c r="G23" s="5">
        <v>3.07</v>
      </c>
      <c r="H23" s="3">
        <v>0.1223</v>
      </c>
      <c r="I23" s="4">
        <v>23293.94</v>
      </c>
      <c r="J23" s="16">
        <v>79</v>
      </c>
      <c r="K23" s="4">
        <v>10193.89</v>
      </c>
      <c r="L23" s="17">
        <v>0.18</v>
      </c>
      <c r="M23" s="3">
        <v>0.1132</v>
      </c>
      <c r="N23" s="3">
        <v>0.0691</v>
      </c>
      <c r="O23" s="7"/>
      <c r="P23" s="7"/>
      <c r="Q23" s="22"/>
      <c r="R23" s="22"/>
      <c r="S23" s="23"/>
      <c r="T23" s="23"/>
      <c r="U23" s="7"/>
      <c r="V23" s="7"/>
    </row>
    <row r="24" ht="14.25" spans="1:22">
      <c r="A24" s="2">
        <v>72801.48</v>
      </c>
      <c r="B24" s="3">
        <v>0.0726</v>
      </c>
      <c r="C24" s="3">
        <f t="shared" si="0"/>
        <v>0.0878701050620821</v>
      </c>
      <c r="D24" s="4">
        <v>70867</v>
      </c>
      <c r="E24" s="4">
        <v>3250.94</v>
      </c>
      <c r="F24" s="4">
        <v>1047</v>
      </c>
      <c r="G24" s="5">
        <v>3.11</v>
      </c>
      <c r="H24" s="3">
        <v>0.12</v>
      </c>
      <c r="I24" s="4">
        <v>26195.23</v>
      </c>
      <c r="J24" s="16">
        <v>92</v>
      </c>
      <c r="K24" s="4">
        <v>14255.38</v>
      </c>
      <c r="L24" s="17">
        <v>0.1978</v>
      </c>
      <c r="M24" s="3">
        <v>0.0965</v>
      </c>
      <c r="N24" s="3">
        <v>0.0406</v>
      </c>
      <c r="O24" s="7"/>
      <c r="P24" s="7"/>
      <c r="Q24" s="22"/>
      <c r="R24" s="22"/>
      <c r="S24" s="23"/>
      <c r="T24" s="23"/>
      <c r="U24" s="7"/>
      <c r="V24" s="7"/>
    </row>
    <row r="25" ht="14.25" spans="1:22">
      <c r="A25" s="6">
        <f t="shared" ref="A25:N25" si="1">(A24-A23)/A23</f>
        <v>0.140084395850553</v>
      </c>
      <c r="B25" s="6">
        <f t="shared" si="1"/>
        <v>0.0506512301013025</v>
      </c>
      <c r="C25" s="6">
        <f t="shared" si="1"/>
        <v>0.0744622973414093</v>
      </c>
      <c r="D25" s="6">
        <f t="shared" si="1"/>
        <v>0.0901441383235652</v>
      </c>
      <c r="E25" s="6">
        <f t="shared" si="1"/>
        <v>0.0967269635856989</v>
      </c>
      <c r="F25" s="6">
        <f t="shared" si="1"/>
        <v>0.0838509316770186</v>
      </c>
      <c r="G25" s="6">
        <f t="shared" si="1"/>
        <v>0.0130293159609121</v>
      </c>
      <c r="H25" s="6">
        <f t="shared" si="1"/>
        <v>-0.01880621422731</v>
      </c>
      <c r="I25" s="6">
        <f t="shared" si="1"/>
        <v>0.124551278143586</v>
      </c>
      <c r="J25" s="6">
        <f t="shared" si="1"/>
        <v>0.164556962025316</v>
      </c>
      <c r="K25" s="6">
        <f t="shared" si="1"/>
        <v>0.398423957880652</v>
      </c>
      <c r="L25" s="6">
        <f t="shared" si="1"/>
        <v>0.0988888888888889</v>
      </c>
      <c r="M25" s="6">
        <f t="shared" si="1"/>
        <v>-0.147526501766784</v>
      </c>
      <c r="N25" s="6">
        <f t="shared" si="1"/>
        <v>-0.412445730824891</v>
      </c>
      <c r="O25" s="7"/>
      <c r="P25" s="7"/>
      <c r="Q25" s="22"/>
      <c r="R25" s="22"/>
      <c r="S25" s="23"/>
      <c r="T25" s="23"/>
      <c r="U25" s="7"/>
      <c r="V25" s="7"/>
    </row>
    <row r="26" ht="14.25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22"/>
      <c r="R26" s="22"/>
      <c r="S26" s="23"/>
      <c r="T26" s="23"/>
      <c r="U26" s="7"/>
      <c r="V26" s="7"/>
    </row>
    <row r="27" ht="14.25" spans="1:2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22"/>
      <c r="R27" s="22"/>
      <c r="S27" s="23"/>
      <c r="T27" s="23"/>
      <c r="U27" s="7"/>
      <c r="V27" s="7"/>
    </row>
    <row r="28" ht="28.5" spans="1:22">
      <c r="A28" s="8" t="s">
        <v>14</v>
      </c>
      <c r="B28" s="8" t="s">
        <v>15</v>
      </c>
      <c r="C28" s="8" t="s">
        <v>16</v>
      </c>
      <c r="D28" s="8" t="s">
        <v>0</v>
      </c>
      <c r="E28" s="8" t="s">
        <v>17</v>
      </c>
      <c r="F28" s="8" t="s">
        <v>1</v>
      </c>
      <c r="G28" s="8" t="s">
        <v>2</v>
      </c>
      <c r="H28" s="8" t="s">
        <v>3</v>
      </c>
      <c r="I28" s="8" t="s">
        <v>5</v>
      </c>
      <c r="J28" s="8" t="s">
        <v>4</v>
      </c>
      <c r="K28" s="8" t="s">
        <v>6</v>
      </c>
      <c r="L28" s="18" t="s">
        <v>7</v>
      </c>
      <c r="M28" s="8" t="s">
        <v>8</v>
      </c>
      <c r="N28" s="8" t="s">
        <v>9</v>
      </c>
      <c r="O28" s="8" t="s">
        <v>10</v>
      </c>
      <c r="P28" s="8" t="s">
        <v>11</v>
      </c>
      <c r="Q28" s="24" t="s">
        <v>12</v>
      </c>
      <c r="R28" s="8" t="s">
        <v>13</v>
      </c>
      <c r="S28" s="8" t="s">
        <v>18</v>
      </c>
      <c r="T28" s="25" t="s">
        <v>19</v>
      </c>
      <c r="U28" s="25" t="s">
        <v>20</v>
      </c>
      <c r="V28" s="26" t="s">
        <v>21</v>
      </c>
    </row>
    <row r="29" ht="14.25" spans="1:22">
      <c r="A29" s="9">
        <v>771</v>
      </c>
      <c r="B29" s="9">
        <v>1182</v>
      </c>
      <c r="C29" s="9">
        <v>114</v>
      </c>
      <c r="D29" s="10">
        <v>28650.644</v>
      </c>
      <c r="E29" s="11">
        <f t="shared" ref="E29:E36" si="2">D29/C29/6.8</f>
        <v>36.9590350877193</v>
      </c>
      <c r="F29" s="12">
        <v>0.133106836422472</v>
      </c>
      <c r="G29" s="12">
        <f t="shared" ref="G29:G36" si="3">N29/I29</f>
        <v>0.114578861027973</v>
      </c>
      <c r="H29" s="10">
        <v>17989.419776</v>
      </c>
      <c r="I29" s="10">
        <v>279.283628</v>
      </c>
      <c r="J29" s="10">
        <v>827.660252</v>
      </c>
      <c r="K29" s="19">
        <f t="shared" ref="K29:K36" si="4">J29/I29</f>
        <v>2.9635115310089</v>
      </c>
      <c r="L29" s="20">
        <v>0.1022</v>
      </c>
      <c r="M29" s="10">
        <v>8096.692</v>
      </c>
      <c r="N29" s="10">
        <v>32</v>
      </c>
      <c r="O29" s="10">
        <v>4657.776851</v>
      </c>
      <c r="P29" s="12">
        <v>0.200512803695455</v>
      </c>
      <c r="Q29" s="12">
        <v>0.103919340938636</v>
      </c>
      <c r="R29" s="12">
        <v>0.0681818181818182</v>
      </c>
      <c r="S29" s="19">
        <v>1762.016</v>
      </c>
      <c r="T29" s="19">
        <v>50.477592</v>
      </c>
      <c r="U29" s="12">
        <f t="shared" ref="U29:U36" si="5">J29/D29</f>
        <v>0.0288880156411144</v>
      </c>
      <c r="V29" s="27">
        <f t="shared" ref="V29:V36" si="6">(S29+T29)/D29</f>
        <v>0.0632618796282555</v>
      </c>
    </row>
    <row r="30" ht="14.25" spans="1:22">
      <c r="A30" s="9">
        <v>1072</v>
      </c>
      <c r="B30" s="9">
        <v>1614</v>
      </c>
      <c r="C30" s="9">
        <v>140</v>
      </c>
      <c r="D30" s="10">
        <v>31921.376</v>
      </c>
      <c r="E30" s="11">
        <f t="shared" si="2"/>
        <v>33.5308571428571</v>
      </c>
      <c r="F30" s="12">
        <v>0.150469899413043</v>
      </c>
      <c r="G30" s="12">
        <f t="shared" si="3"/>
        <v>0.136485018547285</v>
      </c>
      <c r="H30" s="10">
        <v>21390.792993</v>
      </c>
      <c r="I30" s="10">
        <v>432.281877</v>
      </c>
      <c r="J30" s="10">
        <v>1288.928065</v>
      </c>
      <c r="K30" s="19">
        <f t="shared" si="4"/>
        <v>2.98168425182442</v>
      </c>
      <c r="L30" s="20">
        <v>0.0971</v>
      </c>
      <c r="M30" s="10">
        <v>13273.056</v>
      </c>
      <c r="N30" s="10">
        <v>59</v>
      </c>
      <c r="O30" s="10">
        <v>5759.331604</v>
      </c>
      <c r="P30" s="12">
        <v>0.166254498649091</v>
      </c>
      <c r="Q30" s="12">
        <v>0.139326478847273</v>
      </c>
      <c r="R30" s="12">
        <v>0.0463023887872727</v>
      </c>
      <c r="S30" s="19">
        <v>2221.016</v>
      </c>
      <c r="T30" s="19">
        <v>47.141527</v>
      </c>
      <c r="U30" s="12">
        <f t="shared" si="5"/>
        <v>0.0403782112964053</v>
      </c>
      <c r="V30" s="27">
        <f t="shared" si="6"/>
        <v>0.0710545036341792</v>
      </c>
    </row>
    <row r="31" ht="14.25" spans="1:22">
      <c r="A31" s="9">
        <v>911</v>
      </c>
      <c r="B31" s="9">
        <v>1420</v>
      </c>
      <c r="C31" s="9">
        <v>127</v>
      </c>
      <c r="D31" s="10">
        <v>27228.764</v>
      </c>
      <c r="E31" s="11">
        <f t="shared" si="2"/>
        <v>31.5293700787402</v>
      </c>
      <c r="F31" s="12">
        <v>0.125490002324468</v>
      </c>
      <c r="G31" s="12">
        <f t="shared" si="3"/>
        <v>0.12344187985383</v>
      </c>
      <c r="H31" s="10">
        <v>18921.479267</v>
      </c>
      <c r="I31" s="10">
        <v>340.241092</v>
      </c>
      <c r="J31" s="10">
        <v>1046.817432</v>
      </c>
      <c r="K31" s="19">
        <f t="shared" si="4"/>
        <v>3.07669313499617</v>
      </c>
      <c r="L31" s="20">
        <v>0.113</v>
      </c>
      <c r="M31" s="10">
        <v>9265.544</v>
      </c>
      <c r="N31" s="10">
        <v>42</v>
      </c>
      <c r="O31" s="10">
        <v>6401.193605</v>
      </c>
      <c r="P31" s="12">
        <v>0.160154330120755</v>
      </c>
      <c r="Q31" s="12">
        <v>0.119583859390566</v>
      </c>
      <c r="R31" s="12">
        <v>0.0651297601981132</v>
      </c>
      <c r="S31" s="19">
        <v>1981.384</v>
      </c>
      <c r="T31" s="19">
        <v>63.718317</v>
      </c>
      <c r="U31" s="12">
        <f t="shared" si="5"/>
        <v>0.0384452791173334</v>
      </c>
      <c r="V31" s="27">
        <f t="shared" si="6"/>
        <v>0.0751081583064145</v>
      </c>
    </row>
    <row r="32" ht="14.25" spans="1:22">
      <c r="A32" s="9">
        <v>944</v>
      </c>
      <c r="B32" s="9">
        <v>1407</v>
      </c>
      <c r="C32" s="9">
        <v>113</v>
      </c>
      <c r="D32" s="10">
        <v>27939.636</v>
      </c>
      <c r="E32" s="11">
        <f t="shared" si="2"/>
        <v>36.360796460177</v>
      </c>
      <c r="F32" s="12">
        <v>0.107633340787368</v>
      </c>
      <c r="G32" s="12">
        <f t="shared" si="3"/>
        <v>0.145624738031498</v>
      </c>
      <c r="H32" s="10">
        <v>16123.741283</v>
      </c>
      <c r="I32" s="10">
        <v>240.34378</v>
      </c>
      <c r="J32" s="10">
        <v>733.735183</v>
      </c>
      <c r="K32" s="19">
        <f t="shared" si="4"/>
        <v>3.05285696596767</v>
      </c>
      <c r="L32" s="20">
        <v>0.0842</v>
      </c>
      <c r="M32" s="10">
        <v>8710.46</v>
      </c>
      <c r="N32" s="10">
        <v>35</v>
      </c>
      <c r="O32" s="10">
        <v>4427.892323</v>
      </c>
      <c r="P32" s="12">
        <v>0.185723853633962</v>
      </c>
      <c r="Q32" s="12">
        <v>0.103778076796226</v>
      </c>
      <c r="R32" s="12">
        <v>0.0867136231603774</v>
      </c>
      <c r="S32" s="19">
        <v>1500.964</v>
      </c>
      <c r="T32" s="19">
        <v>9.238773</v>
      </c>
      <c r="U32" s="12">
        <f t="shared" si="5"/>
        <v>0.0262614438856684</v>
      </c>
      <c r="V32" s="27">
        <f t="shared" si="6"/>
        <v>0.0540523424499875</v>
      </c>
    </row>
    <row r="33" ht="14.25" spans="1:22">
      <c r="A33" s="9">
        <v>1002</v>
      </c>
      <c r="B33" s="9">
        <v>1493</v>
      </c>
      <c r="C33" s="9">
        <v>119</v>
      </c>
      <c r="D33" s="10">
        <v>27601.268</v>
      </c>
      <c r="E33" s="11">
        <f t="shared" si="2"/>
        <v>34.1093277310924</v>
      </c>
      <c r="F33" s="12">
        <v>0.114651193573469</v>
      </c>
      <c r="G33" s="12">
        <f t="shared" si="3"/>
        <v>0.126354654669155</v>
      </c>
      <c r="H33" s="10">
        <v>17689.700808</v>
      </c>
      <c r="I33" s="10">
        <v>253.255411</v>
      </c>
      <c r="J33" s="10">
        <v>753.599054</v>
      </c>
      <c r="K33" s="19">
        <f t="shared" si="4"/>
        <v>2.97564838209913</v>
      </c>
      <c r="L33" s="20">
        <v>0.1086</v>
      </c>
      <c r="M33" s="10">
        <v>6941.78</v>
      </c>
      <c r="N33" s="10">
        <v>32</v>
      </c>
      <c r="O33" s="10">
        <v>4829.837749</v>
      </c>
      <c r="P33" s="12">
        <v>0.16761902747037</v>
      </c>
      <c r="Q33" s="12">
        <v>0.0989844026648148</v>
      </c>
      <c r="R33" s="12">
        <v>0.109361569925926</v>
      </c>
      <c r="S33" s="19">
        <v>1350.752</v>
      </c>
      <c r="T33" s="19">
        <v>198.880769</v>
      </c>
      <c r="U33" s="12">
        <f t="shared" si="5"/>
        <v>0.0273030591927878</v>
      </c>
      <c r="V33" s="27">
        <f t="shared" si="6"/>
        <v>0.0561435354709066</v>
      </c>
    </row>
    <row r="34" ht="14.25" spans="1:22">
      <c r="A34" s="9">
        <v>1061</v>
      </c>
      <c r="B34" s="9">
        <v>1657</v>
      </c>
      <c r="C34" s="9">
        <v>125</v>
      </c>
      <c r="D34" s="10">
        <v>29413.468</v>
      </c>
      <c r="E34" s="11">
        <f t="shared" si="2"/>
        <v>34.60408</v>
      </c>
      <c r="F34" s="12">
        <v>0.108971915031579</v>
      </c>
      <c r="G34" s="12">
        <f t="shared" si="3"/>
        <v>0.0797609836587812</v>
      </c>
      <c r="H34" s="10">
        <v>19672.217622</v>
      </c>
      <c r="I34" s="10">
        <v>288.361539</v>
      </c>
      <c r="J34" s="10">
        <v>933.297194</v>
      </c>
      <c r="K34" s="19">
        <f t="shared" si="4"/>
        <v>3.23655227127915</v>
      </c>
      <c r="L34" s="20">
        <v>0.154</v>
      </c>
      <c r="M34" s="10">
        <v>6058.936</v>
      </c>
      <c r="N34" s="10">
        <v>23</v>
      </c>
      <c r="O34" s="10">
        <v>6382.370338</v>
      </c>
      <c r="P34" s="12">
        <v>0.250616571650877</v>
      </c>
      <c r="Q34" s="12">
        <v>0.0863294030578947</v>
      </c>
      <c r="R34" s="12">
        <v>0.0495707457508772</v>
      </c>
      <c r="S34" s="19">
        <v>1450.508</v>
      </c>
      <c r="T34" s="19">
        <v>54.234005</v>
      </c>
      <c r="U34" s="12">
        <f t="shared" si="5"/>
        <v>0.0317302670327756</v>
      </c>
      <c r="V34" s="27">
        <f t="shared" si="6"/>
        <v>0.0511582654925288</v>
      </c>
    </row>
    <row r="35" ht="14.25" spans="1:22">
      <c r="A35" s="9">
        <v>1115</v>
      </c>
      <c r="B35" s="9">
        <v>1668</v>
      </c>
      <c r="C35" s="9">
        <v>138</v>
      </c>
      <c r="D35" s="10">
        <v>34551.616</v>
      </c>
      <c r="E35" s="11">
        <f t="shared" si="2"/>
        <v>36.8197101449275</v>
      </c>
      <c r="F35" s="12">
        <v>0.1238</v>
      </c>
      <c r="G35" s="12">
        <f t="shared" si="3"/>
        <v>0.110512129380054</v>
      </c>
      <c r="H35" s="10">
        <v>22565</v>
      </c>
      <c r="I35" s="10">
        <v>371</v>
      </c>
      <c r="J35" s="10">
        <v>1211.33</v>
      </c>
      <c r="K35" s="19">
        <f t="shared" si="4"/>
        <v>3.26504043126685</v>
      </c>
      <c r="L35" s="20">
        <v>0.105</v>
      </c>
      <c r="M35" s="10">
        <v>11534.772</v>
      </c>
      <c r="N35" s="10">
        <v>41</v>
      </c>
      <c r="O35" s="10">
        <v>5454.597064</v>
      </c>
      <c r="P35" s="12">
        <v>0.169</v>
      </c>
      <c r="Q35" s="12">
        <v>0.0952086269707692</v>
      </c>
      <c r="R35" s="12">
        <v>0.240315751210769</v>
      </c>
      <c r="S35" s="19">
        <v>1702.312</v>
      </c>
      <c r="T35" s="19">
        <v>80.538926</v>
      </c>
      <c r="U35" s="12">
        <f t="shared" si="5"/>
        <v>0.035058562818017</v>
      </c>
      <c r="V35" s="27">
        <f t="shared" si="6"/>
        <v>0.0515996393916858</v>
      </c>
    </row>
    <row r="36" ht="14.25" spans="1:22">
      <c r="A36" s="9">
        <v>1036</v>
      </c>
      <c r="B36" s="9">
        <v>1592</v>
      </c>
      <c r="C36" s="9">
        <v>157</v>
      </c>
      <c r="D36" s="10">
        <v>40862.9</v>
      </c>
      <c r="E36" s="11">
        <f t="shared" si="2"/>
        <v>38.2754777070064</v>
      </c>
      <c r="F36" s="12">
        <v>0.1515</v>
      </c>
      <c r="G36" s="12">
        <f t="shared" si="3"/>
        <v>0.138381201044386</v>
      </c>
      <c r="H36" s="10">
        <v>24367</v>
      </c>
      <c r="I36" s="10">
        <v>383</v>
      </c>
      <c r="J36" s="10">
        <v>1245.62</v>
      </c>
      <c r="K36" s="19">
        <f t="shared" si="4"/>
        <v>3.25227154046997</v>
      </c>
      <c r="L36" s="20">
        <v>0.105</v>
      </c>
      <c r="M36" s="10">
        <v>13471.96</v>
      </c>
      <c r="N36" s="10">
        <v>53</v>
      </c>
      <c r="O36" s="10">
        <v>7377.71</v>
      </c>
      <c r="P36" s="12">
        <v>0.1768</v>
      </c>
      <c r="Q36" s="12">
        <v>0.0913</v>
      </c>
      <c r="R36" s="12">
        <v>0.0702</v>
      </c>
      <c r="S36" s="19">
        <v>2546.74</v>
      </c>
      <c r="T36" s="19">
        <v>15.99</v>
      </c>
      <c r="U36" s="12">
        <f t="shared" si="5"/>
        <v>0.0304829074784217</v>
      </c>
      <c r="V36" s="27">
        <f t="shared" si="6"/>
        <v>0.062715323679915</v>
      </c>
    </row>
    <row r="37" ht="14.25" spans="1:22">
      <c r="A37" s="13">
        <f t="shared" ref="A37:V37" si="7">(A36-A35)/A35</f>
        <v>-0.0708520179372197</v>
      </c>
      <c r="B37" s="13">
        <f t="shared" si="7"/>
        <v>-0.0455635491606715</v>
      </c>
      <c r="C37" s="13">
        <f t="shared" si="7"/>
        <v>0.13768115942029</v>
      </c>
      <c r="D37" s="13">
        <f t="shared" si="7"/>
        <v>0.182662483861826</v>
      </c>
      <c r="E37" s="13">
        <f t="shared" si="7"/>
        <v>0.0395377246683564</v>
      </c>
      <c r="F37" s="13">
        <f t="shared" si="7"/>
        <v>0.223747980613893</v>
      </c>
      <c r="G37" s="13">
        <f t="shared" si="7"/>
        <v>0.252181111889448</v>
      </c>
      <c r="H37" s="13">
        <f t="shared" si="7"/>
        <v>0.0798581874584534</v>
      </c>
      <c r="I37" s="13">
        <f t="shared" si="7"/>
        <v>0.032345013477089</v>
      </c>
      <c r="J37" s="13">
        <f t="shared" si="7"/>
        <v>0.0283077278693667</v>
      </c>
      <c r="K37" s="13">
        <f t="shared" si="7"/>
        <v>-0.00391079101949075</v>
      </c>
      <c r="L37" s="13">
        <f t="shared" si="7"/>
        <v>0</v>
      </c>
      <c r="M37" s="13">
        <f t="shared" si="7"/>
        <v>0.1679433282253</v>
      </c>
      <c r="N37" s="13">
        <f t="shared" si="7"/>
        <v>0.292682926829268</v>
      </c>
      <c r="O37" s="13">
        <f t="shared" si="7"/>
        <v>0.352567369034906</v>
      </c>
      <c r="P37" s="13">
        <f t="shared" si="7"/>
        <v>0.0461538461538462</v>
      </c>
      <c r="Q37" s="13">
        <f t="shared" si="7"/>
        <v>-0.0410532857696732</v>
      </c>
      <c r="R37" s="13">
        <f t="shared" si="7"/>
        <v>-0.707884316170224</v>
      </c>
      <c r="S37" s="13">
        <f t="shared" si="7"/>
        <v>0.496047728031054</v>
      </c>
      <c r="T37" s="13">
        <f t="shared" si="7"/>
        <v>-0.80146246300826</v>
      </c>
      <c r="U37" s="13">
        <f t="shared" si="7"/>
        <v>-0.13051462957414</v>
      </c>
      <c r="V37" s="13">
        <f t="shared" si="7"/>
        <v>0.21542174362599</v>
      </c>
    </row>
    <row r="38" ht="14.25" spans="1:22">
      <c r="A38" s="9">
        <v>1321</v>
      </c>
      <c r="B38" s="9">
        <v>1321</v>
      </c>
      <c r="C38" s="9">
        <v>58</v>
      </c>
      <c r="D38" s="10">
        <v>12895.112</v>
      </c>
      <c r="E38" s="11">
        <f t="shared" ref="E38:E45" si="8">D38/C38/6.8</f>
        <v>32.6955172413793</v>
      </c>
      <c r="F38" s="12">
        <v>0.0336329147542857</v>
      </c>
      <c r="G38" s="12">
        <f t="shared" ref="G38:G45" si="9">N38/I38</f>
        <v>0.0522648141655245</v>
      </c>
      <c r="H38" s="10">
        <v>53251.9993639999</v>
      </c>
      <c r="I38" s="10">
        <v>286.999949</v>
      </c>
      <c r="J38" s="10">
        <v>742.423961</v>
      </c>
      <c r="K38" s="19">
        <f t="shared" ref="K38:K45" si="10">J38/I38</f>
        <v>2.58684352936941</v>
      </c>
      <c r="L38" s="20">
        <v>0.1608</v>
      </c>
      <c r="M38" s="10">
        <v>4615.771993</v>
      </c>
      <c r="N38" s="10">
        <v>14.999999</v>
      </c>
      <c r="O38" s="10">
        <v>4637.970312</v>
      </c>
      <c r="P38" s="12">
        <v>0.2802873764375</v>
      </c>
      <c r="Q38" s="12">
        <v>0.0787471995833333</v>
      </c>
      <c r="R38" s="12">
        <v>0</v>
      </c>
      <c r="S38" s="19">
        <v>946.612628</v>
      </c>
      <c r="T38" s="19">
        <v>0</v>
      </c>
      <c r="U38" s="12">
        <f t="shared" ref="U38:U45" si="11">J38/D38</f>
        <v>0.0575740606983483</v>
      </c>
      <c r="V38" s="27">
        <f t="shared" ref="V38:V45" si="12">(S38+T38)/D38</f>
        <v>0.0734086394906845</v>
      </c>
    </row>
    <row r="39" ht="14.25" spans="1:22">
      <c r="A39" s="9">
        <v>1474</v>
      </c>
      <c r="B39" s="9">
        <v>1474</v>
      </c>
      <c r="C39" s="9">
        <v>61</v>
      </c>
      <c r="D39" s="10">
        <v>13111.012</v>
      </c>
      <c r="E39" s="11">
        <f t="shared" si="8"/>
        <v>31.6080327868852</v>
      </c>
      <c r="F39" s="12">
        <v>0.038804441625</v>
      </c>
      <c r="G39" s="12">
        <f t="shared" si="9"/>
        <v>0.0571428545454541</v>
      </c>
      <c r="H39" s="10">
        <v>53899.003824</v>
      </c>
      <c r="I39" s="10">
        <v>384.99993</v>
      </c>
      <c r="J39" s="10">
        <v>1131.995882</v>
      </c>
      <c r="K39" s="19">
        <f t="shared" si="10"/>
        <v>2.94024957874668</v>
      </c>
      <c r="L39" s="20">
        <v>0.1964</v>
      </c>
      <c r="M39" s="10">
        <v>5762.931993</v>
      </c>
      <c r="N39" s="10">
        <v>21.999995</v>
      </c>
      <c r="O39" s="10">
        <v>887.659269</v>
      </c>
      <c r="P39" s="12">
        <v>0.205799237471875</v>
      </c>
      <c r="Q39" s="12">
        <v>0.1502473284375</v>
      </c>
      <c r="R39" s="12">
        <v>0</v>
      </c>
      <c r="S39" s="19">
        <v>1389.496628</v>
      </c>
      <c r="T39" s="19">
        <v>0</v>
      </c>
      <c r="U39" s="12">
        <f t="shared" si="11"/>
        <v>0.0863393216328381</v>
      </c>
      <c r="V39" s="27">
        <f t="shared" si="12"/>
        <v>0.105979357504974</v>
      </c>
    </row>
    <row r="40" ht="14.25" spans="1:22">
      <c r="A40" s="9">
        <v>1607</v>
      </c>
      <c r="B40" s="9">
        <v>1607</v>
      </c>
      <c r="C40" s="9">
        <v>99</v>
      </c>
      <c r="D40" s="10">
        <v>23214.044</v>
      </c>
      <c r="E40" s="11">
        <f t="shared" si="8"/>
        <v>34.4831313131313</v>
      </c>
      <c r="F40" s="12">
        <v>0.0654776124578571</v>
      </c>
      <c r="G40" s="12">
        <f t="shared" si="9"/>
        <v>0.0798776450664138</v>
      </c>
      <c r="H40" s="10">
        <v>27545.795153</v>
      </c>
      <c r="I40" s="10">
        <v>338.016938</v>
      </c>
      <c r="J40" s="10">
        <v>919.019877</v>
      </c>
      <c r="K40" s="19">
        <f t="shared" si="10"/>
        <v>2.71885747039102</v>
      </c>
      <c r="L40" s="20">
        <v>0.1155</v>
      </c>
      <c r="M40" s="10">
        <v>7956.067994</v>
      </c>
      <c r="N40" s="10">
        <v>26.999997</v>
      </c>
      <c r="O40" s="10">
        <v>5781.739715</v>
      </c>
      <c r="P40" s="12">
        <v>0.345967463052083</v>
      </c>
      <c r="Q40" s="12">
        <v>0.00940143185208333</v>
      </c>
      <c r="R40" s="12">
        <v>0</v>
      </c>
      <c r="S40" s="19">
        <v>-827.18698</v>
      </c>
      <c r="T40" s="19">
        <v>0</v>
      </c>
      <c r="U40" s="12">
        <f t="shared" si="11"/>
        <v>0.039588960760133</v>
      </c>
      <c r="V40" s="27">
        <f t="shared" si="12"/>
        <v>-0.0356330409298785</v>
      </c>
    </row>
    <row r="41" ht="14.25" spans="1:22">
      <c r="A41" s="9">
        <v>1450</v>
      </c>
      <c r="B41" s="9">
        <v>1450</v>
      </c>
      <c r="C41" s="9">
        <v>74</v>
      </c>
      <c r="D41" s="10">
        <v>16262.268</v>
      </c>
      <c r="E41" s="11">
        <f t="shared" si="8"/>
        <v>32.3177027027027</v>
      </c>
      <c r="F41" s="12">
        <v>0.0376076348025974</v>
      </c>
      <c r="G41" s="12">
        <f t="shared" si="9"/>
        <v>0.0648717462835333</v>
      </c>
      <c r="H41" s="10">
        <v>21871.713851</v>
      </c>
      <c r="I41" s="10">
        <v>262.055486</v>
      </c>
      <c r="J41" s="10">
        <v>707.677901</v>
      </c>
      <c r="K41" s="19">
        <f t="shared" si="10"/>
        <v>2.7004887850354</v>
      </c>
      <c r="L41" s="20">
        <v>0.1432</v>
      </c>
      <c r="M41" s="10">
        <v>4943.123994</v>
      </c>
      <c r="N41" s="10">
        <v>16.999997</v>
      </c>
      <c r="O41" s="10">
        <v>3237.704155</v>
      </c>
      <c r="P41" s="12">
        <v>0.204368740332609</v>
      </c>
      <c r="Q41" s="12">
        <v>0.144726793221739</v>
      </c>
      <c r="R41" s="12">
        <v>0</v>
      </c>
      <c r="S41" s="19">
        <v>2915.032362</v>
      </c>
      <c r="T41" s="19">
        <v>0</v>
      </c>
      <c r="U41" s="12">
        <f t="shared" si="11"/>
        <v>0.0435165563007571</v>
      </c>
      <c r="V41" s="27">
        <f t="shared" si="12"/>
        <v>0.179251280448705</v>
      </c>
    </row>
    <row r="42" ht="14.25" spans="1:22">
      <c r="A42" s="9">
        <v>1697</v>
      </c>
      <c r="B42" s="9">
        <v>1697</v>
      </c>
      <c r="C42" s="9">
        <v>90</v>
      </c>
      <c r="D42" s="10">
        <v>20809.292</v>
      </c>
      <c r="E42" s="11">
        <f t="shared" si="8"/>
        <v>34.0021111111111</v>
      </c>
      <c r="F42" s="12">
        <v>0.0354674448530488</v>
      </c>
      <c r="G42" s="12">
        <f t="shared" si="9"/>
        <v>0.0909017253640407</v>
      </c>
      <c r="H42" s="10">
        <v>62224.113662</v>
      </c>
      <c r="I42" s="10">
        <v>363.029358</v>
      </c>
      <c r="J42" s="10">
        <v>1000.073682</v>
      </c>
      <c r="K42" s="19">
        <f t="shared" si="10"/>
        <v>2.75480111996893</v>
      </c>
      <c r="L42" s="20">
        <v>0.1114</v>
      </c>
      <c r="M42" s="10">
        <v>8980.012</v>
      </c>
      <c r="N42" s="10">
        <v>32.999995</v>
      </c>
      <c r="O42" s="10">
        <v>3104.878003</v>
      </c>
      <c r="P42" s="12">
        <v>0.225739333281395</v>
      </c>
      <c r="Q42" s="12">
        <v>0.127820946548837</v>
      </c>
      <c r="R42" s="12">
        <v>0</v>
      </c>
      <c r="S42" s="19">
        <v>1049.643612</v>
      </c>
      <c r="T42" s="19">
        <v>0</v>
      </c>
      <c r="U42" s="12">
        <f t="shared" si="11"/>
        <v>0.048058996048496</v>
      </c>
      <c r="V42" s="27">
        <f t="shared" si="12"/>
        <v>0.050441101600189</v>
      </c>
    </row>
    <row r="43" ht="14.25" spans="1:22">
      <c r="A43" s="9">
        <v>1651</v>
      </c>
      <c r="B43" s="9">
        <v>1651</v>
      </c>
      <c r="C43" s="9">
        <v>68</v>
      </c>
      <c r="D43" s="10">
        <v>14152.568</v>
      </c>
      <c r="E43" s="11">
        <f t="shared" si="8"/>
        <v>30.6067647058824</v>
      </c>
      <c r="F43" s="12">
        <v>0.0212450787743902</v>
      </c>
      <c r="G43" s="12">
        <f t="shared" si="9"/>
        <v>0.0591661286172888</v>
      </c>
      <c r="H43" s="10">
        <v>43695.927983</v>
      </c>
      <c r="I43" s="10">
        <v>338.031243</v>
      </c>
      <c r="J43" s="10">
        <v>987.849498</v>
      </c>
      <c r="K43" s="19">
        <f t="shared" si="10"/>
        <v>2.92236152265961</v>
      </c>
      <c r="L43" s="20">
        <v>0.1942</v>
      </c>
      <c r="M43" s="10">
        <v>5088.032</v>
      </c>
      <c r="N43" s="10">
        <v>20</v>
      </c>
      <c r="O43" s="10">
        <v>4483.926879</v>
      </c>
      <c r="P43" s="12">
        <v>0.225350322826786</v>
      </c>
      <c r="Q43" s="12">
        <v>0.1138365042625</v>
      </c>
      <c r="R43" s="12">
        <v>0</v>
      </c>
      <c r="S43" s="19">
        <v>1365.639612</v>
      </c>
      <c r="T43" s="19">
        <v>0</v>
      </c>
      <c r="U43" s="12">
        <f t="shared" si="11"/>
        <v>0.0698000177776924</v>
      </c>
      <c r="V43" s="27">
        <f t="shared" si="12"/>
        <v>0.09649412120825</v>
      </c>
    </row>
    <row r="44" ht="14.25" spans="1:22">
      <c r="A44" s="9">
        <v>1779</v>
      </c>
      <c r="B44" s="9">
        <v>1779</v>
      </c>
      <c r="C44" s="9">
        <v>89</v>
      </c>
      <c r="D44" s="10">
        <v>20576.936</v>
      </c>
      <c r="E44" s="11">
        <f t="shared" si="8"/>
        <v>34.0002247191011</v>
      </c>
      <c r="F44" s="12">
        <v>0.0357923809134503</v>
      </c>
      <c r="G44" s="12">
        <f t="shared" si="9"/>
        <v>0.0700154224940311</v>
      </c>
      <c r="H44" s="10">
        <v>34152.682597</v>
      </c>
      <c r="I44" s="10">
        <v>457.042161</v>
      </c>
      <c r="J44" s="10">
        <v>1362.589775</v>
      </c>
      <c r="K44" s="19">
        <f t="shared" si="10"/>
        <v>2.98132183695849</v>
      </c>
      <c r="L44" s="20">
        <v>0.1409</v>
      </c>
      <c r="M44" s="10">
        <v>9669.600006</v>
      </c>
      <c r="N44" s="10">
        <v>32</v>
      </c>
      <c r="O44" s="10">
        <v>2830.603889</v>
      </c>
      <c r="P44" s="12">
        <v>0.218470143357143</v>
      </c>
      <c r="Q44" s="12">
        <v>0.133368846785714</v>
      </c>
      <c r="R44" s="12">
        <v>0</v>
      </c>
      <c r="S44" s="19">
        <v>1136.887612</v>
      </c>
      <c r="T44" s="19">
        <v>0</v>
      </c>
      <c r="U44" s="12">
        <f t="shared" si="11"/>
        <v>0.0662192745800444</v>
      </c>
      <c r="V44" s="27">
        <f t="shared" si="12"/>
        <v>0.0552505782201976</v>
      </c>
    </row>
    <row r="45" ht="14.25" spans="1:22">
      <c r="A45" s="9">
        <v>1794</v>
      </c>
      <c r="B45" s="9">
        <v>1794</v>
      </c>
      <c r="C45" s="9">
        <v>79</v>
      </c>
      <c r="D45" s="10">
        <v>19429.23</v>
      </c>
      <c r="E45" s="11">
        <f t="shared" si="8"/>
        <v>36.1675912137007</v>
      </c>
      <c r="F45" s="12">
        <v>0.044</v>
      </c>
      <c r="G45" s="12">
        <f t="shared" si="9"/>
        <v>0.0476190476190476</v>
      </c>
      <c r="H45" s="10">
        <v>37044</v>
      </c>
      <c r="I45" s="10">
        <v>462</v>
      </c>
      <c r="J45" s="10">
        <v>1417.46</v>
      </c>
      <c r="K45" s="19">
        <f t="shared" si="10"/>
        <v>3.06809523809524</v>
      </c>
      <c r="L45" s="20">
        <v>0.105</v>
      </c>
      <c r="M45" s="10">
        <v>6602.53</v>
      </c>
      <c r="N45" s="10">
        <v>22</v>
      </c>
      <c r="O45" s="10">
        <v>4822.61</v>
      </c>
      <c r="P45" s="12">
        <v>0.2385</v>
      </c>
      <c r="Q45" s="12">
        <v>0.1039</v>
      </c>
      <c r="R45" s="12">
        <v>0</v>
      </c>
      <c r="S45" s="19">
        <v>682.94</v>
      </c>
      <c r="T45" s="19">
        <v>0</v>
      </c>
      <c r="U45" s="12">
        <f t="shared" si="11"/>
        <v>0.072955027039157</v>
      </c>
      <c r="V45" s="27">
        <f t="shared" si="12"/>
        <v>0.0351501320433182</v>
      </c>
    </row>
    <row r="46" ht="14.25" spans="1:22">
      <c r="A46" s="13">
        <f t="shared" ref="A46:V46" si="13">(A45-A44)/A44</f>
        <v>0.00843170320404722</v>
      </c>
      <c r="B46" s="13">
        <f t="shared" si="13"/>
        <v>0.00843170320404722</v>
      </c>
      <c r="C46" s="13">
        <f t="shared" si="13"/>
        <v>-0.112359550561798</v>
      </c>
      <c r="D46" s="13">
        <f t="shared" si="13"/>
        <v>-0.0557763313255191</v>
      </c>
      <c r="E46" s="13">
        <f t="shared" si="13"/>
        <v>0.0637456520509974</v>
      </c>
      <c r="F46" s="13">
        <f t="shared" si="13"/>
        <v>0.229311905972295</v>
      </c>
      <c r="G46" s="13">
        <f t="shared" si="13"/>
        <v>-0.319877736607143</v>
      </c>
      <c r="H46" s="13">
        <f t="shared" si="13"/>
        <v>0.0846585738847342</v>
      </c>
      <c r="I46" s="13">
        <f t="shared" si="13"/>
        <v>0.0108476622575745</v>
      </c>
      <c r="J46" s="13">
        <f t="shared" si="13"/>
        <v>0.0402690714452192</v>
      </c>
      <c r="K46" s="13">
        <f t="shared" si="13"/>
        <v>0.0291056805947757</v>
      </c>
      <c r="L46" s="13">
        <f t="shared" si="13"/>
        <v>-0.254790631653655</v>
      </c>
      <c r="M46" s="13">
        <f t="shared" si="13"/>
        <v>-0.317186854068098</v>
      </c>
      <c r="N46" s="13">
        <f t="shared" si="13"/>
        <v>-0.3125</v>
      </c>
      <c r="O46" s="13">
        <f t="shared" si="13"/>
        <v>0.70373891548059</v>
      </c>
      <c r="P46" s="13">
        <f t="shared" si="13"/>
        <v>0.0916823522659263</v>
      </c>
      <c r="Q46" s="13">
        <f t="shared" si="13"/>
        <v>-0.220957498665802</v>
      </c>
      <c r="R46" s="13" t="e">
        <f t="shared" si="13"/>
        <v>#DIV/0!</v>
      </c>
      <c r="S46" s="13">
        <f t="shared" si="13"/>
        <v>-0.399289786614369</v>
      </c>
      <c r="T46" s="13" t="e">
        <f t="shared" si="13"/>
        <v>#DIV/0!</v>
      </c>
      <c r="U46" s="13">
        <f t="shared" si="13"/>
        <v>0.101718910420418</v>
      </c>
      <c r="V46" s="13">
        <f t="shared" si="13"/>
        <v>-0.363805173165253</v>
      </c>
    </row>
    <row r="47" ht="14.25" spans="1:22">
      <c r="A47" s="9">
        <v>409</v>
      </c>
      <c r="B47" s="9">
        <v>409</v>
      </c>
      <c r="C47" s="9">
        <v>19</v>
      </c>
      <c r="D47" s="10">
        <v>3713.072</v>
      </c>
      <c r="E47" s="11">
        <f t="shared" ref="E47:E54" si="14">D47/C47/6.8</f>
        <v>28.7389473684211</v>
      </c>
      <c r="F47" s="12">
        <v>0.0342116655263158</v>
      </c>
      <c r="G47" s="12">
        <f t="shared" ref="G47:G54" si="15">N47/I47</f>
        <v>0.100000025000006</v>
      </c>
      <c r="H47" s="10">
        <v>3703.99983</v>
      </c>
      <c r="I47" s="10">
        <v>19.999995</v>
      </c>
      <c r="J47" s="10">
        <v>50.864</v>
      </c>
      <c r="K47" s="19">
        <f t="shared" ref="K47:K54" si="16">J47/I47</f>
        <v>2.54320063580016</v>
      </c>
      <c r="L47" s="20">
        <v>0.0755</v>
      </c>
      <c r="M47" s="10">
        <v>673.268</v>
      </c>
      <c r="N47" s="10">
        <v>2</v>
      </c>
      <c r="O47" s="10">
        <v>1370.499739</v>
      </c>
      <c r="P47" s="12">
        <v>0.2912872296</v>
      </c>
      <c r="Q47" s="12">
        <v>0.0368813676375</v>
      </c>
      <c r="R47" s="12">
        <v>0</v>
      </c>
      <c r="S47" s="19">
        <v>307.419224</v>
      </c>
      <c r="T47" s="19">
        <v>0</v>
      </c>
      <c r="U47" s="12">
        <f t="shared" ref="U47:U54" si="17">J47/D47</f>
        <v>0.0136986301369863</v>
      </c>
      <c r="V47" s="27">
        <f t="shared" ref="V47:V54" si="18">(S47+T47)/D47</f>
        <v>0.0827937686099273</v>
      </c>
    </row>
    <row r="48" ht="14.25" spans="1:22">
      <c r="A48" s="9">
        <v>522</v>
      </c>
      <c r="B48" s="9">
        <v>522</v>
      </c>
      <c r="C48" s="9">
        <v>23</v>
      </c>
      <c r="D48" s="10">
        <v>5760.348</v>
      </c>
      <c r="E48" s="11">
        <f t="shared" si="14"/>
        <v>36.8308695652174</v>
      </c>
      <c r="F48" s="12">
        <v>0.0373299137747475</v>
      </c>
      <c r="G48" s="12">
        <f t="shared" si="15"/>
        <v>0.0847457856937724</v>
      </c>
      <c r="H48" s="10">
        <v>5508.00061</v>
      </c>
      <c r="I48" s="10">
        <v>58.999984</v>
      </c>
      <c r="J48" s="10">
        <v>162.996</v>
      </c>
      <c r="K48" s="19">
        <f t="shared" si="16"/>
        <v>2.76264481698843</v>
      </c>
      <c r="L48" s="20">
        <v>0.0784</v>
      </c>
      <c r="M48" s="10">
        <v>2078.012</v>
      </c>
      <c r="N48" s="10">
        <v>5</v>
      </c>
      <c r="O48" s="10">
        <v>744.854882</v>
      </c>
      <c r="P48" s="12">
        <v>0.194640188464286</v>
      </c>
      <c r="Q48" s="12">
        <v>0.116085181435714</v>
      </c>
      <c r="R48" s="12">
        <v>0</v>
      </c>
      <c r="S48" s="19">
        <v>419.347224</v>
      </c>
      <c r="T48" s="19">
        <v>0</v>
      </c>
      <c r="U48" s="12">
        <f t="shared" si="17"/>
        <v>0.0282962071041541</v>
      </c>
      <c r="V48" s="27">
        <f t="shared" si="18"/>
        <v>0.0727989392307548</v>
      </c>
    </row>
    <row r="49" ht="14.25" spans="1:22">
      <c r="A49" s="9">
        <v>517</v>
      </c>
      <c r="B49" s="9">
        <v>517</v>
      </c>
      <c r="C49" s="9">
        <v>19</v>
      </c>
      <c r="D49" s="10">
        <v>4811.748</v>
      </c>
      <c r="E49" s="11">
        <f t="shared" si="14"/>
        <v>37.2426315789474</v>
      </c>
      <c r="F49" s="12">
        <v>0.0324250212879121</v>
      </c>
      <c r="G49" s="12">
        <f t="shared" si="15"/>
        <v>0.0967636369477369</v>
      </c>
      <c r="H49" s="10">
        <v>3474.159221</v>
      </c>
      <c r="I49" s="10">
        <v>31.003382</v>
      </c>
      <c r="J49" s="10">
        <v>76.268782</v>
      </c>
      <c r="K49" s="19">
        <f t="shared" si="16"/>
        <v>2.46001491063136</v>
      </c>
      <c r="L49" s="20">
        <v>0.0437</v>
      </c>
      <c r="M49" s="10">
        <v>1747.26</v>
      </c>
      <c r="N49" s="10">
        <v>3</v>
      </c>
      <c r="O49" s="10">
        <v>1398.30651</v>
      </c>
      <c r="P49" s="12">
        <v>0.258754356575</v>
      </c>
      <c r="Q49" s="12">
        <v>0.0649045813</v>
      </c>
      <c r="R49" s="12">
        <v>0</v>
      </c>
      <c r="S49" s="19">
        <v>13.365158</v>
      </c>
      <c r="T49" s="19">
        <v>0</v>
      </c>
      <c r="U49" s="12">
        <f t="shared" si="17"/>
        <v>0.0158505353979469</v>
      </c>
      <c r="V49" s="27">
        <f t="shared" si="18"/>
        <v>0.00277760971688459</v>
      </c>
    </row>
    <row r="50" ht="14.25" spans="1:22">
      <c r="A50" s="9">
        <v>558</v>
      </c>
      <c r="B50" s="9">
        <v>558</v>
      </c>
      <c r="C50" s="9">
        <v>28</v>
      </c>
      <c r="D50" s="10">
        <v>6796.736</v>
      </c>
      <c r="E50" s="11">
        <f t="shared" si="14"/>
        <v>35.6971428571429</v>
      </c>
      <c r="F50" s="12">
        <v>0.0310624831626168</v>
      </c>
      <c r="G50" s="12">
        <f t="shared" si="15"/>
        <v>0.11624918561633</v>
      </c>
      <c r="H50" s="10">
        <v>3165.144269</v>
      </c>
      <c r="I50" s="10">
        <v>43.011054</v>
      </c>
      <c r="J50" s="10">
        <v>110.745419</v>
      </c>
      <c r="K50" s="19">
        <f t="shared" si="16"/>
        <v>2.57481295389785</v>
      </c>
      <c r="L50" s="20">
        <v>0.0524</v>
      </c>
      <c r="M50" s="10">
        <v>2114.664</v>
      </c>
      <c r="N50" s="10">
        <v>5</v>
      </c>
      <c r="O50" s="10">
        <v>742.238626</v>
      </c>
      <c r="P50" s="12">
        <v>0.199143587785714</v>
      </c>
      <c r="Q50" s="12">
        <v>0.0751653712428572</v>
      </c>
      <c r="R50" s="12">
        <v>0</v>
      </c>
      <c r="S50" s="19">
        <v>679.403772</v>
      </c>
      <c r="T50" s="19">
        <v>0</v>
      </c>
      <c r="U50" s="12">
        <f t="shared" si="17"/>
        <v>0.0162939121072232</v>
      </c>
      <c r="V50" s="27">
        <f t="shared" si="18"/>
        <v>0.0999603003559356</v>
      </c>
    </row>
    <row r="51" ht="14.25" spans="1:22">
      <c r="A51" s="9">
        <v>692</v>
      </c>
      <c r="B51" s="9">
        <v>692</v>
      </c>
      <c r="C51" s="9">
        <v>27</v>
      </c>
      <c r="D51" s="10">
        <v>5316.24</v>
      </c>
      <c r="E51" s="11">
        <f t="shared" si="14"/>
        <v>28.9555555555556</v>
      </c>
      <c r="F51" s="12">
        <v>0.0295377105644068</v>
      </c>
      <c r="G51" s="12">
        <f t="shared" si="15"/>
        <v>0.0869509767227395</v>
      </c>
      <c r="H51" s="10">
        <v>5214.62341</v>
      </c>
      <c r="I51" s="10">
        <v>92.005844</v>
      </c>
      <c r="J51" s="10">
        <v>237.509907</v>
      </c>
      <c r="K51" s="19">
        <f t="shared" si="16"/>
        <v>2.58146544473849</v>
      </c>
      <c r="L51" s="20">
        <v>0.0859</v>
      </c>
      <c r="M51" s="10">
        <v>2764.879986</v>
      </c>
      <c r="N51" s="10">
        <v>7.999998</v>
      </c>
      <c r="O51" s="10">
        <v>826.527407</v>
      </c>
      <c r="P51" s="12">
        <v>0.254871618935714</v>
      </c>
      <c r="Q51" s="12">
        <v>0.0463726311214286</v>
      </c>
      <c r="R51" s="12">
        <v>0</v>
      </c>
      <c r="S51" s="19">
        <v>159.012522</v>
      </c>
      <c r="T51" s="19">
        <v>0</v>
      </c>
      <c r="U51" s="12">
        <f t="shared" si="17"/>
        <v>0.0446762950882579</v>
      </c>
      <c r="V51" s="27">
        <f t="shared" si="18"/>
        <v>0.0299107117060178</v>
      </c>
    </row>
    <row r="52" ht="14.25" spans="1:22">
      <c r="A52" s="9">
        <v>761</v>
      </c>
      <c r="B52" s="9">
        <v>761</v>
      </c>
      <c r="C52" s="9">
        <v>39</v>
      </c>
      <c r="D52" s="10">
        <v>9975.124</v>
      </c>
      <c r="E52" s="11">
        <f t="shared" si="14"/>
        <v>37.6135897435897</v>
      </c>
      <c r="F52" s="12">
        <v>0.0377705663314516</v>
      </c>
      <c r="G52" s="12">
        <f t="shared" si="15"/>
        <v>0.0864130064709516</v>
      </c>
      <c r="H52" s="10">
        <v>5438.797371</v>
      </c>
      <c r="I52" s="10">
        <v>81.006324</v>
      </c>
      <c r="J52" s="10">
        <v>213.373737</v>
      </c>
      <c r="K52" s="19">
        <f t="shared" si="16"/>
        <v>2.63403801658745</v>
      </c>
      <c r="L52" s="20">
        <v>0.1003</v>
      </c>
      <c r="M52" s="10">
        <v>2127.992007</v>
      </c>
      <c r="N52" s="10">
        <v>7</v>
      </c>
      <c r="O52" s="10">
        <v>2163.671355</v>
      </c>
      <c r="P52" s="12">
        <v>0.280067303237037</v>
      </c>
      <c r="Q52" s="12">
        <v>0.0489753877555556</v>
      </c>
      <c r="R52" s="12">
        <v>0</v>
      </c>
      <c r="S52" s="19">
        <v>449.168522</v>
      </c>
      <c r="T52" s="19">
        <v>0</v>
      </c>
      <c r="U52" s="12">
        <f t="shared" si="17"/>
        <v>0.0213905849190446</v>
      </c>
      <c r="V52" s="27">
        <f t="shared" si="18"/>
        <v>0.0450288660070792</v>
      </c>
    </row>
    <row r="53" ht="14.25" spans="1:22">
      <c r="A53" s="9">
        <v>767</v>
      </c>
      <c r="B53" s="9">
        <v>767</v>
      </c>
      <c r="C53" s="9">
        <v>29</v>
      </c>
      <c r="D53" s="10">
        <v>7202.696</v>
      </c>
      <c r="E53" s="11">
        <f t="shared" si="14"/>
        <v>36.5248275862069</v>
      </c>
      <c r="F53" s="12">
        <v>0.0327951615893443</v>
      </c>
      <c r="G53" s="12">
        <f t="shared" si="15"/>
        <v>0.0441143556737719</v>
      </c>
      <c r="H53" s="10">
        <v>8121.369098</v>
      </c>
      <c r="I53" s="10">
        <v>136.010147</v>
      </c>
      <c r="J53" s="10">
        <v>385.302913</v>
      </c>
      <c r="K53" s="19">
        <f t="shared" si="16"/>
        <v>2.83289829103707</v>
      </c>
      <c r="L53" s="20">
        <v>0.1844</v>
      </c>
      <c r="M53" s="10">
        <v>2089.572007</v>
      </c>
      <c r="N53" s="10">
        <v>6</v>
      </c>
      <c r="O53" s="10">
        <v>1137.559538</v>
      </c>
      <c r="P53" s="12">
        <v>0.222184804819048</v>
      </c>
      <c r="Q53" s="12">
        <v>0.0736396403333333</v>
      </c>
      <c r="R53" s="12">
        <v>0</v>
      </c>
      <c r="S53" s="19">
        <v>596.388522</v>
      </c>
      <c r="T53" s="19">
        <v>0</v>
      </c>
      <c r="U53" s="12">
        <f t="shared" si="17"/>
        <v>0.0534942628426911</v>
      </c>
      <c r="V53" s="27">
        <f t="shared" si="18"/>
        <v>0.0828007348914906</v>
      </c>
    </row>
    <row r="54" ht="14.25" spans="1:22">
      <c r="A54" s="9">
        <v>1054</v>
      </c>
      <c r="B54" s="9">
        <v>1054</v>
      </c>
      <c r="C54" s="9">
        <v>51</v>
      </c>
      <c r="D54" s="10">
        <v>12166.29</v>
      </c>
      <c r="E54" s="11">
        <f t="shared" si="14"/>
        <v>35.0815743944637</v>
      </c>
      <c r="F54" s="12">
        <v>0.0484</v>
      </c>
      <c r="G54" s="12">
        <f t="shared" si="15"/>
        <v>30.3007425742574</v>
      </c>
      <c r="H54" s="10">
        <v>9432</v>
      </c>
      <c r="I54" s="10">
        <v>202</v>
      </c>
      <c r="J54" s="10">
        <v>587.86</v>
      </c>
      <c r="K54" s="19">
        <f t="shared" si="16"/>
        <v>2.91019801980198</v>
      </c>
      <c r="L54" s="20">
        <v>0.105</v>
      </c>
      <c r="M54" s="10">
        <v>0.0879</v>
      </c>
      <c r="N54" s="10">
        <v>6120.75</v>
      </c>
      <c r="O54" s="10">
        <v>17</v>
      </c>
      <c r="P54" s="12">
        <v>1790.54</v>
      </c>
      <c r="Q54" s="12">
        <v>0.1875</v>
      </c>
      <c r="R54" s="12">
        <v>0.1096</v>
      </c>
      <c r="S54" s="19">
        <v>0</v>
      </c>
      <c r="T54" s="19">
        <v>458.66</v>
      </c>
      <c r="U54" s="12">
        <f t="shared" si="17"/>
        <v>0.0483187561697116</v>
      </c>
      <c r="V54" s="27">
        <f t="shared" si="18"/>
        <v>0.0376992493192255</v>
      </c>
    </row>
    <row r="55" ht="14.25" spans="1:22">
      <c r="A55" s="13">
        <f t="shared" ref="A55:V55" si="19">(A54-A53)/A53</f>
        <v>0.374185136897001</v>
      </c>
      <c r="B55" s="13">
        <f t="shared" si="19"/>
        <v>0.374185136897001</v>
      </c>
      <c r="C55" s="13">
        <f t="shared" si="19"/>
        <v>0.758620689655172</v>
      </c>
      <c r="D55" s="13">
        <f t="shared" si="19"/>
        <v>0.68913001465007</v>
      </c>
      <c r="E55" s="13">
        <f t="shared" si="19"/>
        <v>-0.0395143053950582</v>
      </c>
      <c r="F55" s="13">
        <f t="shared" si="19"/>
        <v>0.475827459125128</v>
      </c>
      <c r="G55" s="13">
        <f t="shared" si="19"/>
        <v>685.868075288985</v>
      </c>
      <c r="H55" s="13">
        <f t="shared" si="19"/>
        <v>0.16138053648156</v>
      </c>
      <c r="I55" s="13">
        <f t="shared" si="19"/>
        <v>0.485183307683654</v>
      </c>
      <c r="J55" s="13">
        <f t="shared" si="19"/>
        <v>0.525708683131602</v>
      </c>
      <c r="K55" s="13">
        <f t="shared" si="19"/>
        <v>0.0272864468906214</v>
      </c>
      <c r="L55" s="13">
        <f t="shared" si="19"/>
        <v>-0.43058568329718</v>
      </c>
      <c r="M55" s="13">
        <f t="shared" si="19"/>
        <v>-0.999957933969394</v>
      </c>
      <c r="N55" s="13">
        <f t="shared" si="19"/>
        <v>1019.125</v>
      </c>
      <c r="O55" s="13">
        <f t="shared" si="19"/>
        <v>-0.985055727254603</v>
      </c>
      <c r="P55" s="13">
        <f t="shared" si="19"/>
        <v>8057.7869249576</v>
      </c>
      <c r="Q55" s="13">
        <f t="shared" si="19"/>
        <v>1.54618299534425</v>
      </c>
      <c r="R55" s="13" t="e">
        <f t="shared" si="19"/>
        <v>#DIV/0!</v>
      </c>
      <c r="S55" s="13">
        <f t="shared" si="19"/>
        <v>-1</v>
      </c>
      <c r="T55" s="13" t="e">
        <f t="shared" si="19"/>
        <v>#DIV/0!</v>
      </c>
      <c r="U55" s="13">
        <f t="shared" si="19"/>
        <v>-0.0967488174984114</v>
      </c>
      <c r="V55" s="13">
        <f t="shared" si="19"/>
        <v>-0.544699097554751</v>
      </c>
    </row>
    <row r="56" ht="14.25" spans="1:22">
      <c r="A56" s="9">
        <v>1893</v>
      </c>
      <c r="B56" s="9">
        <v>1893</v>
      </c>
      <c r="C56" s="9">
        <v>84</v>
      </c>
      <c r="D56" s="10">
        <v>18198.228</v>
      </c>
      <c r="E56" s="11">
        <f t="shared" ref="E56:E62" si="20">D56/C56/6.8</f>
        <v>31.8596428571429</v>
      </c>
      <c r="F56" s="12">
        <v>0.0356502368819355</v>
      </c>
      <c r="G56" s="12">
        <f t="shared" ref="G56:G62" si="21">N56/I56</f>
        <v>0.0599369135527281</v>
      </c>
      <c r="H56" s="10">
        <v>57728.9991339999</v>
      </c>
      <c r="I56" s="10">
        <v>316.99994</v>
      </c>
      <c r="J56" s="10">
        <v>824.431954</v>
      </c>
      <c r="K56" s="19">
        <f t="shared" ref="K56:K62" si="22">J56/I56</f>
        <v>2.60073220834048</v>
      </c>
      <c r="L56" s="20">
        <v>0.142</v>
      </c>
      <c r="M56" s="10">
        <v>5805.703993</v>
      </c>
      <c r="N56" s="10">
        <v>18.999998</v>
      </c>
      <c r="O56" s="10">
        <v>6583.717775</v>
      </c>
      <c r="P56" s="12">
        <v>0.284266161932353</v>
      </c>
      <c r="Q56" s="12">
        <v>0.0664129420985294</v>
      </c>
      <c r="R56" s="12">
        <v>0</v>
      </c>
      <c r="S56" s="19">
        <v>1276.267852</v>
      </c>
      <c r="T56" s="19">
        <v>0</v>
      </c>
      <c r="U56" s="12">
        <f t="shared" ref="U56:U62" si="23">J56/D56</f>
        <v>0.0453028698178746</v>
      </c>
      <c r="V56" s="27">
        <f t="shared" ref="V56:V62" si="24">(S56+T56)/D56</f>
        <v>0.0701314354342632</v>
      </c>
    </row>
    <row r="57" ht="14.25" spans="1:22">
      <c r="A57" s="9">
        <v>2125</v>
      </c>
      <c r="B57" s="9">
        <v>2125</v>
      </c>
      <c r="C57" s="9">
        <v>90</v>
      </c>
      <c r="D57" s="10">
        <v>20060.544</v>
      </c>
      <c r="E57" s="11">
        <f t="shared" si="20"/>
        <v>32.7786666666667</v>
      </c>
      <c r="F57" s="12">
        <v>0.0385042493086093</v>
      </c>
      <c r="G57" s="12">
        <f t="shared" si="21"/>
        <v>0.0585683308143668</v>
      </c>
      <c r="H57" s="10">
        <v>60405.004605</v>
      </c>
      <c r="I57" s="10">
        <v>460.999906</v>
      </c>
      <c r="J57" s="10">
        <v>1348.847882</v>
      </c>
      <c r="K57" s="19">
        <f t="shared" si="22"/>
        <v>2.92591791114161</v>
      </c>
      <c r="L57" s="20">
        <v>0.172</v>
      </c>
      <c r="M57" s="10">
        <v>7840.943993</v>
      </c>
      <c r="N57" s="10">
        <v>26.999995</v>
      </c>
      <c r="O57" s="10">
        <v>1815.701228</v>
      </c>
      <c r="P57" s="12">
        <v>0.20506879335098</v>
      </c>
      <c r="Q57" s="12">
        <v>0.136888801021569</v>
      </c>
      <c r="R57" s="12">
        <v>0</v>
      </c>
      <c r="S57" s="19">
        <v>1917.235852</v>
      </c>
      <c r="T57" s="19">
        <v>0</v>
      </c>
      <c r="U57" s="12">
        <f t="shared" si="23"/>
        <v>0.0672388486573445</v>
      </c>
      <c r="V57" s="27">
        <f t="shared" si="24"/>
        <v>0.0955724756018581</v>
      </c>
    </row>
    <row r="58" ht="14.25" spans="1:22">
      <c r="A58" s="9">
        <v>2274</v>
      </c>
      <c r="B58" s="9">
        <v>2274</v>
      </c>
      <c r="C58" s="9">
        <v>120</v>
      </c>
      <c r="D58" s="10">
        <v>28415.704</v>
      </c>
      <c r="E58" s="11">
        <f t="shared" si="20"/>
        <v>34.8231666666667</v>
      </c>
      <c r="F58" s="12">
        <v>0.0425453424223729</v>
      </c>
      <c r="G58" s="12">
        <f t="shared" si="21"/>
        <v>0.0802094895615961</v>
      </c>
      <c r="H58" s="10">
        <v>32026.965118</v>
      </c>
      <c r="I58" s="10">
        <v>374.020545</v>
      </c>
      <c r="J58" s="10">
        <v>1010.931427</v>
      </c>
      <c r="K58" s="19">
        <f t="shared" si="22"/>
        <v>2.70287672833587</v>
      </c>
      <c r="L58" s="20">
        <v>0.1042</v>
      </c>
      <c r="M58" s="10">
        <v>9703.327994</v>
      </c>
      <c r="N58" s="10">
        <v>29.999997</v>
      </c>
      <c r="O58" s="10">
        <v>7511.99613800001</v>
      </c>
      <c r="P58" s="12">
        <v>0.324808730175</v>
      </c>
      <c r="Q58" s="12">
        <v>0.0230250398352941</v>
      </c>
      <c r="R58" s="12">
        <v>0</v>
      </c>
      <c r="S58" s="19">
        <v>-806.817822</v>
      </c>
      <c r="T58" s="19">
        <v>0</v>
      </c>
      <c r="U58" s="12">
        <f t="shared" si="23"/>
        <v>0.035576504703174</v>
      </c>
      <c r="V58" s="27">
        <f t="shared" si="24"/>
        <v>-0.0283933779011775</v>
      </c>
    </row>
    <row r="59" ht="14.25" spans="1:22">
      <c r="A59" s="9">
        <v>2167</v>
      </c>
      <c r="B59" s="9">
        <v>2167</v>
      </c>
      <c r="C59" s="9">
        <v>105</v>
      </c>
      <c r="D59" s="10">
        <v>23556.152</v>
      </c>
      <c r="E59" s="11">
        <f t="shared" si="20"/>
        <v>32.9918095238095</v>
      </c>
      <c r="F59" s="12">
        <v>0.0315592766705015</v>
      </c>
      <c r="G59" s="12">
        <f t="shared" si="21"/>
        <v>0.0714129591160461</v>
      </c>
      <c r="H59" s="10">
        <v>25440.935393</v>
      </c>
      <c r="I59" s="10">
        <v>308.067293</v>
      </c>
      <c r="J59" s="10">
        <v>828.630727</v>
      </c>
      <c r="K59" s="19">
        <f t="shared" si="22"/>
        <v>2.68977183176664</v>
      </c>
      <c r="L59" s="20">
        <v>0.1174</v>
      </c>
      <c r="M59" s="10">
        <v>7057.787994</v>
      </c>
      <c r="N59" s="10">
        <v>21.999997</v>
      </c>
      <c r="O59" s="10">
        <v>4009.082894</v>
      </c>
      <c r="P59" s="12">
        <v>0.204392394019355</v>
      </c>
      <c r="Q59" s="12">
        <v>0.129101206512903</v>
      </c>
      <c r="R59" s="12">
        <v>0</v>
      </c>
      <c r="S59" s="19">
        <v>3699.088134</v>
      </c>
      <c r="T59" s="19">
        <v>0</v>
      </c>
      <c r="U59" s="12">
        <f t="shared" si="23"/>
        <v>0.0351768288385981</v>
      </c>
      <c r="V59" s="27">
        <f t="shared" si="24"/>
        <v>0.157032784217049</v>
      </c>
    </row>
    <row r="60" ht="14.25" spans="1:22">
      <c r="A60" s="9">
        <v>2531</v>
      </c>
      <c r="B60" s="9">
        <v>2531</v>
      </c>
      <c r="C60" s="9">
        <v>119</v>
      </c>
      <c r="D60" s="10">
        <v>26484.436</v>
      </c>
      <c r="E60" s="11">
        <f t="shared" si="20"/>
        <v>32.7291596638655</v>
      </c>
      <c r="F60" s="12">
        <v>0.0272187687449153</v>
      </c>
      <c r="G60" s="12">
        <f t="shared" si="21"/>
        <v>0.0895126772263437</v>
      </c>
      <c r="H60" s="10">
        <v>67622.779182</v>
      </c>
      <c r="I60" s="10">
        <v>458.035602</v>
      </c>
      <c r="J60" s="10">
        <v>1247.651238</v>
      </c>
      <c r="K60" s="19">
        <f t="shared" si="22"/>
        <v>2.72391760062354</v>
      </c>
      <c r="L60" s="20">
        <v>0.1062</v>
      </c>
      <c r="M60" s="10">
        <v>11744.891986</v>
      </c>
      <c r="N60" s="10">
        <v>40.999993</v>
      </c>
      <c r="O60" s="10">
        <v>3966.132005</v>
      </c>
      <c r="P60" s="12">
        <v>0.229717521006667</v>
      </c>
      <c r="Q60" s="12">
        <v>0.105779688015</v>
      </c>
      <c r="R60" s="12">
        <v>0</v>
      </c>
      <c r="S60" s="19">
        <v>1275.772134</v>
      </c>
      <c r="T60" s="19">
        <v>0</v>
      </c>
      <c r="U60" s="12">
        <f t="shared" si="23"/>
        <v>0.0471088467959068</v>
      </c>
      <c r="V60" s="27">
        <f t="shared" si="24"/>
        <v>0.0481706362937085</v>
      </c>
    </row>
    <row r="61" ht="14.25" spans="1:22">
      <c r="A61" s="9">
        <v>2514</v>
      </c>
      <c r="B61" s="9">
        <v>2514</v>
      </c>
      <c r="C61" s="9">
        <v>115</v>
      </c>
      <c r="D61" s="10">
        <v>26155.86</v>
      </c>
      <c r="E61" s="11">
        <f t="shared" si="20"/>
        <v>33.4473913043478</v>
      </c>
      <c r="F61" s="12">
        <v>0.0330197167953216</v>
      </c>
      <c r="G61" s="12">
        <f t="shared" si="21"/>
        <v>0.0644333637990982</v>
      </c>
      <c r="H61" s="10">
        <v>49134.725354</v>
      </c>
      <c r="I61" s="10">
        <v>419.037567</v>
      </c>
      <c r="J61" s="10">
        <v>1201.223235</v>
      </c>
      <c r="K61" s="19">
        <f t="shared" si="22"/>
        <v>2.86662421128462</v>
      </c>
      <c r="L61" s="20">
        <v>0.1665</v>
      </c>
      <c r="M61" s="10">
        <v>7216.024007</v>
      </c>
      <c r="N61" s="10">
        <v>27</v>
      </c>
      <c r="O61" s="10">
        <v>6647.598234</v>
      </c>
      <c r="P61" s="12">
        <v>0.243149822478313</v>
      </c>
      <c r="Q61" s="12">
        <v>0.0927371049168675</v>
      </c>
      <c r="R61" s="12">
        <v>0</v>
      </c>
      <c r="S61" s="19">
        <v>1814.808134</v>
      </c>
      <c r="T61" s="19">
        <v>0</v>
      </c>
      <c r="U61" s="12">
        <f t="shared" si="23"/>
        <v>0.0459255874209451</v>
      </c>
      <c r="V61" s="27">
        <f t="shared" si="24"/>
        <v>0.0693843801733149</v>
      </c>
    </row>
    <row r="62" ht="14.25" spans="1:22">
      <c r="A62" s="9">
        <v>2661</v>
      </c>
      <c r="B62" s="9">
        <v>2661</v>
      </c>
      <c r="C62" s="9">
        <v>123</v>
      </c>
      <c r="D62" s="10">
        <v>29304.6</v>
      </c>
      <c r="E62" s="11">
        <f t="shared" si="20"/>
        <v>35.0365853658537</v>
      </c>
      <c r="F62" s="12">
        <v>0.0346050498523669</v>
      </c>
      <c r="G62" s="12">
        <f t="shared" si="21"/>
        <v>0.0639673949972939</v>
      </c>
      <c r="H62" s="10">
        <v>42417.097086</v>
      </c>
      <c r="I62" s="10">
        <v>594.052642</v>
      </c>
      <c r="J62" s="10">
        <v>1751.703428</v>
      </c>
      <c r="K62" s="19">
        <f t="shared" si="22"/>
        <v>2.94873434465762</v>
      </c>
      <c r="L62" s="20">
        <v>0.149</v>
      </c>
      <c r="M62" s="10">
        <v>11759.172013</v>
      </c>
      <c r="N62" s="10">
        <v>38</v>
      </c>
      <c r="O62" s="10">
        <v>4739.295059</v>
      </c>
      <c r="P62" s="12">
        <v>0.236477404919118</v>
      </c>
      <c r="Q62" s="12">
        <v>0.105116529588235</v>
      </c>
      <c r="R62" s="12">
        <v>0</v>
      </c>
      <c r="S62" s="19">
        <v>1733.276134</v>
      </c>
      <c r="T62" s="19">
        <v>0</v>
      </c>
      <c r="U62" s="12">
        <f t="shared" si="23"/>
        <v>0.0597757153484436</v>
      </c>
      <c r="V62" s="27">
        <f t="shared" si="24"/>
        <v>0.0591468961869468</v>
      </c>
    </row>
    <row r="63" ht="14.25" spans="1:2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4.25" spans="1:22">
      <c r="A64" s="9">
        <v>2946</v>
      </c>
      <c r="B64" s="9">
        <v>2946</v>
      </c>
      <c r="C64" s="9">
        <v>132</v>
      </c>
      <c r="D64" s="10">
        <v>31938.58</v>
      </c>
      <c r="E64" s="11">
        <f>D64/C64/6.8</f>
        <v>35.582196969697</v>
      </c>
      <c r="F64" s="12">
        <v>0.0448</v>
      </c>
      <c r="G64" s="12">
        <f>N64/I64</f>
        <v>0.0587349397590361</v>
      </c>
      <c r="H64" s="10">
        <v>46500</v>
      </c>
      <c r="I64" s="10">
        <v>664</v>
      </c>
      <c r="J64" s="10">
        <v>2005.32</v>
      </c>
      <c r="K64" s="19">
        <f>J64/I64</f>
        <v>3.02006024096386</v>
      </c>
      <c r="L64" s="20">
        <v>0.105</v>
      </c>
      <c r="M64" s="10">
        <v>12723.28</v>
      </c>
      <c r="N64" s="10">
        <v>39</v>
      </c>
      <c r="O64" s="10">
        <v>6877.66</v>
      </c>
      <c r="P64" s="12">
        <v>0.2265</v>
      </c>
      <c r="Q64" s="12">
        <v>0.1036</v>
      </c>
      <c r="R64" s="12">
        <v>0</v>
      </c>
      <c r="S64" s="19">
        <v>1141.6</v>
      </c>
      <c r="T64" s="19">
        <v>0</v>
      </c>
      <c r="U64" s="12">
        <f>J64/D64</f>
        <v>0.062786761340047</v>
      </c>
      <c r="V64" s="27">
        <f>(S64+T64)/D64</f>
        <v>0.0357436053825812</v>
      </c>
    </row>
    <row r="65" ht="14.25" spans="1:22">
      <c r="A65" s="13">
        <f t="shared" ref="A65:V65" si="25">(A64-A62)/A62</f>
        <v>0.107102593010147</v>
      </c>
      <c r="B65" s="13">
        <f t="shared" si="25"/>
        <v>0.107102593010147</v>
      </c>
      <c r="C65" s="13">
        <f t="shared" si="25"/>
        <v>0.0731707317073171</v>
      </c>
      <c r="D65" s="13">
        <f t="shared" si="25"/>
        <v>0.0898828170321384</v>
      </c>
      <c r="E65" s="13">
        <f t="shared" si="25"/>
        <v>0.0155726249617653</v>
      </c>
      <c r="F65" s="13">
        <f t="shared" si="25"/>
        <v>0.294608740375382</v>
      </c>
      <c r="G65" s="13">
        <f t="shared" si="25"/>
        <v>-0.0817987857482561</v>
      </c>
      <c r="H65" s="13">
        <f t="shared" si="25"/>
        <v>0.096256066409306</v>
      </c>
      <c r="I65" s="13">
        <f t="shared" si="25"/>
        <v>0.117746059952714</v>
      </c>
      <c r="J65" s="13">
        <f t="shared" si="25"/>
        <v>0.144782825646214</v>
      </c>
      <c r="K65" s="13">
        <f t="shared" si="25"/>
        <v>0.0241886477279503</v>
      </c>
      <c r="L65" s="13">
        <f t="shared" si="25"/>
        <v>-0.295302013422819</v>
      </c>
      <c r="M65" s="13">
        <f t="shared" si="25"/>
        <v>0.0819877441995202</v>
      </c>
      <c r="N65" s="13">
        <f t="shared" si="25"/>
        <v>0.0263157894736842</v>
      </c>
      <c r="O65" s="13">
        <f t="shared" si="25"/>
        <v>0.451198947180807</v>
      </c>
      <c r="P65" s="13">
        <f t="shared" si="25"/>
        <v>-0.042191789623751</v>
      </c>
      <c r="Q65" s="13">
        <f t="shared" si="25"/>
        <v>-0.0144271276285052</v>
      </c>
      <c r="R65" s="13" t="e">
        <f t="shared" si="25"/>
        <v>#DIV/0!</v>
      </c>
      <c r="S65" s="13">
        <f t="shared" si="25"/>
        <v>-0.341362880612998</v>
      </c>
      <c r="T65" s="13" t="e">
        <f t="shared" si="25"/>
        <v>#DIV/0!</v>
      </c>
      <c r="U65" s="13">
        <f t="shared" si="25"/>
        <v>0.0503723957806529</v>
      </c>
      <c r="V65" s="13">
        <f t="shared" si="25"/>
        <v>-0.395680793298</v>
      </c>
    </row>
    <row r="66" ht="14.25" spans="1:2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  <c r="P66" s="28"/>
      <c r="Q66" s="28"/>
      <c r="R66" s="32"/>
      <c r="S66" s="32"/>
      <c r="T66" s="29"/>
      <c r="U66" s="33"/>
      <c r="V66" s="7"/>
    </row>
    <row r="67" ht="28.5" spans="1:22">
      <c r="A67" s="8" t="s">
        <v>15</v>
      </c>
      <c r="B67" s="8" t="s">
        <v>16</v>
      </c>
      <c r="C67" s="8" t="s">
        <v>0</v>
      </c>
      <c r="D67" s="8" t="s">
        <v>1</v>
      </c>
      <c r="E67" s="8" t="s">
        <v>2</v>
      </c>
      <c r="F67" s="8" t="s">
        <v>3</v>
      </c>
      <c r="G67" s="8" t="s">
        <v>5</v>
      </c>
      <c r="H67" s="8" t="s">
        <v>4</v>
      </c>
      <c r="I67" s="8" t="s">
        <v>6</v>
      </c>
      <c r="J67" s="8" t="s">
        <v>7</v>
      </c>
      <c r="K67" s="8" t="s">
        <v>8</v>
      </c>
      <c r="L67" s="30" t="s">
        <v>9</v>
      </c>
      <c r="M67" s="8" t="s">
        <v>10</v>
      </c>
      <c r="N67" s="8" t="s">
        <v>11</v>
      </c>
      <c r="O67" s="24" t="s">
        <v>12</v>
      </c>
      <c r="P67" s="8" t="s">
        <v>13</v>
      </c>
      <c r="Q67" s="8" t="s">
        <v>18</v>
      </c>
      <c r="R67" s="25" t="s">
        <v>19</v>
      </c>
      <c r="S67" s="25" t="s">
        <v>20</v>
      </c>
      <c r="T67" s="26" t="s">
        <v>21</v>
      </c>
      <c r="U67" s="29"/>
      <c r="V67" s="33"/>
    </row>
    <row r="68" ht="14.25" spans="1:22">
      <c r="A68" s="9">
        <v>3104</v>
      </c>
      <c r="B68" s="9">
        <v>198</v>
      </c>
      <c r="C68" s="10">
        <v>46848.872</v>
      </c>
      <c r="D68" s="12">
        <v>0.0554432975181598</v>
      </c>
      <c r="E68" s="12">
        <f t="shared" ref="E68:E75" si="26">L68/G68</f>
        <v>0.0855297759940955</v>
      </c>
      <c r="F68" s="10">
        <v>75699.418918</v>
      </c>
      <c r="G68" s="10">
        <v>596.283568</v>
      </c>
      <c r="H68" s="10">
        <v>1652.092206</v>
      </c>
      <c r="I68" s="11">
        <f t="shared" ref="I68:I75" si="27">H68/G68</f>
        <v>2.77064855491708</v>
      </c>
      <c r="J68" s="12">
        <f t="shared" ref="J68:J75" si="28">H68/K68</f>
        <v>0.118835070359947</v>
      </c>
      <c r="K68" s="10">
        <v>13902.395993</v>
      </c>
      <c r="L68" s="31">
        <v>51</v>
      </c>
      <c r="M68" s="10">
        <v>11241.494626</v>
      </c>
      <c r="N68" s="12">
        <v>0.251363056910714</v>
      </c>
      <c r="O68" s="12">
        <v>0.0811475987857143</v>
      </c>
      <c r="P68" s="12">
        <v>0.0267857142857143</v>
      </c>
      <c r="Q68" s="10">
        <v>3038.283852</v>
      </c>
      <c r="R68" s="10">
        <v>50.477592</v>
      </c>
      <c r="S68" s="12">
        <f t="shared" ref="S68:S75" si="29">H68/C68</f>
        <v>0.0352642899491796</v>
      </c>
      <c r="T68" s="12">
        <f t="shared" ref="T68:T75" si="30">(Q68+R68)/C68</f>
        <v>0.0659303268603778</v>
      </c>
      <c r="U68" s="29"/>
      <c r="V68" s="33"/>
    </row>
    <row r="69" ht="14.25" spans="1:22">
      <c r="A69" s="9">
        <v>3729</v>
      </c>
      <c r="B69" s="9">
        <v>229</v>
      </c>
      <c r="C69" s="10">
        <v>51805.188</v>
      </c>
      <c r="D69" s="12">
        <v>0.0644568735997436</v>
      </c>
      <c r="E69" s="12">
        <f t="shared" si="26"/>
        <v>0.0962742122773145</v>
      </c>
      <c r="F69" s="10">
        <v>81749.7976020002</v>
      </c>
      <c r="G69" s="10">
        <v>893.281783</v>
      </c>
      <c r="H69" s="10">
        <v>2637.775947</v>
      </c>
      <c r="I69" s="11">
        <f t="shared" si="27"/>
        <v>2.95290466815665</v>
      </c>
      <c r="J69" s="12">
        <f t="shared" si="28"/>
        <v>0.124930186031757</v>
      </c>
      <c r="K69" s="10">
        <v>21113.999993</v>
      </c>
      <c r="L69" s="31">
        <v>86</v>
      </c>
      <c r="M69" s="10">
        <v>7595.500832</v>
      </c>
      <c r="N69" s="12">
        <v>0.184929300816981</v>
      </c>
      <c r="O69" s="12">
        <v>0.13815363385566</v>
      </c>
      <c r="P69" s="12">
        <v>0.0240248243707547</v>
      </c>
      <c r="Q69" s="10">
        <v>4117.783852</v>
      </c>
      <c r="R69" s="10">
        <v>47.141527</v>
      </c>
      <c r="S69" s="12">
        <f t="shared" si="29"/>
        <v>0.0509172159938885</v>
      </c>
      <c r="T69" s="12">
        <f t="shared" si="30"/>
        <v>0.0803959128379188</v>
      </c>
      <c r="U69" s="29"/>
      <c r="V69" s="33"/>
    </row>
    <row r="70" ht="14.25" spans="1:22">
      <c r="A70" s="9">
        <v>3659</v>
      </c>
      <c r="B70" s="9">
        <v>244</v>
      </c>
      <c r="C70" s="10">
        <v>55093.872</v>
      </c>
      <c r="D70" s="12">
        <v>0.0626281833474801</v>
      </c>
      <c r="E70" s="12">
        <f t="shared" si="26"/>
        <v>0.100944880392591</v>
      </c>
      <c r="F70" s="10">
        <v>50891.392689</v>
      </c>
      <c r="G70" s="10">
        <v>713.260541</v>
      </c>
      <c r="H70" s="10">
        <v>2054.879651</v>
      </c>
      <c r="I70" s="11">
        <f t="shared" si="27"/>
        <v>2.88096639710229</v>
      </c>
      <c r="J70" s="12">
        <f t="shared" si="28"/>
        <v>0.10832903778622</v>
      </c>
      <c r="K70" s="10">
        <v>18968.871994</v>
      </c>
      <c r="L70" s="31">
        <v>72</v>
      </c>
      <c r="M70" s="10">
        <v>13704.926096</v>
      </c>
      <c r="N70" s="12">
        <v>0.251194343567227</v>
      </c>
      <c r="O70" s="12">
        <v>0.0649695345378151</v>
      </c>
      <c r="P70" s="12">
        <v>0.0290073721890756</v>
      </c>
      <c r="Q70" s="10">
        <v>1128.190178</v>
      </c>
      <c r="R70" s="10">
        <v>63.718317</v>
      </c>
      <c r="S70" s="12">
        <f t="shared" si="29"/>
        <v>0.0372977896888423</v>
      </c>
      <c r="T70" s="12">
        <f t="shared" si="30"/>
        <v>0.0216341391833923</v>
      </c>
      <c r="U70" s="29"/>
      <c r="V70" s="33"/>
    </row>
    <row r="71" ht="14.25" spans="1:22">
      <c r="A71" s="9">
        <v>3497</v>
      </c>
      <c r="B71" s="9">
        <v>216</v>
      </c>
      <c r="C71" s="10">
        <v>51062.9</v>
      </c>
      <c r="D71" s="12">
        <v>0.0497942307367396</v>
      </c>
      <c r="E71" s="12">
        <f t="shared" si="26"/>
        <v>0.106860140763489</v>
      </c>
      <c r="F71" s="10">
        <v>40641.3052969999</v>
      </c>
      <c r="G71" s="10">
        <v>533.407495</v>
      </c>
      <c r="H71" s="10">
        <v>1520.986483</v>
      </c>
      <c r="I71" s="11">
        <f t="shared" si="27"/>
        <v>2.8514531521534</v>
      </c>
      <c r="J71" s="12">
        <f t="shared" si="28"/>
        <v>0.0964588128991092</v>
      </c>
      <c r="K71" s="10">
        <v>15768.247994</v>
      </c>
      <c r="L71" s="31">
        <v>57</v>
      </c>
      <c r="M71" s="10">
        <v>8376.257756</v>
      </c>
      <c r="N71" s="12">
        <v>0.193396620741593</v>
      </c>
      <c r="O71" s="12">
        <v>0.11929419299646</v>
      </c>
      <c r="P71" s="12">
        <v>0.0406709913938053</v>
      </c>
      <c r="Q71" s="10">
        <v>5200.052134</v>
      </c>
      <c r="R71" s="10">
        <v>9.238773</v>
      </c>
      <c r="S71" s="12">
        <f t="shared" si="29"/>
        <v>0.0297865276551077</v>
      </c>
      <c r="T71" s="12">
        <f t="shared" si="30"/>
        <v>0.102017137824135</v>
      </c>
      <c r="U71" s="29"/>
      <c r="V71" s="33"/>
    </row>
    <row r="72" ht="14.25" spans="1:22">
      <c r="A72" s="9">
        <v>3911</v>
      </c>
      <c r="B72" s="9">
        <v>235</v>
      </c>
      <c r="C72" s="10">
        <v>53555.508</v>
      </c>
      <c r="D72" s="12">
        <v>0.0481088496609412</v>
      </c>
      <c r="E72" s="12">
        <f t="shared" si="26"/>
        <v>0.103304414004679</v>
      </c>
      <c r="F72" s="10">
        <v>83756.2776810001</v>
      </c>
      <c r="G72" s="10">
        <v>687.289122</v>
      </c>
      <c r="H72" s="10">
        <v>1942.752889</v>
      </c>
      <c r="I72" s="11">
        <f t="shared" si="27"/>
        <v>2.826689419071</v>
      </c>
      <c r="J72" s="12">
        <f t="shared" si="28"/>
        <v>0.106800951935504</v>
      </c>
      <c r="K72" s="10">
        <v>18190.407986</v>
      </c>
      <c r="L72" s="31">
        <v>71</v>
      </c>
      <c r="M72" s="10">
        <v>8747.74059000001</v>
      </c>
      <c r="N72" s="12">
        <v>0.19872689899292</v>
      </c>
      <c r="O72" s="12">
        <v>0.103061699667257</v>
      </c>
      <c r="P72" s="12">
        <v>0.0522612812035398</v>
      </c>
      <c r="Q72" s="10">
        <v>2626.524134</v>
      </c>
      <c r="R72" s="10">
        <v>198.880769</v>
      </c>
      <c r="S72" s="12">
        <f t="shared" si="29"/>
        <v>0.0362755010931835</v>
      </c>
      <c r="T72" s="12">
        <f t="shared" si="30"/>
        <v>0.0527565699311451</v>
      </c>
      <c r="U72" s="29"/>
      <c r="V72" s="33"/>
    </row>
    <row r="73" ht="14.25" spans="1:22">
      <c r="A73" s="9">
        <v>3904</v>
      </c>
      <c r="B73" s="9">
        <v>237</v>
      </c>
      <c r="C73" s="10">
        <v>54610.732</v>
      </c>
      <c r="D73" s="12">
        <v>0.0569461216457447</v>
      </c>
      <c r="E73" s="12">
        <f t="shared" si="26"/>
        <v>0.0755975754363749</v>
      </c>
      <c r="F73" s="10">
        <v>66699.659763</v>
      </c>
      <c r="G73" s="10">
        <v>661.396873</v>
      </c>
      <c r="H73" s="10">
        <v>2015.771995</v>
      </c>
      <c r="I73" s="11">
        <f t="shared" si="27"/>
        <v>3.04774950909089</v>
      </c>
      <c r="J73" s="12">
        <f t="shared" si="28"/>
        <v>0.151847688726525</v>
      </c>
      <c r="K73" s="10">
        <v>13274.960007</v>
      </c>
      <c r="L73" s="31">
        <v>50</v>
      </c>
      <c r="M73" s="10">
        <v>13310.476343</v>
      </c>
      <c r="N73" s="12">
        <v>0.250406062388112</v>
      </c>
      <c r="O73" s="12">
        <v>0.0871500962489511</v>
      </c>
      <c r="P73" s="12">
        <v>0.019758968586014</v>
      </c>
      <c r="Q73" s="10">
        <v>3238.456134</v>
      </c>
      <c r="R73" s="10">
        <v>54.234005</v>
      </c>
      <c r="S73" s="12">
        <f t="shared" si="29"/>
        <v>0.0369116457732154</v>
      </c>
      <c r="T73" s="12">
        <f t="shared" si="30"/>
        <v>0.0602938290407827</v>
      </c>
      <c r="U73" s="29"/>
      <c r="V73" s="33"/>
    </row>
    <row r="74" ht="14.25" spans="1:22">
      <c r="A74" s="9">
        <v>3975</v>
      </c>
      <c r="B74" s="9">
        <v>249</v>
      </c>
      <c r="C74" s="10">
        <v>59396.232</v>
      </c>
      <c r="D74" s="12">
        <v>0.0588520992195055</v>
      </c>
      <c r="E74" s="12">
        <f t="shared" si="26"/>
        <v>0.0866960512466357</v>
      </c>
      <c r="F74" s="10">
        <v>59984.05331</v>
      </c>
      <c r="G74" s="10">
        <v>853.556753</v>
      </c>
      <c r="H74" s="10">
        <v>2676.185076</v>
      </c>
      <c r="I74" s="11">
        <f t="shared" si="27"/>
        <v>3.13533349316727</v>
      </c>
      <c r="J74" s="12">
        <f t="shared" si="28"/>
        <v>0.130592218876859</v>
      </c>
      <c r="K74" s="10">
        <v>20492.684013</v>
      </c>
      <c r="L74" s="31">
        <v>74</v>
      </c>
      <c r="M74" s="10">
        <v>9769.56978</v>
      </c>
      <c r="N74" s="12">
        <v>0.14322359202381</v>
      </c>
      <c r="O74" s="12">
        <v>0.0997235678960318</v>
      </c>
      <c r="P74" s="12">
        <v>0.123972411338889</v>
      </c>
      <c r="Q74" s="10">
        <v>3241.992134</v>
      </c>
      <c r="R74" s="10">
        <v>79.407174</v>
      </c>
      <c r="S74" s="12">
        <f t="shared" si="29"/>
        <v>0.0450564789362396</v>
      </c>
      <c r="T74" s="12">
        <f t="shared" si="30"/>
        <v>0.0559193604739102</v>
      </c>
      <c r="U74" s="29"/>
      <c r="V74" s="33"/>
    </row>
    <row r="75" ht="14.25" spans="1:22">
      <c r="A75" s="9">
        <v>3953</v>
      </c>
      <c r="B75" s="9">
        <v>256</v>
      </c>
      <c r="C75" s="10">
        <v>60854.56</v>
      </c>
      <c r="D75" s="12">
        <v>0.0715817205139842</v>
      </c>
      <c r="E75" s="12">
        <f t="shared" si="26"/>
        <v>0.0890411010821298</v>
      </c>
      <c r="F75" s="10">
        <v>63779.183307</v>
      </c>
      <c r="G75" s="10">
        <v>875.999904</v>
      </c>
      <c r="H75" s="10">
        <v>2766.308007</v>
      </c>
      <c r="I75" s="11">
        <f t="shared" si="27"/>
        <v>3.15788619880945</v>
      </c>
      <c r="J75" s="12">
        <f t="shared" si="28"/>
        <v>0.139157413932814</v>
      </c>
      <c r="K75" s="10">
        <v>19878.984014</v>
      </c>
      <c r="L75" s="31">
        <v>77.999996</v>
      </c>
      <c r="M75" s="10">
        <v>12763.982388</v>
      </c>
      <c r="N75" s="12">
        <v>0.14940641504539</v>
      </c>
      <c r="O75" s="12">
        <v>0.0897903289914894</v>
      </c>
      <c r="P75" s="12">
        <v>0.105494138760284</v>
      </c>
      <c r="Q75" s="10">
        <v>2890.422994</v>
      </c>
      <c r="R75" s="10">
        <v>15.425741</v>
      </c>
      <c r="S75" s="12">
        <f t="shared" si="29"/>
        <v>0.0454576946575573</v>
      </c>
      <c r="T75" s="12">
        <f t="shared" si="30"/>
        <v>0.0477507147369071</v>
      </c>
      <c r="U75" s="29"/>
      <c r="V75" s="33"/>
    </row>
    <row r="76" ht="14.25" spans="1:22">
      <c r="A76" s="13">
        <f t="shared" ref="A76:T76" si="31">(A75-A74)/A74</f>
        <v>-0.00553459119496855</v>
      </c>
      <c r="B76" s="13">
        <f t="shared" si="31"/>
        <v>0.0281124497991968</v>
      </c>
      <c r="C76" s="13">
        <f t="shared" si="31"/>
        <v>0.0245525339048442</v>
      </c>
      <c r="D76" s="13">
        <f t="shared" si="31"/>
        <v>0.216298508690404</v>
      </c>
      <c r="E76" s="13">
        <f t="shared" si="31"/>
        <v>0.0270490962595606</v>
      </c>
      <c r="F76" s="13">
        <f t="shared" si="31"/>
        <v>0.0632689821307442</v>
      </c>
      <c r="G76" s="13">
        <f t="shared" si="31"/>
        <v>0.0262936833679999</v>
      </c>
      <c r="H76" s="13">
        <f t="shared" si="31"/>
        <v>0.0336758962630131</v>
      </c>
      <c r="I76" s="13">
        <f t="shared" si="31"/>
        <v>0.00719308031867356</v>
      </c>
      <c r="J76" s="13">
        <f t="shared" si="31"/>
        <v>0.0655873307737593</v>
      </c>
      <c r="K76" s="13">
        <f t="shared" si="31"/>
        <v>-0.0299472728223732</v>
      </c>
      <c r="L76" s="13">
        <f t="shared" si="31"/>
        <v>0.0540539999999999</v>
      </c>
      <c r="M76" s="13">
        <f t="shared" si="31"/>
        <v>0.306504040140036</v>
      </c>
      <c r="N76" s="13">
        <f t="shared" si="31"/>
        <v>0.0431690263748738</v>
      </c>
      <c r="O76" s="13">
        <f t="shared" si="31"/>
        <v>-0.0996077368079976</v>
      </c>
      <c r="P76" s="13">
        <f t="shared" si="31"/>
        <v>-0.149051489593867</v>
      </c>
      <c r="Q76" s="13">
        <f t="shared" si="31"/>
        <v>-0.108442317398911</v>
      </c>
      <c r="R76" s="13">
        <f t="shared" si="31"/>
        <v>-0.805738698118132</v>
      </c>
      <c r="S76" s="13">
        <f t="shared" si="31"/>
        <v>0.00890472870473255</v>
      </c>
      <c r="T76" s="13">
        <f t="shared" si="31"/>
        <v>-0.146079026436903</v>
      </c>
      <c r="U76" s="34"/>
      <c r="V76" s="35"/>
    </row>
    <row r="77" ht="14.25" spans="1:22">
      <c r="A77" s="9">
        <v>10</v>
      </c>
      <c r="B77" s="9">
        <v>0</v>
      </c>
      <c r="C77" s="10">
        <v>0</v>
      </c>
      <c r="D77" s="12">
        <v>0</v>
      </c>
      <c r="E77" s="12" t="e">
        <f t="shared" ref="E77:E84" si="32">L77/G77</f>
        <v>#DIV/0!</v>
      </c>
      <c r="F77" s="10">
        <v>18.999992</v>
      </c>
      <c r="G77" s="10">
        <v>0</v>
      </c>
      <c r="H77" s="10">
        <v>0</v>
      </c>
      <c r="I77" s="9"/>
      <c r="J77" s="9"/>
      <c r="K77" s="10">
        <v>0</v>
      </c>
      <c r="L77" s="31">
        <v>0</v>
      </c>
      <c r="M77" s="10">
        <v>0</v>
      </c>
      <c r="N77" s="12"/>
      <c r="O77" s="12"/>
      <c r="P77" s="12"/>
      <c r="Q77" s="10">
        <v>0</v>
      </c>
      <c r="R77" s="10">
        <v>0</v>
      </c>
      <c r="S77" s="12" t="e">
        <f t="shared" ref="S77:S84" si="33">H77/C77</f>
        <v>#DIV/0!</v>
      </c>
      <c r="T77" s="12" t="e">
        <f t="shared" ref="T77:T84" si="34">(Q77+R77)/C77</f>
        <v>#DIV/0!</v>
      </c>
      <c r="U77" s="29"/>
      <c r="V77" s="33"/>
    </row>
    <row r="78" ht="14.25" spans="1:22">
      <c r="A78" s="9">
        <v>11</v>
      </c>
      <c r="B78" s="9">
        <v>1</v>
      </c>
      <c r="C78" s="10">
        <v>176.732</v>
      </c>
      <c r="D78" s="12">
        <v>0.06666666666</v>
      </c>
      <c r="E78" s="12" t="e">
        <f t="shared" si="32"/>
        <v>#DIV/0!</v>
      </c>
      <c r="F78" s="10">
        <v>45.999996</v>
      </c>
      <c r="G78" s="10">
        <v>0</v>
      </c>
      <c r="H78" s="10">
        <v>0</v>
      </c>
      <c r="I78" s="9"/>
      <c r="J78" s="9"/>
      <c r="K78" s="10">
        <v>0</v>
      </c>
      <c r="L78" s="31">
        <v>0</v>
      </c>
      <c r="M78" s="10">
        <v>-20.468</v>
      </c>
      <c r="N78" s="12"/>
      <c r="O78" s="12"/>
      <c r="P78" s="12"/>
      <c r="Q78" s="10">
        <v>20.468</v>
      </c>
      <c r="R78" s="10">
        <v>0</v>
      </c>
      <c r="S78" s="12">
        <f t="shared" si="33"/>
        <v>0</v>
      </c>
      <c r="T78" s="12">
        <f t="shared" si="34"/>
        <v>0.115813774528665</v>
      </c>
      <c r="U78" s="29"/>
      <c r="V78" s="33"/>
    </row>
    <row r="79" ht="14.25" spans="1:22">
      <c r="A79" s="9">
        <v>45</v>
      </c>
      <c r="B79" s="9">
        <v>3</v>
      </c>
      <c r="C79" s="10">
        <v>550.596</v>
      </c>
      <c r="D79" s="12">
        <v>0.0490740740733333</v>
      </c>
      <c r="E79" s="12">
        <f t="shared" si="32"/>
        <v>0</v>
      </c>
      <c r="F79" s="10">
        <v>57.051696</v>
      </c>
      <c r="G79" s="10">
        <v>1.001096</v>
      </c>
      <c r="H79" s="10">
        <v>2.869208</v>
      </c>
      <c r="I79" s="11">
        <f t="shared" ref="I79:I84" si="35">H79/G79</f>
        <v>2.86606679079729</v>
      </c>
      <c r="J79" s="12" t="e">
        <f t="shared" ref="J79:J84" si="36">H79/K79</f>
        <v>#DIV/0!</v>
      </c>
      <c r="K79" s="10">
        <v>0</v>
      </c>
      <c r="L79" s="31">
        <v>0</v>
      </c>
      <c r="M79" s="10">
        <v>208.263647</v>
      </c>
      <c r="N79" s="12">
        <v>0.3415231319</v>
      </c>
      <c r="O79" s="12">
        <v>0.08613632325</v>
      </c>
      <c r="P79" s="12">
        <v>0</v>
      </c>
      <c r="Q79" s="10">
        <v>46.376</v>
      </c>
      <c r="R79" s="10">
        <v>0</v>
      </c>
      <c r="S79" s="12">
        <f t="shared" si="33"/>
        <v>0.0052110948862687</v>
      </c>
      <c r="T79" s="12">
        <f t="shared" si="34"/>
        <v>0.0842287266888971</v>
      </c>
      <c r="U79" s="29"/>
      <c r="V79" s="33"/>
    </row>
    <row r="80" ht="14.25" spans="1:22">
      <c r="A80" s="9">
        <v>79</v>
      </c>
      <c r="B80" s="9">
        <v>2</v>
      </c>
      <c r="C80" s="10">
        <v>432.888</v>
      </c>
      <c r="D80" s="12">
        <v>0.0190972222208333</v>
      </c>
      <c r="E80" s="12">
        <f t="shared" si="32"/>
        <v>0</v>
      </c>
      <c r="F80" s="10">
        <v>923.371379</v>
      </c>
      <c r="G80" s="10">
        <v>15.003578</v>
      </c>
      <c r="H80" s="10">
        <v>41.379427</v>
      </c>
      <c r="I80" s="11">
        <f t="shared" si="35"/>
        <v>2.75797059874651</v>
      </c>
      <c r="J80" s="12" t="e">
        <f t="shared" si="36"/>
        <v>#DIV/0!</v>
      </c>
      <c r="K80" s="10">
        <v>0</v>
      </c>
      <c r="L80" s="31">
        <v>0</v>
      </c>
      <c r="M80" s="10">
        <v>60.717461</v>
      </c>
      <c r="N80" s="12">
        <v>0.330937264</v>
      </c>
      <c r="O80" s="12">
        <v>0.0121345327</v>
      </c>
      <c r="P80" s="12">
        <v>0</v>
      </c>
      <c r="Q80" s="10">
        <v>0</v>
      </c>
      <c r="R80" s="10">
        <v>0</v>
      </c>
      <c r="S80" s="12">
        <f t="shared" si="33"/>
        <v>0.095589221692447</v>
      </c>
      <c r="T80" s="12">
        <f t="shared" si="34"/>
        <v>0</v>
      </c>
      <c r="U80" s="29"/>
      <c r="V80" s="33"/>
    </row>
    <row r="81" ht="14.25" spans="1:22">
      <c r="A81" s="9">
        <v>126</v>
      </c>
      <c r="B81" s="9">
        <v>3</v>
      </c>
      <c r="C81" s="10">
        <v>530.196</v>
      </c>
      <c r="D81" s="12">
        <v>0.0128787878787879</v>
      </c>
      <c r="E81" s="12">
        <f t="shared" si="32"/>
        <v>0.0833267678784142</v>
      </c>
      <c r="F81" s="10">
        <v>1556.202309</v>
      </c>
      <c r="G81" s="10">
        <v>24.001891</v>
      </c>
      <c r="H81" s="10">
        <v>58.497403</v>
      </c>
      <c r="I81" s="11">
        <f t="shared" si="35"/>
        <v>2.43719976063553</v>
      </c>
      <c r="J81" s="12">
        <f t="shared" si="36"/>
        <v>0.117875572276047</v>
      </c>
      <c r="K81" s="10">
        <v>496.264</v>
      </c>
      <c r="L81" s="31">
        <v>2</v>
      </c>
      <c r="M81" s="10">
        <v>48.229164</v>
      </c>
      <c r="N81" s="12">
        <v>0.3783391576</v>
      </c>
      <c r="O81" s="12">
        <v>0.0459669624</v>
      </c>
      <c r="P81" s="12">
        <v>0</v>
      </c>
      <c r="Q81" s="10">
        <v>0</v>
      </c>
      <c r="R81" s="10">
        <v>0</v>
      </c>
      <c r="S81" s="12">
        <f t="shared" si="33"/>
        <v>0.11033165659492</v>
      </c>
      <c r="T81" s="12">
        <f t="shared" si="34"/>
        <v>0</v>
      </c>
      <c r="U81" s="29"/>
      <c r="V81" s="33"/>
    </row>
    <row r="82" ht="14.25" spans="1:22">
      <c r="A82" s="9">
        <v>268</v>
      </c>
      <c r="B82" s="9">
        <v>3</v>
      </c>
      <c r="C82" s="10">
        <v>958.596</v>
      </c>
      <c r="D82" s="12">
        <v>0.00388888888666667</v>
      </c>
      <c r="E82" s="12">
        <f t="shared" si="32"/>
        <v>0</v>
      </c>
      <c r="F82" s="10">
        <v>2354.323338</v>
      </c>
      <c r="G82" s="10">
        <v>48.002505</v>
      </c>
      <c r="H82" s="10">
        <v>126.299326</v>
      </c>
      <c r="I82" s="11">
        <f t="shared" si="35"/>
        <v>2.63109864787265</v>
      </c>
      <c r="J82" s="12" t="e">
        <f t="shared" si="36"/>
        <v>#DIV/0!</v>
      </c>
      <c r="K82" s="10">
        <v>0</v>
      </c>
      <c r="L82" s="31">
        <v>0</v>
      </c>
      <c r="M82" s="10">
        <v>144.837435</v>
      </c>
      <c r="N82" s="12">
        <v>0.297605659733333</v>
      </c>
      <c r="O82" s="12">
        <v>0.0937034983666667</v>
      </c>
      <c r="P82" s="12">
        <v>0</v>
      </c>
      <c r="Q82" s="10">
        <v>49.3</v>
      </c>
      <c r="R82" s="10">
        <v>0</v>
      </c>
      <c r="S82" s="12">
        <f t="shared" si="33"/>
        <v>0.131754488856619</v>
      </c>
      <c r="T82" s="12">
        <f t="shared" si="34"/>
        <v>0.0514293821380436</v>
      </c>
      <c r="U82" s="29"/>
      <c r="V82" s="33"/>
    </row>
    <row r="83" ht="14.25" spans="1:22">
      <c r="A83" s="9">
        <v>354</v>
      </c>
      <c r="B83" s="9">
        <v>12</v>
      </c>
      <c r="C83" s="10">
        <v>4459.984</v>
      </c>
      <c r="D83" s="12">
        <v>0.0254031515971015</v>
      </c>
      <c r="E83" s="12">
        <f t="shared" si="32"/>
        <v>0.0446389580095874</v>
      </c>
      <c r="F83" s="10">
        <v>5022.970495</v>
      </c>
      <c r="G83" s="10">
        <v>112.009783</v>
      </c>
      <c r="H83" s="10">
        <v>288.035976</v>
      </c>
      <c r="I83" s="11">
        <f t="shared" si="35"/>
        <v>2.57152516758291</v>
      </c>
      <c r="J83" s="12">
        <f t="shared" si="36"/>
        <v>0.102823720754232</v>
      </c>
      <c r="K83" s="10">
        <v>2801.26</v>
      </c>
      <c r="L83" s="31">
        <v>5</v>
      </c>
      <c r="M83" s="10">
        <v>424.322343</v>
      </c>
      <c r="N83" s="12">
        <v>0.264015074371429</v>
      </c>
      <c r="O83" s="12">
        <v>0.110187887171429</v>
      </c>
      <c r="P83" s="12">
        <v>0</v>
      </c>
      <c r="Q83" s="10">
        <v>193.596</v>
      </c>
      <c r="R83" s="10">
        <v>1.131752</v>
      </c>
      <c r="S83" s="12">
        <f t="shared" si="33"/>
        <v>0.0645822890844451</v>
      </c>
      <c r="T83" s="12">
        <f t="shared" si="34"/>
        <v>0.0436610875734083</v>
      </c>
      <c r="U83" s="29"/>
      <c r="V83" s="33"/>
    </row>
    <row r="84" ht="14.25" spans="1:22">
      <c r="A84" s="9">
        <v>585</v>
      </c>
      <c r="B84" s="9">
        <v>33</v>
      </c>
      <c r="C84" s="10">
        <v>11946.92</v>
      </c>
      <c r="D84" s="12">
        <v>0.0305824518943182</v>
      </c>
      <c r="E84" s="12">
        <f t="shared" si="32"/>
        <v>0.0818713266988095</v>
      </c>
      <c r="F84" s="10">
        <v>7088.051518</v>
      </c>
      <c r="G84" s="10">
        <v>170.999965</v>
      </c>
      <c r="H84" s="10">
        <v>484.635946</v>
      </c>
      <c r="I84" s="11">
        <f t="shared" si="35"/>
        <v>2.83412891926615</v>
      </c>
      <c r="J84" s="12">
        <f t="shared" si="36"/>
        <v>0.0767284542975513</v>
      </c>
      <c r="K84" s="10">
        <v>6316.248</v>
      </c>
      <c r="L84" s="31">
        <v>13.999994</v>
      </c>
      <c r="M84" s="10">
        <v>1491.393846</v>
      </c>
      <c r="N84" s="12">
        <v>0.254106443458333</v>
      </c>
      <c r="O84" s="12">
        <v>0.08653867225</v>
      </c>
      <c r="P84" s="12">
        <v>0</v>
      </c>
      <c r="Q84" s="10">
        <v>797.912</v>
      </c>
      <c r="R84" s="10">
        <v>0.566107</v>
      </c>
      <c r="S84" s="12">
        <f t="shared" si="33"/>
        <v>0.0405657647326675</v>
      </c>
      <c r="T84" s="12">
        <f t="shared" si="34"/>
        <v>0.0668354778470099</v>
      </c>
      <c r="U84" s="29"/>
      <c r="V84" s="33"/>
    </row>
    <row r="85" ht="14.25" spans="1:22">
      <c r="A85" s="13">
        <f t="shared" ref="A85:T85" si="37">(A84-A83)/A83</f>
        <v>0.652542372881356</v>
      </c>
      <c r="B85" s="13">
        <f t="shared" si="37"/>
        <v>1.75</v>
      </c>
      <c r="C85" s="13">
        <f t="shared" si="37"/>
        <v>1.67869122400439</v>
      </c>
      <c r="D85" s="13">
        <f t="shared" si="37"/>
        <v>0.203884162853544</v>
      </c>
      <c r="E85" s="13">
        <f t="shared" si="37"/>
        <v>0.834077907491153</v>
      </c>
      <c r="F85" s="13">
        <f t="shared" si="37"/>
        <v>0.411127444418724</v>
      </c>
      <c r="G85" s="13">
        <f t="shared" si="37"/>
        <v>0.526652051455184</v>
      </c>
      <c r="H85" s="13">
        <f t="shared" si="37"/>
        <v>0.682553522411381</v>
      </c>
      <c r="I85" s="13">
        <f t="shared" si="37"/>
        <v>0.102119845060696</v>
      </c>
      <c r="J85" s="13">
        <f t="shared" si="37"/>
        <v>-0.25378644407406</v>
      </c>
      <c r="K85" s="13">
        <f t="shared" si="37"/>
        <v>1.25478820245175</v>
      </c>
      <c r="L85" s="13">
        <f t="shared" si="37"/>
        <v>1.7999988</v>
      </c>
      <c r="M85" s="13">
        <f t="shared" si="37"/>
        <v>2.5147662398725</v>
      </c>
      <c r="N85" s="13">
        <f t="shared" si="37"/>
        <v>-0.037530549862301</v>
      </c>
      <c r="O85" s="13">
        <f t="shared" si="37"/>
        <v>-0.214626267265074</v>
      </c>
      <c r="P85" s="13" t="e">
        <f t="shared" si="37"/>
        <v>#DIV/0!</v>
      </c>
      <c r="Q85" s="13">
        <f t="shared" si="37"/>
        <v>3.12153143659993</v>
      </c>
      <c r="R85" s="13">
        <f t="shared" si="37"/>
        <v>-0.499795891679449</v>
      </c>
      <c r="S85" s="13">
        <f t="shared" si="37"/>
        <v>-0.371874777005421</v>
      </c>
      <c r="T85" s="13">
        <f t="shared" si="37"/>
        <v>0.530779042886598</v>
      </c>
      <c r="U85" s="34"/>
      <c r="V85" s="3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米沐</cp:lastModifiedBy>
  <dcterms:created xsi:type="dcterms:W3CDTF">2026-09-17T05:26:34Z</dcterms:created>
  <dcterms:modified xsi:type="dcterms:W3CDTF">2026-09-17T05:26:40Z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5CA6ACB3F0AE461799513DF7A35C779B_11</vt:lpwstr>
  </property>
  <property fmtid="{D5CDD505-2E9C-101B-9397-08002B2CF9AE}" pid="3" name="KSOProductBuildVer">
    <vt:lpwstr>2052-12.1.0.21915</vt:lpwstr>
  </property>
</Properties>
</file>